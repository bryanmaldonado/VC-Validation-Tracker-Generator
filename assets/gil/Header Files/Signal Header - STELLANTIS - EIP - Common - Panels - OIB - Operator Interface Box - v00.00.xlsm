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93893492-4EB1-43E9-88C3-721320940202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<sst xmlns="http://schemas.openxmlformats.org/spreadsheetml/2006/main" count="83" uniqueCount="57">
  <si>
    <t>LB Name</t>
  </si>
  <si>
    <t>LB Unique ID</t>
  </si>
  <si>
    <t>LB Type</t>
  </si>
  <si>
    <t>PLC Type</t>
  </si>
  <si>
    <t>Template File:</t>
  </si>
  <si>
    <t>Header Timestamp:</t>
  </si>
  <si>
    <t>v1.07.01</t>
  </si>
  <si>
    <t>OPERATOR_BOX</t>
  </si>
  <si>
    <t>SxxOIBz</t>
  </si>
  <si>
    <t>CLX</t>
  </si>
  <si>
    <t>PLC Zone</t>
  </si>
  <si>
    <t>OPC Server</t>
  </si>
  <si>
    <t>AB_RACKx_SLOTa</t>
  </si>
  <si>
    <t>System:Node</t>
  </si>
  <si>
    <t>1st:126</t>
  </si>
  <si>
    <t>SwitchName:Port#</t>
  </si>
  <si>
    <t>SxxESWy:17</t>
  </si>
  <si>
    <t>DC Source:Port</t>
  </si>
  <si>
    <t>Sxx_SyyPSz:DC</t>
  </si>
  <si>
    <t>Remote Reset</t>
  </si>
  <si>
    <t>YXX-YXX Zone Reset</t>
  </si>
  <si>
    <t>LtScrn2 Installed?</t>
  </si>
  <si>
    <t>N</t>
  </si>
  <si>
    <t>SftyMat1 Installed?</t>
  </si>
  <si>
    <t>LdAsst1 Installed?</t>
  </si>
  <si>
    <t>LdAsst2 Installed?</t>
  </si>
  <si>
    <t>Shot Clock Installed?</t>
  </si>
  <si>
    <t>SftyMat2 Installed?</t>
  </si>
  <si>
    <t>Operator 1</t>
  </si>
  <si>
    <t>OPERATOR_Sx1</t>
  </si>
  <si>
    <t>*Operator 2</t>
  </si>
  <si>
    <t>OPERATOR_Sx2</t>
  </si>
  <si>
    <t>*Operator 2 Clear To Enter Signal</t>
  </si>
  <si>
    <t>PLC:Sxx_SyyPSBy:5:O.Data.5</t>
  </si>
  <si>
    <t>*Operator 2 Do Not Enter Signal</t>
  </si>
  <si>
    <t>PLC:Sxx_SyyPSBy:5:O.Data.4</t>
  </si>
  <si>
    <t>*Operator 2 Part In Position Signal</t>
  </si>
  <si>
    <t>PLC:Sxx_SyyPSBy:5:O.Data.0</t>
  </si>
  <si>
    <t>D:\VC\S04_DASH_ASSY\Generators\Signal Template - STELLANTIS - EIP - Common - Panels - OIB - Operator Interface Box - v00.00.xlsm</t>
  </si>
  <si>
    <t>S04OIB1</t>
  </si>
  <si>
    <t>Glx</t>
  </si>
  <si>
    <t>S03_S07PSB1:AUX4</t>
  </si>
  <si>
    <t>S03-S07 Zone Reset</t>
  </si>
  <si>
    <t>Y</t>
  </si>
  <si>
    <t>S04OIB2</t>
  </si>
  <si>
    <t>OPERATOR2_S04</t>
  </si>
  <si>
    <t>S06OIB1</t>
  </si>
  <si>
    <t>OPERATOR_S06</t>
  </si>
  <si>
    <t>S03_S07PSB1:AUX2</t>
  </si>
  <si>
    <t>OPERATOR_S04</t>
  </si>
  <si>
    <t>S03_S07PSB2:AUX1</t>
  </si>
  <si>
    <t>S03_S07ESW1:7</t>
  </si>
  <si>
    <t>S03_S07ESW1:8</t>
  </si>
  <si>
    <t>S03_S07ESW1:5</t>
  </si>
  <si>
    <t>1st:94</t>
  </si>
  <si>
    <t>1st:95</t>
  </si>
  <si>
    <t>1st:96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</si>
</sst>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49" fontId="0" fillId="0" borderId="2" xfId="0" applyNumberFormat="1" applyBorder="1"/>
    <xf numFmtId="49" fontId="0" fillId="0" borderId="4" xfId="0" applyNumberFormat="1" applyBorder="1"/>
    <xf numFmtId="0" fontId="0" fillId="11" borderId="6" xfId="0" applyFill="1" applyBorder="1"/>
    <xf numFmtId="49" fontId="0" fillId="11" borderId="4" xfId="0" applyNumberFormat="1" applyFill="1" applyBorder="1"/>
  </cellXfs>
  <cellStyles count="1">
    <cellStyle name="Normal" xfId="0" builtinId="0"/>
  </cellStyles>
  <dxfs count="30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N15" sqref="N15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9" width="17.1796875" customWidth="1"/>
    <col min="10" max="10" width="22.1796875" customWidth="1"/>
    <col min="11" max="11" width="23" customWidth="1"/>
    <col min="12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38</v>
      </c>
    </row>
    <row r="3" spans="2:22" x14ac:dyDescent="0.35">
      <c r="F3" t="s">
        <v>5</v>
      </c>
      <c r="G3" s="23">
        <v>45569.640752314815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System:Node</v>
      </c>
      <c r="I9" s="17" t="str">
        <f>$B$16</f>
        <v>SwitchName:Port#</v>
      </c>
      <c r="J9" s="17" t="str">
        <f>$B$17</f>
        <v>DC Source:Port</v>
      </c>
      <c r="K9" s="17" t="str">
        <f>$B$18</f>
        <v>Remote Reset</v>
      </c>
      <c r="L9" s="17" t="str">
        <f>$B$19</f>
        <v>LtScrn2 Installed?</v>
      </c>
      <c r="M9" s="17" t="str">
        <f>$B$20</f>
        <v>SftyMat1 Installed?</v>
      </c>
      <c r="N9" s="17" t="str">
        <f>$B$21</f>
        <v>LdAsst1 Installed?</v>
      </c>
      <c r="O9" s="17" t="str">
        <f>$B$22</f>
        <v>LdAsst2 Installed?</v>
      </c>
      <c r="P9" s="17" t="str">
        <f>$B$23</f>
        <v>Shot Clock Installed?</v>
      </c>
      <c r="Q9" s="17" t="str">
        <f>$B$24</f>
        <v>SftyMat2 Installed?</v>
      </c>
      <c r="R9" s="17" t="str">
        <f>$B$25</f>
        <v>Operator 1</v>
      </c>
      <c r="S9" s="17" t="str">
        <f>$B$26</f>
        <v>*Operator 2</v>
      </c>
      <c r="T9" s="17" t="str">
        <f>$B$27</f>
        <v>*Operator 2 Clear To Enter Signal</v>
      </c>
      <c r="U9" s="17" t="str">
        <f>$B$28</f>
        <v>*Operator 2 Do Not Enter Signal</v>
      </c>
      <c r="V9" s="17" t="str">
        <f>$B$29</f>
        <v>*Operator 2 Part In Position Signal</v>
      </c>
    </row>
    <row r="10" spans="2:22" ht="15" thickBot="1" x14ac:dyDescent="0.4">
      <c r="B10" s="2" t="s">
        <v>1</v>
      </c>
      <c r="C10" s="4"/>
      <c r="D10" s="7" t="s">
        <v>8</v>
      </c>
      <c r="F10" s="8" t="s">
        <v>39</v>
      </c>
      <c r="G10" s="9" t="s">
        <v>40</v>
      </c>
      <c r="H10" s="9" t="s">
        <v>54</v>
      </c>
      <c r="I10" s="32" t="s">
        <v>51</v>
      </c>
      <c r="J10" s="9" t="s">
        <v>48</v>
      </c>
      <c r="K10" s="9" t="s">
        <v>42</v>
      </c>
      <c r="L10" s="9" t="s">
        <v>22</v>
      </c>
      <c r="M10" s="9" t="s">
        <v>22</v>
      </c>
      <c r="N10" s="9" t="s">
        <v>43</v>
      </c>
      <c r="O10" s="9" t="s">
        <v>22</v>
      </c>
      <c r="P10" s="9" t="s">
        <v>43</v>
      </c>
      <c r="Q10" s="9" t="s">
        <v>22</v>
      </c>
      <c r="R10" s="9" t="s">
        <v>49</v>
      </c>
      <c r="S10" s="9"/>
      <c r="T10" s="9"/>
      <c r="U10" s="9"/>
      <c r="V10" s="10"/>
    </row>
    <row r="11" spans="2:22" ht="15" thickBot="1" x14ac:dyDescent="0.4">
      <c r="B11" s="2" t="s">
        <v>0</v>
      </c>
      <c r="C11" s="4"/>
      <c r="D11" s="3" t="str">
        <f>$D$9&amp;"_"&amp;SUBSTITUTE($D$10,":","_")</f>
        <v>OPERATOR_BOX_SxxOIBz</v>
      </c>
      <c r="F11" s="8" t="s">
        <v>44</v>
      </c>
      <c r="G11" s="9" t="s">
        <v>40</v>
      </c>
      <c r="H11" s="9" t="s">
        <v>55</v>
      </c>
      <c r="I11" s="32" t="s">
        <v>52</v>
      </c>
      <c r="J11" s="9" t="s">
        <v>41</v>
      </c>
      <c r="K11" s="9" t="s">
        <v>42</v>
      </c>
      <c r="L11" s="9" t="s">
        <v>22</v>
      </c>
      <c r="M11" s="9" t="s">
        <v>22</v>
      </c>
      <c r="N11" s="9" t="s">
        <v>43</v>
      </c>
      <c r="O11" s="9" t="s">
        <v>22</v>
      </c>
      <c r="P11" s="9" t="s">
        <v>43</v>
      </c>
      <c r="Q11" s="9" t="s">
        <v>22</v>
      </c>
      <c r="R11" s="9" t="s">
        <v>45</v>
      </c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30" t="s">
        <v>46</v>
      </c>
      <c r="G12" s="31" t="s">
        <v>40</v>
      </c>
      <c r="H12" s="9" t="s">
        <v>56</v>
      </c>
      <c r="I12" s="33" t="s">
        <v>53</v>
      </c>
      <c r="J12" s="31" t="s">
        <v>50</v>
      </c>
      <c r="K12" s="31" t="s">
        <v>42</v>
      </c>
      <c r="L12" s="31" t="s">
        <v>43</v>
      </c>
      <c r="M12" s="31" t="s">
        <v>22</v>
      </c>
      <c r="N12" s="31" t="s">
        <v>43</v>
      </c>
      <c r="O12" s="31" t="s">
        <v>22</v>
      </c>
      <c r="P12" s="31" t="s">
        <v>43</v>
      </c>
      <c r="Q12" s="31" t="s">
        <v>22</v>
      </c>
      <c r="R12" s="31" t="s">
        <v>47</v>
      </c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 t="s">
        <v>20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21</v>
      </c>
      <c r="C19" s="4"/>
      <c r="D19" s="7" t="s">
        <v>22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23</v>
      </c>
      <c r="C20" s="4"/>
      <c r="D20" s="7" t="s">
        <v>22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24</v>
      </c>
      <c r="C21" s="4"/>
      <c r="D21" s="7" t="s">
        <v>22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25</v>
      </c>
      <c r="C22" s="4"/>
      <c r="D22" s="7" t="s">
        <v>22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26</v>
      </c>
      <c r="C23" s="4"/>
      <c r="D23" s="7" t="s">
        <v>22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27</v>
      </c>
      <c r="C24" s="4"/>
      <c r="D24" s="7" t="s">
        <v>22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28</v>
      </c>
      <c r="C25" s="4"/>
      <c r="D25" s="7" t="s">
        <v>29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30</v>
      </c>
      <c r="C26" s="4"/>
      <c r="D26" s="7" t="s">
        <v>31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32</v>
      </c>
      <c r="C27" s="4"/>
      <c r="D27" s="7" t="s">
        <v>33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34</v>
      </c>
      <c r="C28" s="4"/>
      <c r="D28" s="7" t="s">
        <v>35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36</v>
      </c>
      <c r="C29" s="28"/>
      <c r="D29" s="20" t="s">
        <v>37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phoneticPr fontId="1" type="noConversion"/>
  <conditionalFormatting sqref="E18">
    <cfRule type="containsText" dxfId="29" priority="40" stopIfTrue="1" operator="containsText" text="Placeholder">
      <formula>NOT(ISERROR(SEARCH("Placeholder",E18)))</formula>
    </cfRule>
  </conditionalFormatting>
  <conditionalFormatting sqref="G13:G10006">
    <cfRule type="expression" dxfId="28" priority="14">
      <formula>OR($F13="",$D$14="&lt;Placeholder&gt;")</formula>
    </cfRule>
  </conditionalFormatting>
  <conditionalFormatting sqref="H13:H10006">
    <cfRule type="expression" dxfId="27" priority="15">
      <formula>OR($F13="",$D$15="&lt;Placeholder&gt;")</formula>
    </cfRule>
  </conditionalFormatting>
  <conditionalFormatting sqref="I13:I10006">
    <cfRule type="expression" dxfId="26" priority="16">
      <formula>OR($F13="",$D$16="&lt;Placeholder&gt;")</formula>
    </cfRule>
  </conditionalFormatting>
  <conditionalFormatting sqref="J13:J10006">
    <cfRule type="expression" dxfId="25" priority="17">
      <formula>OR($F13="",$D$17="&lt;Placeholder&gt;")</formula>
    </cfRule>
  </conditionalFormatting>
  <conditionalFormatting sqref="K13:K10006">
    <cfRule type="expression" dxfId="24" priority="18">
      <formula>OR($F13="",$D$18="&lt;Placeholder&gt;")</formula>
    </cfRule>
  </conditionalFormatting>
  <conditionalFormatting sqref="L13:L10006">
    <cfRule type="expression" dxfId="23" priority="22">
      <formula>OR($F13="",$D$19="&lt;Placeholder&gt;")</formula>
    </cfRule>
  </conditionalFormatting>
  <conditionalFormatting sqref="M13:M10006">
    <cfRule type="expression" dxfId="22" priority="23">
      <formula>OR($F13="",$D$20="&lt;Placeholder&gt;")</formula>
    </cfRule>
  </conditionalFormatting>
  <conditionalFormatting sqref="N13:N10006">
    <cfRule type="expression" dxfId="21" priority="24">
      <formula>OR($F13="",$D$21="&lt;Placeholder&gt;")</formula>
    </cfRule>
  </conditionalFormatting>
  <conditionalFormatting sqref="O13:O10006">
    <cfRule type="expression" dxfId="20" priority="25">
      <formula>OR($F13="",$D$22="&lt;Placeholder&gt;")</formula>
    </cfRule>
  </conditionalFormatting>
  <conditionalFormatting sqref="P13:P10006">
    <cfRule type="expression" dxfId="19" priority="26">
      <formula>OR($F13="",$D$23="&lt;Placeholder&gt;")</formula>
    </cfRule>
  </conditionalFormatting>
  <conditionalFormatting sqref="Q13:Q10006">
    <cfRule type="expression" dxfId="18" priority="29">
      <formula>OR($F13="",$D$24="&lt;Placeholder&gt;")</formula>
    </cfRule>
  </conditionalFormatting>
  <conditionalFormatting sqref="D14:D29">
    <cfRule type="containsText" dxfId="17" priority="19" stopIfTrue="1" operator="containsText" text="Placeholder">
      <formula>NOT(ISERROR(SEARCH("Placeholder",D14)))</formula>
    </cfRule>
  </conditionalFormatting>
  <conditionalFormatting sqref="V10:V10006">
    <cfRule type="expression" dxfId="16" priority="34">
      <formula>OR($F10="",$D$29="&lt;Placeholder&gt;")</formula>
    </cfRule>
  </conditionalFormatting>
  <conditionalFormatting sqref="S10:S10006">
    <cfRule type="expression" dxfId="15" priority="31">
      <formula>OR($F10="",$D$26="&lt;Placeholder&gt;")</formula>
    </cfRule>
  </conditionalFormatting>
  <conditionalFormatting sqref="T10:T10006">
    <cfRule type="expression" dxfId="14" priority="32">
      <formula>OR($F10="",$D$27="&lt;Placeholder&gt;")</formula>
    </cfRule>
  </conditionalFormatting>
  <conditionalFormatting sqref="U10:U10006">
    <cfRule type="expression" dxfId="13" priority="33">
      <formula>OR($F10="",$D$28="&lt;Placeholder&gt;")</formula>
    </cfRule>
  </conditionalFormatting>
  <conditionalFormatting sqref="R13:R10006">
    <cfRule type="expression" dxfId="12" priority="30">
      <formula>OR($F13="",$D$25="&lt;Placeholder&gt;")</formula>
    </cfRule>
  </conditionalFormatting>
  <conditionalFormatting sqref="G10:G12">
    <cfRule type="expression" dxfId="11" priority="2">
      <formula>OR($F10="",$D$14="&lt;Placeholder&gt;")</formula>
    </cfRule>
  </conditionalFormatting>
  <conditionalFormatting sqref="H10:H12">
    <cfRule type="expression" dxfId="10" priority="3">
      <formula>OR($F10="",$D$15="&lt;Placeholder&gt;")</formula>
    </cfRule>
  </conditionalFormatting>
  <conditionalFormatting sqref="J10:J12">
    <cfRule type="expression" dxfId="9" priority="5">
      <formula>OR($F10="",$D$17="&lt;Placeholder&gt;")</formula>
    </cfRule>
  </conditionalFormatting>
  <conditionalFormatting sqref="K10:K12">
    <cfRule type="expression" dxfId="8" priority="6">
      <formula>OR($F10="",$D$18="&lt;Placeholder&gt;")</formula>
    </cfRule>
  </conditionalFormatting>
  <conditionalFormatting sqref="L10:L12">
    <cfRule type="expression" dxfId="7" priority="7">
      <formula>OR($F10="",$D$19="&lt;Placeholder&gt;")</formula>
    </cfRule>
  </conditionalFormatting>
  <conditionalFormatting sqref="M10:M12">
    <cfRule type="expression" dxfId="6" priority="8">
      <formula>OR($F10="",$D$20="&lt;Placeholder&gt;")</formula>
    </cfRule>
  </conditionalFormatting>
  <conditionalFormatting sqref="N10:N12">
    <cfRule type="expression" dxfId="5" priority="9">
      <formula>OR($F10="",$D$21="&lt;Placeholder&gt;")</formula>
    </cfRule>
  </conditionalFormatting>
  <conditionalFormatting sqref="O10:O12">
    <cfRule type="expression" dxfId="4" priority="10">
      <formula>OR($F10="",$D$22="&lt;Placeholder&gt;")</formula>
    </cfRule>
  </conditionalFormatting>
  <conditionalFormatting sqref="P10:P12">
    <cfRule type="expression" dxfId="3" priority="11">
      <formula>OR($F10="",$D$23="&lt;Placeholder&gt;")</formula>
    </cfRule>
  </conditionalFormatting>
  <conditionalFormatting sqref="Q10:Q12">
    <cfRule type="expression" dxfId="2" priority="12">
      <formula>OR($F10="",$D$24="&lt;Placeholder&gt;")</formula>
    </cfRule>
  </conditionalFormatting>
  <conditionalFormatting sqref="R10:R12">
    <cfRule type="expression" dxfId="1" priority="13">
      <formula>OR($F10="",$D$25="&lt;Placeholder&gt;")</formula>
    </cfRule>
  </conditionalFormatting>
  <conditionalFormatting sqref="I10:I12">
    <cfRule type="expression" dxfId="0" priority="1">
      <formula>OR($F10="",$D$16="&lt;Placeholder&gt;")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2024-10-14T16:15:30Z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