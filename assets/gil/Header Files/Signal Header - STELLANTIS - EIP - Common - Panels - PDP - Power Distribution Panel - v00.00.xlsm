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A99100BC-4D2D-4CC5-B072-9BC0BFE3536C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<sst xmlns="http://schemas.openxmlformats.org/spreadsheetml/2006/main" count="51" uniqueCount="43">
  <si>
    <t>LB Name</t>
  </si>
  <si>
    <t>LB Unique ID</t>
  </si>
  <si>
    <t>LB Type</t>
  </si>
  <si>
    <t>PLC Type</t>
  </si>
  <si>
    <t>Template File:</t>
  </si>
  <si>
    <t>Header Timestamp:</t>
  </si>
  <si>
    <t>v1.07.01</t>
  </si>
  <si>
    <t>DIST_PANEL</t>
  </si>
  <si>
    <t>Sxx_SyyPDPz</t>
  </si>
  <si>
    <t>CLX</t>
  </si>
  <si>
    <t>PLC Zone</t>
  </si>
  <si>
    <t>OPC Server</t>
  </si>
  <si>
    <t>AB_RACKx_SLOTa</t>
  </si>
  <si>
    <t>System:Node</t>
  </si>
  <si>
    <t>1st:999</t>
  </si>
  <si>
    <t>SwitchName:Port#</t>
  </si>
  <si>
    <t>SxxESWy:17</t>
  </si>
  <si>
    <t>CB's Installed (16)</t>
  </si>
  <si>
    <t>YYYYYYYYYYYYYNNN</t>
  </si>
  <si>
    <t>*TR1 # Branches</t>
  </si>
  <si>
    <t>*TR2 # Branches</t>
  </si>
  <si>
    <t>*TR3 # Branches</t>
  </si>
  <si>
    <t>*PM System:Node</t>
  </si>
  <si>
    <t>*PM SwitchName:Port#</t>
  </si>
  <si>
    <t>SxxESWy:18</t>
  </si>
  <si>
    <t>&lt;Config10&gt;</t>
  </si>
  <si>
    <t>&lt;Placeholder&gt;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</si>
  <si>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</si>
  <si>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</si>
  <si>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</si>
  <si>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</si>
  <si>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</si>
  <si>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</si>
  <si>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D:\VC\S04_DASH_ASSY\Generators\Signal Template - STELLANTIS - EIP - Common - Panels - PDP - Power Distribution Panel - v00.00.xlsm</t>
  </si>
  <si>
    <t>S03_S07PDP1</t>
  </si>
  <si>
    <t>Glx</t>
  </si>
  <si>
    <t>YYYYYYYYYYYYYYYY</t>
  </si>
  <si>
    <t>S03_S07PDP2</t>
  </si>
  <si>
    <t>S03_S07ESW2:5</t>
  </si>
  <si>
    <t>S03_S07ESW2:6</t>
  </si>
  <si>
    <t>1st:90</t>
  </si>
  <si>
    <t>1st:91</t>
  </si>
  <si>
    <t>YYYYYYYNNNNNNNNN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</si>
</sst>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  <xf numFmtId="0" fontId="0" fillId="11" borderId="6" xfId="0" applyFill="1" applyBorder="1"/>
    <xf numFmtId="0" fontId="0" fillId="11" borderId="4" xfId="0" applyFill="1" applyBorder="1"/>
  </cellXfs>
  <cellStyles count="1">
    <cellStyle name="Normal" xfId="0" builtinId="0"/>
  </cellStyles>
  <dxfs count="28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M21" sqref="M21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33</v>
      </c>
    </row>
    <row r="3" spans="2:22" x14ac:dyDescent="0.35">
      <c r="F3" t="s">
        <v>5</v>
      </c>
      <c r="G3" s="23">
        <v>45569.640648148146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System:Node</v>
      </c>
      <c r="I9" s="17" t="str">
        <f>$B$16</f>
        <v>SwitchName:Port#</v>
      </c>
      <c r="J9" s="17" t="str">
        <f>$B$17</f>
        <v>CB's Installed (16)</v>
      </c>
      <c r="K9" s="17" t="str">
        <f>$B$18</f>
        <v>*TR1 # Branches</v>
      </c>
      <c r="L9" s="17" t="str">
        <f>$B$19</f>
        <v>*TR2 # Branches</v>
      </c>
      <c r="M9" s="17" t="str">
        <f>$B$20</f>
        <v>*TR3 # Branches</v>
      </c>
      <c r="N9" s="17" t="str">
        <f>$B$21</f>
        <v>*PM System:Node</v>
      </c>
      <c r="O9" s="17" t="str">
        <f>$B$22</f>
        <v>*PM SwitchName:Port#</v>
      </c>
      <c r="P9" s="17" t="str">
        <f>$B$23</f>
        <v>&lt;Config10&gt;</v>
      </c>
      <c r="Q9" s="17" t="str">
        <f>$B$24</f>
        <v>&lt;Config11&gt;</v>
      </c>
      <c r="R9" s="17" t="str">
        <f>$B$25</f>
        <v>&lt;Config12&gt;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ht="15" thickBot="1" x14ac:dyDescent="0.4">
      <c r="B10" s="2" t="s">
        <v>1</v>
      </c>
      <c r="C10" s="4"/>
      <c r="D10" s="7" t="s">
        <v>8</v>
      </c>
      <c r="F10" s="8" t="s">
        <v>34</v>
      </c>
      <c r="G10" s="9" t="s">
        <v>35</v>
      </c>
      <c r="H10" s="9" t="s">
        <v>40</v>
      </c>
      <c r="I10" s="30" t="s">
        <v>38</v>
      </c>
      <c r="J10" s="9" t="s">
        <v>36</v>
      </c>
      <c r="K10" s="9">
        <v>8</v>
      </c>
      <c r="L10" s="9">
        <v>8</v>
      </c>
      <c r="M10" s="9">
        <v>8</v>
      </c>
      <c r="N10" s="9"/>
      <c r="O10" s="9"/>
      <c r="P10" s="9"/>
      <c r="Q10" s="9"/>
      <c r="R10" s="9"/>
      <c r="S10" s="9"/>
      <c r="T10" s="9"/>
      <c r="U10" s="9"/>
      <c r="V10" s="10"/>
    </row>
    <row r="11" spans="2:22" x14ac:dyDescent="0.35">
      <c r="B11" s="2" t="s">
        <v>0</v>
      </c>
      <c r="C11" s="4"/>
      <c r="D11" s="3" t="str">
        <f>$D$9&amp;"_"&amp;SUBSTITUTE($D$10,":","_")</f>
        <v>DIST_PANEL_Sxx_SyyPDPz</v>
      </c>
      <c r="F11" s="8" t="s">
        <v>37</v>
      </c>
      <c r="G11" s="12" t="s">
        <v>35</v>
      </c>
      <c r="H11" s="9" t="s">
        <v>41</v>
      </c>
      <c r="I11" s="31" t="s">
        <v>39</v>
      </c>
      <c r="J11" s="9" t="s">
        <v>42</v>
      </c>
      <c r="K11" s="9">
        <v>8</v>
      </c>
      <c r="L11" s="9">
        <v>8</v>
      </c>
      <c r="M11" s="9">
        <v>8</v>
      </c>
      <c r="N11" s="9"/>
      <c r="O11" s="9"/>
      <c r="P11" s="12"/>
      <c r="Q11" s="12"/>
      <c r="R11" s="12"/>
      <c r="S11" s="12"/>
      <c r="T11" s="12"/>
      <c r="U11" s="12"/>
      <c r="V11" s="13"/>
    </row>
    <row r="12" spans="2:22" x14ac:dyDescent="0.35">
      <c r="B12" s="2" t="s">
        <v>3</v>
      </c>
      <c r="C12" s="4"/>
      <c r="D12" s="3" t="s">
        <v>9</v>
      </c>
      <c r="F12" s="11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14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15</v>
      </c>
      <c r="C16" s="4"/>
      <c r="D16" s="7" t="s">
        <v>16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17</v>
      </c>
      <c r="C17" s="4"/>
      <c r="D17" s="7" t="s">
        <v>18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19</v>
      </c>
      <c r="C18" s="4"/>
      <c r="D18" s="7">
        <v>8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20</v>
      </c>
      <c r="C19" s="4"/>
      <c r="D19" s="7">
        <v>8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21</v>
      </c>
      <c r="C20" s="4"/>
      <c r="D20" s="7">
        <v>8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22</v>
      </c>
      <c r="C21" s="4"/>
      <c r="D21" s="7" t="s">
        <v>14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23</v>
      </c>
      <c r="C22" s="4"/>
      <c r="D22" s="7" t="s">
        <v>24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25</v>
      </c>
      <c r="C23" s="4"/>
      <c r="D23" s="7" t="s">
        <v>26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27</v>
      </c>
      <c r="C24" s="4"/>
      <c r="D24" s="7" t="s">
        <v>26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28</v>
      </c>
      <c r="C25" s="4"/>
      <c r="D25" s="7" t="s">
        <v>26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29</v>
      </c>
      <c r="C26" s="4"/>
      <c r="D26" s="7" t="s">
        <v>26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30</v>
      </c>
      <c r="C27" s="4"/>
      <c r="D27" s="7" t="s">
        <v>26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31</v>
      </c>
      <c r="C28" s="4"/>
      <c r="D28" s="7" t="s">
        <v>26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32</v>
      </c>
      <c r="C29" s="28"/>
      <c r="D29" s="20" t="s">
        <v>26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phoneticPr fontId="1" type="noConversion"/>
  <conditionalFormatting sqref="E18">
    <cfRule type="containsText" dxfId="27" priority="38" stopIfTrue="1" operator="containsText" text="Placeholder">
      <formula>NOT(ISERROR(SEARCH("Placeholder",E18)))</formula>
    </cfRule>
  </conditionalFormatting>
  <conditionalFormatting sqref="G11:G10006">
    <cfRule type="expression" dxfId="26" priority="12">
      <formula>OR($F11="",$D$14="&lt;Placeholder&gt;")</formula>
    </cfRule>
  </conditionalFormatting>
  <conditionalFormatting sqref="H12:H10006">
    <cfRule type="expression" dxfId="25" priority="13">
      <formula>OR($F12="",$D$15="&lt;Placeholder&gt;")</formula>
    </cfRule>
  </conditionalFormatting>
  <conditionalFormatting sqref="I12:I10006">
    <cfRule type="expression" dxfId="24" priority="14">
      <formula>OR($F12="",$D$16="&lt;Placeholder&gt;")</formula>
    </cfRule>
  </conditionalFormatting>
  <conditionalFormatting sqref="J12:J10006">
    <cfRule type="expression" dxfId="23" priority="15">
      <formula>OR($F12="",$D$17="&lt;Placeholder&gt;")</formula>
    </cfRule>
  </conditionalFormatting>
  <conditionalFormatting sqref="K12:K10006">
    <cfRule type="expression" dxfId="22" priority="16">
      <formula>OR($F12="",$D$18="&lt;Placeholder&gt;")</formula>
    </cfRule>
  </conditionalFormatting>
  <conditionalFormatting sqref="L12:L10006">
    <cfRule type="expression" dxfId="21" priority="20">
      <formula>OR($F12="",$D$19="&lt;Placeholder&gt;")</formula>
    </cfRule>
  </conditionalFormatting>
  <conditionalFormatting sqref="M12:M10006">
    <cfRule type="expression" dxfId="20" priority="21">
      <formula>OR($F12="",$D$20="&lt;Placeholder&gt;")</formula>
    </cfRule>
  </conditionalFormatting>
  <conditionalFormatting sqref="N12:N10006">
    <cfRule type="expression" dxfId="19" priority="22">
      <formula>OR($F12="",$D$21="&lt;Placeholder&gt;")</formula>
    </cfRule>
  </conditionalFormatting>
  <conditionalFormatting sqref="O12:O10006">
    <cfRule type="expression" dxfId="18" priority="23">
      <formula>OR($F12="",$D$22="&lt;Placeholder&gt;")</formula>
    </cfRule>
  </conditionalFormatting>
  <conditionalFormatting sqref="P10:P10006">
    <cfRule type="expression" dxfId="17" priority="24">
      <formula>OR($F10="",$D$23="&lt;Placeholder&gt;")</formula>
    </cfRule>
  </conditionalFormatting>
  <conditionalFormatting sqref="Q10:Q10006">
    <cfRule type="expression" dxfId="16" priority="27">
      <formula>OR($F10="",$D$24="&lt;Placeholder&gt;")</formula>
    </cfRule>
  </conditionalFormatting>
  <conditionalFormatting sqref="D14:D29">
    <cfRule type="containsText" dxfId="15" priority="17" stopIfTrue="1" operator="containsText" text="Placeholder">
      <formula>NOT(ISERROR(SEARCH("Placeholder",D14)))</formula>
    </cfRule>
  </conditionalFormatting>
  <conditionalFormatting sqref="V10:V10006">
    <cfRule type="expression" dxfId="14" priority="32">
      <formula>OR($F10="",$D$29="&lt;Placeholder&gt;")</formula>
    </cfRule>
  </conditionalFormatting>
  <conditionalFormatting sqref="S10:S10006">
    <cfRule type="expression" dxfId="13" priority="29">
      <formula>OR($F10="",$D$26="&lt;Placeholder&gt;")</formula>
    </cfRule>
  </conditionalFormatting>
  <conditionalFormatting sqref="T10:T10006">
    <cfRule type="expression" dxfId="12" priority="30">
      <formula>OR($F10="",$D$27="&lt;Placeholder&gt;")</formula>
    </cfRule>
  </conditionalFormatting>
  <conditionalFormatting sqref="U10:U10006">
    <cfRule type="expression" dxfId="11" priority="31">
      <formula>OR($F10="",$D$28="&lt;Placeholder&gt;")</formula>
    </cfRule>
  </conditionalFormatting>
  <conditionalFormatting sqref="R10:R10006">
    <cfRule type="expression" dxfId="10" priority="28">
      <formula>OR($F10="",$D$25="&lt;Placeholder&gt;")</formula>
    </cfRule>
  </conditionalFormatting>
  <conditionalFormatting sqref="G10">
    <cfRule type="expression" dxfId="9" priority="3">
      <formula>OR($F10="",$D$14="&lt;Placeholder&gt;")</formula>
    </cfRule>
  </conditionalFormatting>
  <conditionalFormatting sqref="H10:H11">
    <cfRule type="expression" dxfId="8" priority="4">
      <formula>OR($F10="",$D$15="&lt;Placeholder&gt;")</formula>
    </cfRule>
  </conditionalFormatting>
  <conditionalFormatting sqref="J10:J11">
    <cfRule type="expression" dxfId="7" priority="6">
      <formula>OR($F10="",$D$17="&lt;Placeholder&gt;")</formula>
    </cfRule>
  </conditionalFormatting>
  <conditionalFormatting sqref="K10:K11">
    <cfRule type="expression" dxfId="6" priority="7">
      <formula>OR($F10="",$D$18="&lt;Placeholder&gt;")</formula>
    </cfRule>
  </conditionalFormatting>
  <conditionalFormatting sqref="L10:L11">
    <cfRule type="expression" dxfId="5" priority="8">
      <formula>OR($F10="",$D$19="&lt;Placeholder&gt;")</formula>
    </cfRule>
  </conditionalFormatting>
  <conditionalFormatting sqref="M10:M11">
    <cfRule type="expression" dxfId="4" priority="9">
      <formula>OR($F10="",$D$20="&lt;Placeholder&gt;")</formula>
    </cfRule>
  </conditionalFormatting>
  <conditionalFormatting sqref="N10:N11">
    <cfRule type="expression" dxfId="3" priority="10">
      <formula>OR($F10="",$D$21="&lt;Placeholder&gt;")</formula>
    </cfRule>
  </conditionalFormatting>
  <conditionalFormatting sqref="O10:O11">
    <cfRule type="expression" dxfId="2" priority="11">
      <formula>OR($F10="",$D$22="&lt;Placeholder&gt;")</formula>
    </cfRule>
  </conditionalFormatting>
  <conditionalFormatting sqref="I11">
    <cfRule type="expression" dxfId="1" priority="2">
      <formula>OR($F11="",$D$16="&lt;Placeholder&gt;")</formula>
    </cfRule>
  </conditionalFormatting>
  <conditionalFormatting sqref="I10">
    <cfRule type="expression" dxfId="0" priority="1">
      <formula>OR($F10="",$D$16="&lt;Placeholder&gt;")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Sanchez, Gilberto</dc:creator>
  <cp:lastModifiedBy>Gilberto Sanchez Garcia</cp:lastModifiedBy>
  <dcterms:created xsi:type="dcterms:W3CDTF">2016-01-22T19:11:18Z</dcterms:created>
  <dcterms:modified xsi:type="dcterms:W3CDTF">2024-10-14T16:15:42Z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