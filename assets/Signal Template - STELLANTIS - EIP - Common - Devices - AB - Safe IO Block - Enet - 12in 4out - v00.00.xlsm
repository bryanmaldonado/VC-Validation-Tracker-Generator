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C3FFD013-D36B-4A65-A217-909D9D496E63}"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0" l="1"/>
  <c r="BS22" i="2" l="1"/>
  <c r="BS21" i="2"/>
  <c r="C11" i="9"/>
  <c r="D11" i="9" s="1"/>
  <c r="C12" i="9"/>
  <c r="D12" i="9" s="1"/>
  <c r="D10" i="9"/>
  <c r="BD51" i="2" l="1"/>
  <c r="BD50" i="2"/>
  <c r="BD55" i="2"/>
  <c r="E55" i="2" s="1"/>
  <c r="BD54" i="2"/>
  <c r="BD53" i="2"/>
  <c r="E53" i="2" s="1"/>
  <c r="BD52" i="2"/>
  <c r="E52" i="2" s="1"/>
  <c r="E51" i="2"/>
  <c r="E50" i="2"/>
  <c r="AY55" i="2"/>
  <c r="AX55" i="2"/>
  <c r="AW55" i="2"/>
  <c r="AV55" i="2"/>
  <c r="AU55" i="2"/>
  <c r="AT55" i="2"/>
  <c r="K55" i="2" s="1"/>
  <c r="AQ55" i="2"/>
  <c r="AP55" i="2"/>
  <c r="AO55" i="2"/>
  <c r="AN55" i="2"/>
  <c r="AM55" i="2"/>
  <c r="AL55" i="2"/>
  <c r="AK55" i="2"/>
  <c r="AJ55" i="2"/>
  <c r="AI55" i="2"/>
  <c r="AH55" i="2"/>
  <c r="AG55" i="2"/>
  <c r="AF55" i="2"/>
  <c r="AE55" i="2"/>
  <c r="AD55" i="2"/>
  <c r="AC55" i="2"/>
  <c r="AB55" i="2"/>
  <c r="AA55" i="2"/>
  <c r="Z55" i="2"/>
  <c r="V55" i="2"/>
  <c r="U55" i="2"/>
  <c r="T55" i="2"/>
  <c r="S55" i="2"/>
  <c r="R55" i="2"/>
  <c r="Q55" i="2"/>
  <c r="P55" i="2"/>
  <c r="O55" i="2"/>
  <c r="N55" i="2"/>
  <c r="M55" i="2"/>
  <c r="L55" i="2"/>
  <c r="I55" i="2"/>
  <c r="H55" i="2"/>
  <c r="G55" i="2"/>
  <c r="F55" i="2"/>
  <c r="D55" i="2"/>
  <c r="B55" i="2"/>
  <c r="AY54" i="2"/>
  <c r="AX54" i="2"/>
  <c r="AW54" i="2"/>
  <c r="AV54" i="2"/>
  <c r="AU54" i="2"/>
  <c r="AT54" i="2"/>
  <c r="K54" i="2" s="1"/>
  <c r="AQ54" i="2"/>
  <c r="AP54" i="2"/>
  <c r="AO54" i="2"/>
  <c r="AN54" i="2"/>
  <c r="AM54" i="2"/>
  <c r="AL54" i="2"/>
  <c r="AK54" i="2"/>
  <c r="AJ54" i="2"/>
  <c r="AI54" i="2"/>
  <c r="AH54" i="2"/>
  <c r="AG54" i="2"/>
  <c r="AF54" i="2"/>
  <c r="AE54" i="2"/>
  <c r="AD54" i="2"/>
  <c r="AC54" i="2"/>
  <c r="AB54" i="2"/>
  <c r="AA54" i="2"/>
  <c r="Z54" i="2"/>
  <c r="V54" i="2"/>
  <c r="U54" i="2"/>
  <c r="T54" i="2"/>
  <c r="S54" i="2"/>
  <c r="R54" i="2"/>
  <c r="Q54" i="2"/>
  <c r="P54" i="2"/>
  <c r="O54" i="2"/>
  <c r="N54" i="2"/>
  <c r="M54" i="2"/>
  <c r="L54" i="2"/>
  <c r="I54" i="2"/>
  <c r="H54" i="2"/>
  <c r="G54" i="2"/>
  <c r="F54" i="2"/>
  <c r="E54" i="2"/>
  <c r="D54" i="2"/>
  <c r="B54" i="2"/>
  <c r="AY53" i="2"/>
  <c r="AX53" i="2"/>
  <c r="AW53" i="2"/>
  <c r="AV53" i="2"/>
  <c r="AU53" i="2"/>
  <c r="AT53" i="2"/>
  <c r="K53" i="2" s="1"/>
  <c r="AQ53" i="2"/>
  <c r="AP53" i="2"/>
  <c r="AO53" i="2"/>
  <c r="AN53" i="2"/>
  <c r="AM53" i="2"/>
  <c r="AL53" i="2"/>
  <c r="AK53" i="2"/>
  <c r="AJ53" i="2"/>
  <c r="AI53" i="2"/>
  <c r="AH53" i="2"/>
  <c r="AG53" i="2"/>
  <c r="AF53" i="2"/>
  <c r="AE53" i="2"/>
  <c r="AD53" i="2"/>
  <c r="AC53" i="2"/>
  <c r="AB53" i="2"/>
  <c r="AA53" i="2"/>
  <c r="Z53" i="2"/>
  <c r="V53" i="2"/>
  <c r="U53" i="2"/>
  <c r="T53" i="2"/>
  <c r="S53" i="2"/>
  <c r="R53" i="2"/>
  <c r="Q53" i="2"/>
  <c r="P53" i="2"/>
  <c r="O53" i="2"/>
  <c r="N53" i="2"/>
  <c r="M53" i="2"/>
  <c r="L53" i="2"/>
  <c r="I53" i="2"/>
  <c r="H53" i="2"/>
  <c r="G53" i="2"/>
  <c r="F53" i="2"/>
  <c r="D53" i="2"/>
  <c r="B53" i="2"/>
  <c r="AY52" i="2"/>
  <c r="AX52" i="2"/>
  <c r="AW52" i="2"/>
  <c r="AV52" i="2"/>
  <c r="AU52" i="2"/>
  <c r="AT52" i="2"/>
  <c r="K52" i="2" s="1"/>
  <c r="AQ52" i="2"/>
  <c r="AP52" i="2"/>
  <c r="AO52" i="2"/>
  <c r="AN52" i="2"/>
  <c r="AM52" i="2"/>
  <c r="AL52" i="2"/>
  <c r="AK52" i="2"/>
  <c r="AJ52" i="2"/>
  <c r="AI52" i="2"/>
  <c r="AH52" i="2"/>
  <c r="AG52" i="2"/>
  <c r="AF52" i="2"/>
  <c r="AE52" i="2"/>
  <c r="AD52" i="2"/>
  <c r="AC52" i="2"/>
  <c r="AB52" i="2"/>
  <c r="AA52" i="2"/>
  <c r="Z52" i="2"/>
  <c r="V52" i="2"/>
  <c r="U52" i="2"/>
  <c r="T52" i="2"/>
  <c r="S52" i="2"/>
  <c r="R52" i="2"/>
  <c r="Q52" i="2"/>
  <c r="P52" i="2"/>
  <c r="O52" i="2"/>
  <c r="N52" i="2"/>
  <c r="M52" i="2"/>
  <c r="L52" i="2"/>
  <c r="I52" i="2"/>
  <c r="H52" i="2"/>
  <c r="G52" i="2"/>
  <c r="F52" i="2"/>
  <c r="D52" i="2"/>
  <c r="B52" i="2"/>
  <c r="AY51" i="2"/>
  <c r="AX51" i="2"/>
  <c r="AW51" i="2"/>
  <c r="AV51" i="2"/>
  <c r="AU51" i="2"/>
  <c r="AT51" i="2"/>
  <c r="K51" i="2" s="1"/>
  <c r="AQ51" i="2"/>
  <c r="AP51" i="2"/>
  <c r="AO51" i="2"/>
  <c r="AN51" i="2"/>
  <c r="AM51" i="2"/>
  <c r="AL51" i="2"/>
  <c r="AK51" i="2"/>
  <c r="AJ51" i="2"/>
  <c r="AI51" i="2"/>
  <c r="AH51" i="2"/>
  <c r="AG51" i="2"/>
  <c r="AF51" i="2"/>
  <c r="AE51" i="2"/>
  <c r="AD51" i="2"/>
  <c r="AC51" i="2"/>
  <c r="AB51" i="2"/>
  <c r="AA51" i="2"/>
  <c r="Z51" i="2"/>
  <c r="V51" i="2"/>
  <c r="U51" i="2"/>
  <c r="T51" i="2"/>
  <c r="S51" i="2"/>
  <c r="R51" i="2"/>
  <c r="Q51" i="2"/>
  <c r="P51" i="2"/>
  <c r="O51" i="2"/>
  <c r="N51" i="2"/>
  <c r="M51" i="2"/>
  <c r="L51" i="2"/>
  <c r="I51" i="2"/>
  <c r="H51" i="2"/>
  <c r="G51" i="2"/>
  <c r="F51" i="2"/>
  <c r="D51" i="2"/>
  <c r="B51" i="2"/>
  <c r="AY50" i="2"/>
  <c r="AX50" i="2"/>
  <c r="AW50" i="2"/>
  <c r="AV50" i="2"/>
  <c r="AU50" i="2"/>
  <c r="AT50" i="2"/>
  <c r="K50" i="2" s="1"/>
  <c r="AQ50" i="2"/>
  <c r="AP50" i="2"/>
  <c r="AO50" i="2"/>
  <c r="AN50" i="2"/>
  <c r="AM50" i="2"/>
  <c r="AL50" i="2"/>
  <c r="AK50" i="2"/>
  <c r="AJ50" i="2"/>
  <c r="AI50" i="2"/>
  <c r="AH50" i="2"/>
  <c r="AG50" i="2"/>
  <c r="AF50" i="2"/>
  <c r="AE50" i="2"/>
  <c r="AD50" i="2"/>
  <c r="AC50" i="2"/>
  <c r="AB50" i="2"/>
  <c r="AA50" i="2"/>
  <c r="Z50" i="2"/>
  <c r="V50" i="2"/>
  <c r="U50" i="2"/>
  <c r="T50" i="2"/>
  <c r="S50" i="2"/>
  <c r="R50" i="2"/>
  <c r="Q50" i="2"/>
  <c r="P50" i="2"/>
  <c r="O50" i="2"/>
  <c r="N50" i="2"/>
  <c r="M50" i="2"/>
  <c r="L50" i="2"/>
  <c r="I50" i="2"/>
  <c r="H50" i="2"/>
  <c r="G50" i="2"/>
  <c r="F50" i="2"/>
  <c r="D50" i="2"/>
  <c r="B50" i="2"/>
  <c r="BT17" i="2"/>
  <c r="AC17" i="2" s="1"/>
  <c r="BF17" i="2"/>
  <c r="I17" i="2" s="1"/>
  <c r="BT16" i="2"/>
  <c r="AC16" i="2" s="1"/>
  <c r="BF16" i="2"/>
  <c r="O16" i="2" s="1"/>
  <c r="BT15" i="2"/>
  <c r="BF15" i="2"/>
  <c r="O15" i="2" s="1"/>
  <c r="BT14" i="2"/>
  <c r="BF14" i="2"/>
  <c r="BD18" i="2"/>
  <c r="E18" i="2" s="1"/>
  <c r="AY18" i="2"/>
  <c r="AX18" i="2"/>
  <c r="AW18" i="2"/>
  <c r="AV18" i="2"/>
  <c r="AU18" i="2"/>
  <c r="AT18" i="2"/>
  <c r="K18" i="2" s="1"/>
  <c r="AQ18" i="2"/>
  <c r="AP18" i="2"/>
  <c r="AO18" i="2"/>
  <c r="AN18" i="2"/>
  <c r="AM18" i="2"/>
  <c r="AL18" i="2"/>
  <c r="AK18" i="2"/>
  <c r="AJ18" i="2"/>
  <c r="AI18" i="2"/>
  <c r="AH18" i="2"/>
  <c r="AG18" i="2"/>
  <c r="AF18" i="2"/>
  <c r="AE18" i="2"/>
  <c r="AD18" i="2"/>
  <c r="AC18" i="2"/>
  <c r="AB18" i="2"/>
  <c r="AA18" i="2"/>
  <c r="Z18" i="2"/>
  <c r="V18" i="2"/>
  <c r="U18" i="2"/>
  <c r="T18" i="2"/>
  <c r="S18" i="2"/>
  <c r="R18" i="2"/>
  <c r="Q18" i="2"/>
  <c r="P18" i="2"/>
  <c r="O18" i="2"/>
  <c r="N18" i="2"/>
  <c r="M18" i="2"/>
  <c r="L18" i="2"/>
  <c r="I18" i="2"/>
  <c r="H18" i="2"/>
  <c r="G18" i="2"/>
  <c r="F18" i="2"/>
  <c r="D18" i="2"/>
  <c r="B18" i="2"/>
  <c r="AY17" i="2"/>
  <c r="AX17" i="2"/>
  <c r="AW17" i="2"/>
  <c r="AV17" i="2"/>
  <c r="AU17" i="2"/>
  <c r="AT17" i="2"/>
  <c r="K17" i="2" s="1"/>
  <c r="AQ17" i="2"/>
  <c r="AP17" i="2"/>
  <c r="AO17" i="2"/>
  <c r="AN17" i="2"/>
  <c r="AM17" i="2"/>
  <c r="AL17" i="2"/>
  <c r="AK17" i="2"/>
  <c r="AJ17" i="2"/>
  <c r="AI17" i="2"/>
  <c r="AH17" i="2"/>
  <c r="AG17" i="2"/>
  <c r="AF17" i="2"/>
  <c r="AE17" i="2"/>
  <c r="AD17" i="2"/>
  <c r="AB17" i="2"/>
  <c r="AA17" i="2"/>
  <c r="Z17" i="2"/>
  <c r="V17" i="2"/>
  <c r="U17" i="2"/>
  <c r="T17" i="2"/>
  <c r="R17" i="2"/>
  <c r="Q17" i="2"/>
  <c r="P17" i="2"/>
  <c r="N17" i="2"/>
  <c r="M17" i="2"/>
  <c r="L17" i="2"/>
  <c r="H17" i="2"/>
  <c r="G17" i="2"/>
  <c r="F17" i="2"/>
  <c r="D17" i="2"/>
  <c r="B17" i="2"/>
  <c r="AY16" i="2"/>
  <c r="AX16" i="2"/>
  <c r="AW16" i="2"/>
  <c r="AV16" i="2"/>
  <c r="AU16" i="2"/>
  <c r="AT16" i="2"/>
  <c r="K16" i="2" s="1"/>
  <c r="AQ16" i="2"/>
  <c r="AP16" i="2"/>
  <c r="AO16" i="2"/>
  <c r="AN16" i="2"/>
  <c r="AM16" i="2"/>
  <c r="AL16" i="2"/>
  <c r="AK16" i="2"/>
  <c r="AJ16" i="2"/>
  <c r="AI16" i="2"/>
  <c r="AH16" i="2"/>
  <c r="AG16" i="2"/>
  <c r="AF16" i="2"/>
  <c r="AE16" i="2"/>
  <c r="AD16" i="2"/>
  <c r="AB16" i="2"/>
  <c r="AA16" i="2"/>
  <c r="Z16" i="2"/>
  <c r="V16" i="2"/>
  <c r="U16" i="2"/>
  <c r="T16" i="2"/>
  <c r="R16" i="2"/>
  <c r="Q16" i="2"/>
  <c r="P16" i="2"/>
  <c r="N16" i="2"/>
  <c r="M16" i="2"/>
  <c r="L16" i="2"/>
  <c r="H16" i="2"/>
  <c r="G16" i="2"/>
  <c r="F16" i="2"/>
  <c r="D16" i="2"/>
  <c r="AY15" i="2"/>
  <c r="AX15" i="2"/>
  <c r="AW15" i="2"/>
  <c r="AV15" i="2"/>
  <c r="AU15" i="2"/>
  <c r="AT15" i="2"/>
  <c r="K15" i="2" s="1"/>
  <c r="AQ15" i="2"/>
  <c r="AP15" i="2"/>
  <c r="AO15" i="2"/>
  <c r="AN15" i="2"/>
  <c r="AM15" i="2"/>
  <c r="AL15" i="2"/>
  <c r="AK15" i="2"/>
  <c r="AJ15" i="2"/>
  <c r="AI15" i="2"/>
  <c r="AH15" i="2"/>
  <c r="AG15" i="2"/>
  <c r="AF15" i="2"/>
  <c r="AE15" i="2"/>
  <c r="AD15" i="2"/>
  <c r="AC15" i="2"/>
  <c r="AB15" i="2"/>
  <c r="AA15" i="2"/>
  <c r="Z15" i="2"/>
  <c r="V15" i="2"/>
  <c r="U15" i="2"/>
  <c r="T15" i="2"/>
  <c r="R15" i="2"/>
  <c r="Q15" i="2"/>
  <c r="P15" i="2"/>
  <c r="N15" i="2"/>
  <c r="M15" i="2"/>
  <c r="L15" i="2"/>
  <c r="H15" i="2"/>
  <c r="G15" i="2"/>
  <c r="F15" i="2"/>
  <c r="D15" i="2"/>
  <c r="B15" i="2"/>
  <c r="O17" i="2" l="1"/>
  <c r="I16" i="2"/>
  <c r="B16" i="2"/>
  <c r="I15" i="2"/>
  <c r="CO47" i="2" l="1"/>
  <c r="C8" i="9" l="1"/>
  <c r="D8" i="9" s="1"/>
  <c r="D7" i="9"/>
  <c r="C6" i="9"/>
  <c r="D6" i="9" s="1"/>
  <c r="C2" i="9"/>
  <c r="G38" i="9" s="1"/>
  <c r="I38" i="9" s="1"/>
  <c r="G34" i="9" l="1"/>
  <c r="I34" i="9" s="1"/>
  <c r="C9" i="9"/>
  <c r="D9" i="9" s="1"/>
  <c r="BI17" i="2"/>
  <c r="S17" i="2" s="1"/>
  <c r="BD17" i="2"/>
  <c r="E17" i="2" s="1"/>
  <c r="BD16" i="2"/>
  <c r="E16" i="2" s="1"/>
  <c r="BI16" i="2"/>
  <c r="S16" i="2" s="1"/>
  <c r="BI15" i="2"/>
  <c r="S15" i="2" s="1"/>
  <c r="BI14" i="2"/>
  <c r="BD15" i="2"/>
  <c r="E15" i="2" s="1"/>
  <c r="BD14" i="2"/>
  <c r="BG45" i="2"/>
  <c r="BG33" i="2"/>
  <c r="BG44" i="2"/>
  <c r="BG32" i="2"/>
  <c r="BG43" i="2"/>
  <c r="BG31" i="2"/>
  <c r="BG42" i="2"/>
  <c r="BG30" i="2"/>
  <c r="BG41" i="2"/>
  <c r="BG29" i="2"/>
  <c r="BG40" i="2"/>
  <c r="BG28" i="2"/>
  <c r="BG39" i="2"/>
  <c r="BG27" i="2"/>
  <c r="BG38" i="2"/>
  <c r="BG26" i="2"/>
  <c r="BG37" i="2"/>
  <c r="BG25" i="2"/>
  <c r="BG36" i="2"/>
  <c r="BG24" i="2"/>
  <c r="BG34" i="2"/>
  <c r="BG35" i="2"/>
  <c r="G37" i="9"/>
  <c r="I37" i="9" s="1"/>
  <c r="G12" i="9"/>
  <c r="I12" i="9" s="1"/>
  <c r="G39" i="9"/>
  <c r="I39" i="9" s="1"/>
  <c r="G28" i="9"/>
  <c r="I28" i="9" s="1"/>
  <c r="G30" i="9"/>
  <c r="I30" i="9" s="1"/>
  <c r="G3" i="9"/>
  <c r="I3" i="9" s="1"/>
  <c r="I2" i="9" s="1"/>
  <c r="BH23" i="2" s="1"/>
  <c r="G13" i="9"/>
  <c r="I13" i="9" s="1"/>
  <c r="G21" i="9"/>
  <c r="I21" i="9" s="1"/>
  <c r="G31" i="9"/>
  <c r="I31" i="9" s="1"/>
  <c r="G40" i="9"/>
  <c r="I40" i="9" s="1"/>
  <c r="G16" i="9"/>
  <c r="I16" i="9" s="1"/>
  <c r="G8" i="9"/>
  <c r="I8" i="9" s="1"/>
  <c r="G36" i="9"/>
  <c r="I36" i="9" s="1"/>
  <c r="G41" i="9"/>
  <c r="I41" i="9" s="1"/>
  <c r="G17" i="9"/>
  <c r="I17" i="9" s="1"/>
  <c r="G35" i="9"/>
  <c r="I35" i="9" s="1"/>
  <c r="G18" i="9"/>
  <c r="I18" i="9" s="1"/>
  <c r="G9" i="9"/>
  <c r="I9" i="9" s="1"/>
  <c r="G19" i="9"/>
  <c r="I19" i="9" s="1"/>
  <c r="G10" i="9"/>
  <c r="I10" i="9" s="1"/>
  <c r="G20" i="9"/>
  <c r="I20" i="9" s="1"/>
  <c r="G5" i="9"/>
  <c r="I5" i="9" s="1"/>
  <c r="G14" i="9"/>
  <c r="I14" i="9" s="1"/>
  <c r="G23" i="9"/>
  <c r="I23" i="9" s="1"/>
  <c r="G32" i="9"/>
  <c r="I32" i="9" s="1"/>
  <c r="G42" i="9"/>
  <c r="I42" i="9" s="1"/>
  <c r="G6" i="9"/>
  <c r="I6" i="9" s="1"/>
  <c r="G24" i="9"/>
  <c r="I24" i="9" s="1"/>
  <c r="BG23" i="2"/>
  <c r="G26" i="9"/>
  <c r="I26" i="9" s="1"/>
  <c r="G27" i="9"/>
  <c r="I27" i="9" s="1"/>
  <c r="G11" i="9"/>
  <c r="I11" i="9" s="1"/>
  <c r="G29" i="9"/>
  <c r="I29" i="9" s="1"/>
  <c r="G4" i="9"/>
  <c r="I4" i="9" s="1"/>
  <c r="G22" i="9"/>
  <c r="I22" i="9" s="1"/>
  <c r="G7" i="9"/>
  <c r="I7" i="9" s="1"/>
  <c r="G15" i="9"/>
  <c r="I15" i="9" s="1"/>
  <c r="G25" i="9"/>
  <c r="I25" i="9" s="1"/>
  <c r="G33" i="9"/>
  <c r="I33" i="9" s="1"/>
  <c r="BT45" i="2"/>
  <c r="BT44" i="2"/>
  <c r="BT43" i="2"/>
  <c r="BT42" i="2"/>
  <c r="BT41" i="2"/>
  <c r="BT40" i="2"/>
  <c r="BT39" i="2"/>
  <c r="BT38" i="2"/>
  <c r="BT37" i="2"/>
  <c r="BT36" i="2"/>
  <c r="BT35" i="2"/>
  <c r="BT34" i="2"/>
  <c r="BT33" i="2"/>
  <c r="BT32" i="2"/>
  <c r="BT31" i="2"/>
  <c r="BT30" i="2"/>
  <c r="BT29" i="2"/>
  <c r="BT28" i="2"/>
  <c r="BT27" i="2"/>
  <c r="BT26" i="2"/>
  <c r="BT25" i="2"/>
  <c r="BD19" i="2" l="1"/>
  <c r="BD20" i="2" l="1"/>
  <c r="CR47" i="2"/>
  <c r="CN47" i="2"/>
  <c r="CR46" i="2"/>
  <c r="CN46" i="2"/>
  <c r="CJ46" i="2" s="1"/>
  <c r="CK46" i="2"/>
  <c r="CN45" i="2"/>
  <c r="CJ45" i="2"/>
  <c r="CN44" i="2"/>
  <c r="CJ44" i="2"/>
  <c r="CN43" i="2"/>
  <c r="CJ43" i="2"/>
  <c r="CN42" i="2"/>
  <c r="CJ42" i="2"/>
  <c r="CN41" i="2"/>
  <c r="CJ41" i="2"/>
  <c r="CN40" i="2"/>
  <c r="CJ40" i="2"/>
  <c r="CN39" i="2"/>
  <c r="CJ39" i="2"/>
  <c r="CN38" i="2"/>
  <c r="CJ38" i="2"/>
  <c r="CN37" i="2"/>
  <c r="CJ37" i="2"/>
  <c r="CN36" i="2"/>
  <c r="CJ36" i="2"/>
  <c r="CN35" i="2"/>
  <c r="CJ35" i="2"/>
  <c r="CN34" i="2"/>
  <c r="CJ34" i="2"/>
  <c r="CN33" i="2"/>
  <c r="CJ33" i="2"/>
  <c r="CN32" i="2"/>
  <c r="CJ32" i="2"/>
  <c r="CN31" i="2"/>
  <c r="CJ31" i="2"/>
  <c r="CN30" i="2"/>
  <c r="CJ30" i="2"/>
  <c r="CN29" i="2"/>
  <c r="CJ29" i="2"/>
  <c r="CN28" i="2"/>
  <c r="CJ28" i="2"/>
  <c r="CN27" i="2"/>
  <c r="CJ27" i="2"/>
  <c r="CN26" i="2"/>
  <c r="CJ26" i="2"/>
  <c r="CN25" i="2"/>
  <c r="CJ25" i="2"/>
  <c r="CN24" i="2"/>
  <c r="CJ24" i="2"/>
  <c r="CN23" i="2"/>
  <c r="CJ23" i="2"/>
  <c r="BT47" i="2"/>
  <c r="BD49" i="2"/>
  <c r="BD48" i="2"/>
  <c r="BD47" i="2"/>
  <c r="BD46" i="2"/>
  <c r="BD45" i="2"/>
  <c r="BD44" i="2"/>
  <c r="BD43" i="2"/>
  <c r="BD42" i="2"/>
  <c r="BD41" i="2"/>
  <c r="BD40" i="2"/>
  <c r="BD39" i="2"/>
  <c r="BD38" i="2"/>
  <c r="BD37" i="2"/>
  <c r="BD36" i="2"/>
  <c r="BD35" i="2"/>
  <c r="BD34" i="2"/>
  <c r="BD33" i="2"/>
  <c r="BD32" i="2"/>
  <c r="BD31" i="2"/>
  <c r="BD30" i="2"/>
  <c r="BD29" i="2"/>
  <c r="BD28" i="2"/>
  <c r="BD27" i="2"/>
  <c r="BD26" i="2"/>
  <c r="BD25" i="2"/>
  <c r="BD24" i="2"/>
  <c r="BD23" i="2"/>
  <c r="BD22" i="2"/>
  <c r="BD21" i="2"/>
  <c r="K6" i="1"/>
  <c r="D11" i="1"/>
  <c r="CJ47" i="2" l="1"/>
  <c r="CK47" i="2"/>
  <c r="AY44" i="2" l="1"/>
  <c r="H44" i="2" s="1"/>
  <c r="AY43" i="2"/>
  <c r="H43" i="2" s="1"/>
  <c r="AX36" i="2"/>
  <c r="E36" i="2" s="1"/>
  <c r="AY35" i="2"/>
  <c r="H35" i="2" s="1"/>
  <c r="AY33" i="2"/>
  <c r="H33" i="2" s="1"/>
  <c r="AY30" i="2"/>
  <c r="H30" i="2" s="1"/>
  <c r="AX29" i="2"/>
  <c r="E29" i="2" s="1"/>
  <c r="AX26" i="2"/>
  <c r="E26" i="2" s="1"/>
  <c r="AY24" i="2"/>
  <c r="H24" i="2" s="1"/>
  <c r="AO38" i="2"/>
  <c r="AO37" i="2"/>
  <c r="AO34" i="2"/>
  <c r="I44" i="2"/>
  <c r="I42" i="2"/>
  <c r="I39" i="2"/>
  <c r="I36" i="2"/>
  <c r="B36" i="2"/>
  <c r="AU44" i="2"/>
  <c r="AT44" i="2"/>
  <c r="K44" i="2" s="1"/>
  <c r="AQ44" i="2"/>
  <c r="AP44" i="2"/>
  <c r="AO44" i="2"/>
  <c r="AN44" i="2"/>
  <c r="AM44" i="2"/>
  <c r="AL44" i="2"/>
  <c r="AK44" i="2"/>
  <c r="AJ44" i="2"/>
  <c r="AI44" i="2"/>
  <c r="AH44" i="2"/>
  <c r="AG44" i="2"/>
  <c r="AF44" i="2"/>
  <c r="AE44" i="2"/>
  <c r="AD44" i="2"/>
  <c r="AC44" i="2"/>
  <c r="AB44" i="2"/>
  <c r="AA44" i="2"/>
  <c r="Z44" i="2"/>
  <c r="V44" i="2"/>
  <c r="U44" i="2"/>
  <c r="T44" i="2"/>
  <c r="S44" i="2"/>
  <c r="R44" i="2"/>
  <c r="Q44" i="2"/>
  <c r="P44" i="2"/>
  <c r="O44" i="2"/>
  <c r="N44" i="2"/>
  <c r="M44" i="2"/>
  <c r="G44" i="2"/>
  <c r="F44" i="2"/>
  <c r="D44" i="2"/>
  <c r="AX43" i="2"/>
  <c r="E43" i="2" s="1"/>
  <c r="AU43" i="2"/>
  <c r="AT43" i="2"/>
  <c r="K43" i="2" s="1"/>
  <c r="AQ43" i="2"/>
  <c r="AP43" i="2"/>
  <c r="AO43" i="2"/>
  <c r="AN43" i="2"/>
  <c r="AM43" i="2"/>
  <c r="AL43" i="2"/>
  <c r="AK43" i="2"/>
  <c r="AJ43" i="2"/>
  <c r="AI43" i="2"/>
  <c r="AH43" i="2"/>
  <c r="AG43" i="2"/>
  <c r="AF43" i="2"/>
  <c r="AE43" i="2"/>
  <c r="AD43" i="2"/>
  <c r="AC43" i="2"/>
  <c r="AB43" i="2"/>
  <c r="AA43" i="2"/>
  <c r="Z43" i="2"/>
  <c r="V43" i="2"/>
  <c r="U43" i="2"/>
  <c r="T43" i="2"/>
  <c r="S43" i="2"/>
  <c r="R43" i="2"/>
  <c r="Q43" i="2"/>
  <c r="P43" i="2"/>
  <c r="O43" i="2"/>
  <c r="N43" i="2"/>
  <c r="M43" i="2"/>
  <c r="I43" i="2"/>
  <c r="G43" i="2"/>
  <c r="F43" i="2"/>
  <c r="D43" i="2"/>
  <c r="AY42" i="2"/>
  <c r="H42" i="2" s="1"/>
  <c r="AX42" i="2"/>
  <c r="E42" i="2" s="1"/>
  <c r="AU42" i="2"/>
  <c r="AT42" i="2"/>
  <c r="K42" i="2" s="1"/>
  <c r="AQ42" i="2"/>
  <c r="AP42" i="2"/>
  <c r="AO42" i="2"/>
  <c r="AN42" i="2"/>
  <c r="AM42" i="2"/>
  <c r="AL42" i="2"/>
  <c r="AK42" i="2"/>
  <c r="AJ42" i="2"/>
  <c r="AI42" i="2"/>
  <c r="AH42" i="2"/>
  <c r="AG42" i="2"/>
  <c r="AF42" i="2"/>
  <c r="AE42" i="2"/>
  <c r="AD42" i="2"/>
  <c r="AC42" i="2"/>
  <c r="AB42" i="2"/>
  <c r="AA42" i="2"/>
  <c r="Z42" i="2"/>
  <c r="V42" i="2"/>
  <c r="U42" i="2"/>
  <c r="T42" i="2"/>
  <c r="S42" i="2"/>
  <c r="R42" i="2"/>
  <c r="Q42" i="2"/>
  <c r="P42" i="2"/>
  <c r="O42" i="2"/>
  <c r="N42" i="2"/>
  <c r="M42" i="2"/>
  <c r="G42" i="2"/>
  <c r="F42" i="2"/>
  <c r="D42" i="2"/>
  <c r="AY41" i="2"/>
  <c r="H41" i="2" s="1"/>
  <c r="AX41" i="2"/>
  <c r="E41" i="2" s="1"/>
  <c r="AU41" i="2"/>
  <c r="AT41" i="2"/>
  <c r="K41" i="2" s="1"/>
  <c r="AQ41" i="2"/>
  <c r="AP41" i="2"/>
  <c r="AO41" i="2"/>
  <c r="AN41" i="2"/>
  <c r="AM41" i="2"/>
  <c r="AL41" i="2"/>
  <c r="AK41" i="2"/>
  <c r="AJ41" i="2"/>
  <c r="AI41" i="2"/>
  <c r="AH41" i="2"/>
  <c r="AG41" i="2"/>
  <c r="AF41" i="2"/>
  <c r="AE41" i="2"/>
  <c r="AD41" i="2"/>
  <c r="AC41" i="2"/>
  <c r="AB41" i="2"/>
  <c r="AA41" i="2"/>
  <c r="Z41" i="2"/>
  <c r="V41" i="2"/>
  <c r="U41" i="2"/>
  <c r="T41" i="2"/>
  <c r="S41" i="2"/>
  <c r="R41" i="2"/>
  <c r="Q41" i="2"/>
  <c r="P41" i="2"/>
  <c r="O41" i="2"/>
  <c r="N41" i="2"/>
  <c r="M41" i="2"/>
  <c r="I41" i="2"/>
  <c r="G41" i="2"/>
  <c r="F41" i="2"/>
  <c r="D41" i="2"/>
  <c r="AY40" i="2"/>
  <c r="H40" i="2" s="1"/>
  <c r="AX40" i="2"/>
  <c r="E40" i="2" s="1"/>
  <c r="AU40" i="2"/>
  <c r="AT40" i="2"/>
  <c r="K40" i="2" s="1"/>
  <c r="AQ40" i="2"/>
  <c r="AP40" i="2"/>
  <c r="AO40" i="2"/>
  <c r="AN40" i="2"/>
  <c r="AM40" i="2"/>
  <c r="AL40" i="2"/>
  <c r="AK40" i="2"/>
  <c r="AJ40" i="2"/>
  <c r="AI40" i="2"/>
  <c r="AH40" i="2"/>
  <c r="AG40" i="2"/>
  <c r="AF40" i="2"/>
  <c r="AE40" i="2"/>
  <c r="AD40" i="2"/>
  <c r="AC40" i="2"/>
  <c r="AB40" i="2"/>
  <c r="AA40" i="2"/>
  <c r="Z40" i="2"/>
  <c r="V40" i="2"/>
  <c r="U40" i="2"/>
  <c r="T40" i="2"/>
  <c r="S40" i="2"/>
  <c r="R40" i="2"/>
  <c r="Q40" i="2"/>
  <c r="P40" i="2"/>
  <c r="O40" i="2"/>
  <c r="N40" i="2"/>
  <c r="M40" i="2"/>
  <c r="I40" i="2"/>
  <c r="G40" i="2"/>
  <c r="F40" i="2"/>
  <c r="D40" i="2"/>
  <c r="AY39" i="2"/>
  <c r="H39" i="2" s="1"/>
  <c r="AX39" i="2"/>
  <c r="E39" i="2" s="1"/>
  <c r="AU39" i="2"/>
  <c r="AT39" i="2"/>
  <c r="K39" i="2" s="1"/>
  <c r="AQ39" i="2"/>
  <c r="AP39" i="2"/>
  <c r="AO39" i="2"/>
  <c r="AN39" i="2"/>
  <c r="AM39" i="2"/>
  <c r="AL39" i="2"/>
  <c r="AK39" i="2"/>
  <c r="AJ39" i="2"/>
  <c r="AI39" i="2"/>
  <c r="AH39" i="2"/>
  <c r="AG39" i="2"/>
  <c r="AF39" i="2"/>
  <c r="AE39" i="2"/>
  <c r="AD39" i="2"/>
  <c r="AC39" i="2"/>
  <c r="AB39" i="2"/>
  <c r="AA39" i="2"/>
  <c r="Z39" i="2"/>
  <c r="V39" i="2"/>
  <c r="U39" i="2"/>
  <c r="T39" i="2"/>
  <c r="S39" i="2"/>
  <c r="R39" i="2"/>
  <c r="Q39" i="2"/>
  <c r="P39" i="2"/>
  <c r="O39" i="2"/>
  <c r="N39" i="2"/>
  <c r="M39" i="2"/>
  <c r="G39" i="2"/>
  <c r="F39" i="2"/>
  <c r="D39" i="2"/>
  <c r="B39" i="2"/>
  <c r="AY38" i="2"/>
  <c r="H38" i="2" s="1"/>
  <c r="AX38" i="2"/>
  <c r="E38" i="2" s="1"/>
  <c r="AU38" i="2"/>
  <c r="AT38" i="2"/>
  <c r="K38" i="2" s="1"/>
  <c r="AQ38" i="2"/>
  <c r="AP38" i="2"/>
  <c r="AN38" i="2"/>
  <c r="AM38" i="2"/>
  <c r="AL38" i="2"/>
  <c r="AK38" i="2"/>
  <c r="AJ38" i="2"/>
  <c r="AI38" i="2"/>
  <c r="AH38" i="2"/>
  <c r="AG38" i="2"/>
  <c r="AF38" i="2"/>
  <c r="AE38" i="2"/>
  <c r="AD38" i="2"/>
  <c r="AC38" i="2"/>
  <c r="AB38" i="2"/>
  <c r="AA38" i="2"/>
  <c r="Z38" i="2"/>
  <c r="V38" i="2"/>
  <c r="U38" i="2"/>
  <c r="T38" i="2"/>
  <c r="S38" i="2"/>
  <c r="R38" i="2"/>
  <c r="Q38" i="2"/>
  <c r="P38" i="2"/>
  <c r="O38" i="2"/>
  <c r="N38" i="2"/>
  <c r="M38" i="2"/>
  <c r="I38" i="2"/>
  <c r="G38" i="2"/>
  <c r="F38" i="2"/>
  <c r="D38" i="2"/>
  <c r="B38" i="2"/>
  <c r="AY37" i="2"/>
  <c r="H37" i="2" s="1"/>
  <c r="AX37" i="2"/>
  <c r="E37" i="2" s="1"/>
  <c r="AU37" i="2"/>
  <c r="AT37" i="2"/>
  <c r="K37" i="2" s="1"/>
  <c r="AQ37" i="2"/>
  <c r="AP37" i="2"/>
  <c r="AN37" i="2"/>
  <c r="AM37" i="2"/>
  <c r="AL37" i="2"/>
  <c r="AK37" i="2"/>
  <c r="AJ37" i="2"/>
  <c r="AI37" i="2"/>
  <c r="AH37" i="2"/>
  <c r="AG37" i="2"/>
  <c r="AF37" i="2"/>
  <c r="AE37" i="2"/>
  <c r="AD37" i="2"/>
  <c r="AC37" i="2"/>
  <c r="AB37" i="2"/>
  <c r="AA37" i="2"/>
  <c r="Z37" i="2"/>
  <c r="V37" i="2"/>
  <c r="U37" i="2"/>
  <c r="T37" i="2"/>
  <c r="S37" i="2"/>
  <c r="R37" i="2"/>
  <c r="Q37" i="2"/>
  <c r="P37" i="2"/>
  <c r="O37" i="2"/>
  <c r="N37" i="2"/>
  <c r="M37" i="2"/>
  <c r="I37" i="2"/>
  <c r="G37" i="2"/>
  <c r="F37" i="2"/>
  <c r="D37" i="2"/>
  <c r="B37" i="2"/>
  <c r="AY36" i="2"/>
  <c r="H36" i="2" s="1"/>
  <c r="AU36" i="2"/>
  <c r="AT36" i="2"/>
  <c r="K36" i="2" s="1"/>
  <c r="AQ36" i="2"/>
  <c r="AP36" i="2"/>
  <c r="AO36" i="2"/>
  <c r="AN36" i="2"/>
  <c r="AM36" i="2"/>
  <c r="AL36" i="2"/>
  <c r="AK36" i="2"/>
  <c r="AJ36" i="2"/>
  <c r="AI36" i="2"/>
  <c r="AH36" i="2"/>
  <c r="AG36" i="2"/>
  <c r="AF36" i="2"/>
  <c r="AE36" i="2"/>
  <c r="AD36" i="2"/>
  <c r="AC36" i="2"/>
  <c r="AB36" i="2"/>
  <c r="AA36" i="2"/>
  <c r="Z36" i="2"/>
  <c r="V36" i="2"/>
  <c r="U36" i="2"/>
  <c r="T36" i="2"/>
  <c r="S36" i="2"/>
  <c r="R36" i="2"/>
  <c r="Q36" i="2"/>
  <c r="P36" i="2"/>
  <c r="O36" i="2"/>
  <c r="N36" i="2"/>
  <c r="M36" i="2"/>
  <c r="G36" i="2"/>
  <c r="F36" i="2"/>
  <c r="D36" i="2"/>
  <c r="AX35" i="2"/>
  <c r="E35" i="2" s="1"/>
  <c r="AU35" i="2"/>
  <c r="AT35" i="2"/>
  <c r="K35" i="2" s="1"/>
  <c r="AQ35" i="2"/>
  <c r="AP35" i="2"/>
  <c r="AO35" i="2"/>
  <c r="AN35" i="2"/>
  <c r="AM35" i="2"/>
  <c r="AL35" i="2"/>
  <c r="AK35" i="2"/>
  <c r="AJ35" i="2"/>
  <c r="AI35" i="2"/>
  <c r="AH35" i="2"/>
  <c r="AG35" i="2"/>
  <c r="AF35" i="2"/>
  <c r="AE35" i="2"/>
  <c r="AD35" i="2"/>
  <c r="AC35" i="2"/>
  <c r="AB35" i="2"/>
  <c r="AA35" i="2"/>
  <c r="Z35" i="2"/>
  <c r="V35" i="2"/>
  <c r="U35" i="2"/>
  <c r="T35" i="2"/>
  <c r="S35" i="2"/>
  <c r="R35" i="2"/>
  <c r="Q35" i="2"/>
  <c r="P35" i="2"/>
  <c r="O35" i="2"/>
  <c r="N35" i="2"/>
  <c r="M35" i="2"/>
  <c r="I35" i="2"/>
  <c r="G35" i="2"/>
  <c r="F35" i="2"/>
  <c r="D35" i="2"/>
  <c r="AY34" i="2"/>
  <c r="H34" i="2" s="1"/>
  <c r="AX34" i="2"/>
  <c r="E34" i="2" s="1"/>
  <c r="AU34" i="2"/>
  <c r="AT34" i="2"/>
  <c r="K34" i="2" s="1"/>
  <c r="AQ34" i="2"/>
  <c r="AP34" i="2"/>
  <c r="AN34" i="2"/>
  <c r="AM34" i="2"/>
  <c r="AL34" i="2"/>
  <c r="AK34" i="2"/>
  <c r="AJ34" i="2"/>
  <c r="AI34" i="2"/>
  <c r="AH34" i="2"/>
  <c r="AG34" i="2"/>
  <c r="AF34" i="2"/>
  <c r="AE34" i="2"/>
  <c r="AD34" i="2"/>
  <c r="AC34" i="2"/>
  <c r="AB34" i="2"/>
  <c r="AA34" i="2"/>
  <c r="Z34" i="2"/>
  <c r="V34" i="2"/>
  <c r="U34" i="2"/>
  <c r="T34" i="2"/>
  <c r="S34" i="2"/>
  <c r="R34" i="2"/>
  <c r="Q34" i="2"/>
  <c r="P34" i="2"/>
  <c r="O34" i="2"/>
  <c r="N34" i="2"/>
  <c r="M34" i="2"/>
  <c r="I34" i="2"/>
  <c r="G34" i="2"/>
  <c r="F34" i="2"/>
  <c r="D34" i="2"/>
  <c r="AX33" i="2"/>
  <c r="E33" i="2" s="1"/>
  <c r="AU33" i="2"/>
  <c r="AT33" i="2"/>
  <c r="K33" i="2" s="1"/>
  <c r="AQ33" i="2"/>
  <c r="AP33" i="2"/>
  <c r="AO33" i="2"/>
  <c r="AN33" i="2"/>
  <c r="AM33" i="2"/>
  <c r="AL33" i="2"/>
  <c r="AK33" i="2"/>
  <c r="AJ33" i="2"/>
  <c r="AI33" i="2"/>
  <c r="AH33" i="2"/>
  <c r="AG33" i="2"/>
  <c r="AF33" i="2"/>
  <c r="AE33" i="2"/>
  <c r="AD33" i="2"/>
  <c r="AC33" i="2"/>
  <c r="AB33" i="2"/>
  <c r="AA33" i="2"/>
  <c r="Z33" i="2"/>
  <c r="V33" i="2"/>
  <c r="U33" i="2"/>
  <c r="T33" i="2"/>
  <c r="S33" i="2"/>
  <c r="R33" i="2"/>
  <c r="Q33" i="2"/>
  <c r="P33" i="2"/>
  <c r="O33" i="2"/>
  <c r="N33" i="2"/>
  <c r="M33" i="2"/>
  <c r="I33" i="2"/>
  <c r="G33" i="2"/>
  <c r="F33" i="2"/>
  <c r="D33" i="2"/>
  <c r="B33" i="2"/>
  <c r="AY32" i="2"/>
  <c r="H32" i="2" s="1"/>
  <c r="AX32" i="2"/>
  <c r="E32" i="2" s="1"/>
  <c r="AU32" i="2"/>
  <c r="AT32" i="2"/>
  <c r="K32" i="2" s="1"/>
  <c r="AQ32" i="2"/>
  <c r="AP32" i="2"/>
  <c r="AO32" i="2"/>
  <c r="AN32" i="2"/>
  <c r="AM32" i="2"/>
  <c r="AL32" i="2"/>
  <c r="AK32" i="2"/>
  <c r="AJ32" i="2"/>
  <c r="AI32" i="2"/>
  <c r="AH32" i="2"/>
  <c r="AG32" i="2"/>
  <c r="AF32" i="2"/>
  <c r="AE32" i="2"/>
  <c r="AD32" i="2"/>
  <c r="AC32" i="2"/>
  <c r="AB32" i="2"/>
  <c r="AA32" i="2"/>
  <c r="Z32" i="2"/>
  <c r="V32" i="2"/>
  <c r="U32" i="2"/>
  <c r="T32" i="2"/>
  <c r="S32" i="2"/>
  <c r="R32" i="2"/>
  <c r="Q32" i="2"/>
  <c r="P32" i="2"/>
  <c r="O32" i="2"/>
  <c r="N32" i="2"/>
  <c r="M32" i="2"/>
  <c r="I32" i="2"/>
  <c r="G32" i="2"/>
  <c r="F32" i="2"/>
  <c r="D32" i="2"/>
  <c r="AY31" i="2"/>
  <c r="H31" i="2" s="1"/>
  <c r="AX31" i="2"/>
  <c r="E31" i="2" s="1"/>
  <c r="AU31" i="2"/>
  <c r="AT31" i="2"/>
  <c r="K31" i="2" s="1"/>
  <c r="AQ31" i="2"/>
  <c r="AP31" i="2"/>
  <c r="AO31" i="2"/>
  <c r="AN31" i="2"/>
  <c r="AM31" i="2"/>
  <c r="AL31" i="2"/>
  <c r="AK31" i="2"/>
  <c r="AJ31" i="2"/>
  <c r="AI31" i="2"/>
  <c r="AH31" i="2"/>
  <c r="AG31" i="2"/>
  <c r="AF31" i="2"/>
  <c r="AE31" i="2"/>
  <c r="AD31" i="2"/>
  <c r="AC31" i="2"/>
  <c r="AB31" i="2"/>
  <c r="AA31" i="2"/>
  <c r="Z31" i="2"/>
  <c r="V31" i="2"/>
  <c r="U31" i="2"/>
  <c r="T31" i="2"/>
  <c r="S31" i="2"/>
  <c r="R31" i="2"/>
  <c r="Q31" i="2"/>
  <c r="P31" i="2"/>
  <c r="O31" i="2"/>
  <c r="N31" i="2"/>
  <c r="M31" i="2"/>
  <c r="I31" i="2"/>
  <c r="G31" i="2"/>
  <c r="F31" i="2"/>
  <c r="D31" i="2"/>
  <c r="B31" i="2"/>
  <c r="AX30" i="2"/>
  <c r="E30" i="2" s="1"/>
  <c r="AU30" i="2"/>
  <c r="AT30" i="2"/>
  <c r="K30" i="2" s="1"/>
  <c r="AQ30" i="2"/>
  <c r="AP30" i="2"/>
  <c r="AO30" i="2"/>
  <c r="AN30" i="2"/>
  <c r="AM30" i="2"/>
  <c r="AL30" i="2"/>
  <c r="AK30" i="2"/>
  <c r="AJ30" i="2"/>
  <c r="AI30" i="2"/>
  <c r="AH30" i="2"/>
  <c r="AG30" i="2"/>
  <c r="AF30" i="2"/>
  <c r="AE30" i="2"/>
  <c r="AD30" i="2"/>
  <c r="AC30" i="2"/>
  <c r="AB30" i="2"/>
  <c r="AA30" i="2"/>
  <c r="Z30" i="2"/>
  <c r="V30" i="2"/>
  <c r="U30" i="2"/>
  <c r="T30" i="2"/>
  <c r="S30" i="2"/>
  <c r="R30" i="2"/>
  <c r="Q30" i="2"/>
  <c r="P30" i="2"/>
  <c r="O30" i="2"/>
  <c r="N30" i="2"/>
  <c r="M30" i="2"/>
  <c r="I30" i="2"/>
  <c r="G30" i="2"/>
  <c r="F30" i="2"/>
  <c r="D30" i="2"/>
  <c r="B30" i="2"/>
  <c r="AY29" i="2"/>
  <c r="H29" i="2" s="1"/>
  <c r="AU29" i="2"/>
  <c r="AT29" i="2"/>
  <c r="K29" i="2" s="1"/>
  <c r="AQ29" i="2"/>
  <c r="AP29" i="2"/>
  <c r="AO29" i="2"/>
  <c r="AN29" i="2"/>
  <c r="AM29" i="2"/>
  <c r="AL29" i="2"/>
  <c r="AK29" i="2"/>
  <c r="AJ29" i="2"/>
  <c r="AI29" i="2"/>
  <c r="AH29" i="2"/>
  <c r="AG29" i="2"/>
  <c r="AF29" i="2"/>
  <c r="AE29" i="2"/>
  <c r="AD29" i="2"/>
  <c r="AC29" i="2"/>
  <c r="AB29" i="2"/>
  <c r="AA29" i="2"/>
  <c r="Z29" i="2"/>
  <c r="V29" i="2"/>
  <c r="U29" i="2"/>
  <c r="T29" i="2"/>
  <c r="S29" i="2"/>
  <c r="R29" i="2"/>
  <c r="Q29" i="2"/>
  <c r="P29" i="2"/>
  <c r="O29" i="2"/>
  <c r="N29" i="2"/>
  <c r="M29" i="2"/>
  <c r="I29" i="2"/>
  <c r="G29" i="2"/>
  <c r="F29" i="2"/>
  <c r="D29" i="2"/>
  <c r="B29" i="2"/>
  <c r="AY28" i="2"/>
  <c r="H28" i="2" s="1"/>
  <c r="AX28" i="2"/>
  <c r="E28" i="2" s="1"/>
  <c r="AU28" i="2"/>
  <c r="AT28" i="2"/>
  <c r="K28" i="2" s="1"/>
  <c r="AQ28" i="2"/>
  <c r="AP28" i="2"/>
  <c r="AO28" i="2"/>
  <c r="AN28" i="2"/>
  <c r="AM28" i="2"/>
  <c r="AL28" i="2"/>
  <c r="AK28" i="2"/>
  <c r="AJ28" i="2"/>
  <c r="AI28" i="2"/>
  <c r="AH28" i="2"/>
  <c r="AG28" i="2"/>
  <c r="AF28" i="2"/>
  <c r="AE28" i="2"/>
  <c r="AD28" i="2"/>
  <c r="AC28" i="2"/>
  <c r="AB28" i="2"/>
  <c r="AA28" i="2"/>
  <c r="Z28" i="2"/>
  <c r="V28" i="2"/>
  <c r="U28" i="2"/>
  <c r="T28" i="2"/>
  <c r="S28" i="2"/>
  <c r="R28" i="2"/>
  <c r="Q28" i="2"/>
  <c r="P28" i="2"/>
  <c r="O28" i="2"/>
  <c r="N28" i="2"/>
  <c r="M28" i="2"/>
  <c r="I28" i="2"/>
  <c r="G28" i="2"/>
  <c r="F28" i="2"/>
  <c r="D28" i="2"/>
  <c r="B28" i="2"/>
  <c r="AY27" i="2"/>
  <c r="H27" i="2" s="1"/>
  <c r="AX27" i="2"/>
  <c r="E27" i="2" s="1"/>
  <c r="AU27" i="2"/>
  <c r="AT27" i="2"/>
  <c r="K27" i="2" s="1"/>
  <c r="AQ27" i="2"/>
  <c r="AP27" i="2"/>
  <c r="AO27" i="2"/>
  <c r="AN27" i="2"/>
  <c r="AM27" i="2"/>
  <c r="AL27" i="2"/>
  <c r="AK27" i="2"/>
  <c r="AJ27" i="2"/>
  <c r="AI27" i="2"/>
  <c r="AH27" i="2"/>
  <c r="AG27" i="2"/>
  <c r="AF27" i="2"/>
  <c r="AE27" i="2"/>
  <c r="AD27" i="2"/>
  <c r="AC27" i="2"/>
  <c r="AB27" i="2"/>
  <c r="AA27" i="2"/>
  <c r="Z27" i="2"/>
  <c r="V27" i="2"/>
  <c r="U27" i="2"/>
  <c r="T27" i="2"/>
  <c r="S27" i="2"/>
  <c r="R27" i="2"/>
  <c r="Q27" i="2"/>
  <c r="P27" i="2"/>
  <c r="O27" i="2"/>
  <c r="N27" i="2"/>
  <c r="M27" i="2"/>
  <c r="I27" i="2"/>
  <c r="G27" i="2"/>
  <c r="F27" i="2"/>
  <c r="D27" i="2"/>
  <c r="B27" i="2"/>
  <c r="AY26" i="2"/>
  <c r="AU26" i="2"/>
  <c r="AT26" i="2"/>
  <c r="K26" i="2" s="1"/>
  <c r="AQ26" i="2"/>
  <c r="AP26" i="2"/>
  <c r="AO26" i="2"/>
  <c r="AN26" i="2"/>
  <c r="AM26" i="2"/>
  <c r="AL26" i="2"/>
  <c r="AK26" i="2"/>
  <c r="AJ26" i="2"/>
  <c r="AI26" i="2"/>
  <c r="AH26" i="2"/>
  <c r="AG26" i="2"/>
  <c r="AF26" i="2"/>
  <c r="AE26" i="2"/>
  <c r="AD26" i="2"/>
  <c r="AC26" i="2"/>
  <c r="AB26" i="2"/>
  <c r="AA26" i="2"/>
  <c r="Z26" i="2"/>
  <c r="V26" i="2"/>
  <c r="U26" i="2"/>
  <c r="T26" i="2"/>
  <c r="S26" i="2"/>
  <c r="R26" i="2"/>
  <c r="Q26" i="2"/>
  <c r="P26" i="2"/>
  <c r="O26" i="2"/>
  <c r="N26" i="2"/>
  <c r="M26" i="2"/>
  <c r="I26" i="2"/>
  <c r="G26" i="2"/>
  <c r="F26" i="2"/>
  <c r="D26" i="2"/>
  <c r="AY25" i="2"/>
  <c r="H25" i="2" s="1"/>
  <c r="AU25" i="2"/>
  <c r="AT25" i="2"/>
  <c r="K25" i="2" s="1"/>
  <c r="AQ25" i="2"/>
  <c r="AP25" i="2"/>
  <c r="AO25" i="2"/>
  <c r="AN25" i="2"/>
  <c r="AM25" i="2"/>
  <c r="AL25" i="2"/>
  <c r="AK25" i="2"/>
  <c r="AJ25" i="2"/>
  <c r="AI25" i="2"/>
  <c r="AH25" i="2"/>
  <c r="AG25" i="2"/>
  <c r="AF25" i="2"/>
  <c r="AE25" i="2"/>
  <c r="AD25" i="2"/>
  <c r="AC25" i="2"/>
  <c r="AB25" i="2"/>
  <c r="AA25" i="2"/>
  <c r="Z25" i="2"/>
  <c r="V25" i="2"/>
  <c r="U25" i="2"/>
  <c r="T25" i="2"/>
  <c r="S25" i="2"/>
  <c r="R25" i="2"/>
  <c r="Q25" i="2"/>
  <c r="P25" i="2"/>
  <c r="O25" i="2"/>
  <c r="N25" i="2"/>
  <c r="M25" i="2"/>
  <c r="I25" i="2"/>
  <c r="G25" i="2"/>
  <c r="F25" i="2"/>
  <c r="D25" i="2"/>
  <c r="B25" i="2"/>
  <c r="AU24" i="2"/>
  <c r="AT24" i="2"/>
  <c r="K24" i="2" s="1"/>
  <c r="AQ24" i="2"/>
  <c r="AP24" i="2"/>
  <c r="AO24" i="2"/>
  <c r="AN24" i="2"/>
  <c r="AM24" i="2"/>
  <c r="AL24" i="2"/>
  <c r="AK24" i="2"/>
  <c r="AJ24" i="2"/>
  <c r="AI24" i="2"/>
  <c r="AH24" i="2"/>
  <c r="AG24" i="2"/>
  <c r="AF24" i="2"/>
  <c r="AE24" i="2"/>
  <c r="AD24" i="2"/>
  <c r="AC24" i="2"/>
  <c r="AB24" i="2"/>
  <c r="AA24" i="2"/>
  <c r="Z24" i="2"/>
  <c r="V24" i="2"/>
  <c r="U24" i="2"/>
  <c r="T24" i="2"/>
  <c r="S24" i="2"/>
  <c r="R24" i="2"/>
  <c r="Q24" i="2"/>
  <c r="P24" i="2"/>
  <c r="O24" i="2"/>
  <c r="N24" i="2"/>
  <c r="M24" i="2"/>
  <c r="I24" i="2"/>
  <c r="G24" i="2"/>
  <c r="F24" i="2"/>
  <c r="D24" i="2"/>
  <c r="B24" i="2"/>
  <c r="AY23" i="2"/>
  <c r="H23" i="2" s="1"/>
  <c r="AX23" i="2"/>
  <c r="E23" i="2" s="1"/>
  <c r="AU23" i="2"/>
  <c r="AT23" i="2"/>
  <c r="K23" i="2" s="1"/>
  <c r="AQ23" i="2"/>
  <c r="AP23" i="2"/>
  <c r="AO23" i="2"/>
  <c r="AN23" i="2"/>
  <c r="AM23" i="2"/>
  <c r="AL23" i="2"/>
  <c r="AK23" i="2"/>
  <c r="AJ23" i="2"/>
  <c r="AI23" i="2"/>
  <c r="AH23" i="2"/>
  <c r="AG23" i="2"/>
  <c r="AF23" i="2"/>
  <c r="AE23" i="2"/>
  <c r="AD23" i="2"/>
  <c r="AC23" i="2"/>
  <c r="AB23" i="2"/>
  <c r="AA23" i="2"/>
  <c r="Z23" i="2"/>
  <c r="V23" i="2"/>
  <c r="U23" i="2"/>
  <c r="T23" i="2"/>
  <c r="S23" i="2"/>
  <c r="R23" i="2"/>
  <c r="Q23" i="2"/>
  <c r="P23" i="2"/>
  <c r="O23" i="2"/>
  <c r="N23" i="2"/>
  <c r="M23" i="2"/>
  <c r="I23" i="2"/>
  <c r="G23" i="2"/>
  <c r="F23" i="2"/>
  <c r="D23" i="2"/>
  <c r="B23" i="2"/>
  <c r="AY22" i="2"/>
  <c r="H22" i="2" s="1"/>
  <c r="AX22" i="2"/>
  <c r="E22" i="2" s="1"/>
  <c r="AU22" i="2"/>
  <c r="AT22" i="2"/>
  <c r="K22" i="2" s="1"/>
  <c r="AQ22" i="2"/>
  <c r="AP22" i="2"/>
  <c r="AO22" i="2"/>
  <c r="AN22" i="2"/>
  <c r="AM22" i="2"/>
  <c r="AL22" i="2"/>
  <c r="AK22" i="2"/>
  <c r="AJ22" i="2"/>
  <c r="AI22" i="2"/>
  <c r="AH22" i="2"/>
  <c r="AG22" i="2"/>
  <c r="AF22" i="2"/>
  <c r="AE22" i="2"/>
  <c r="AD22" i="2"/>
  <c r="AC22" i="2"/>
  <c r="AB22" i="2"/>
  <c r="AA22" i="2"/>
  <c r="Z22" i="2"/>
  <c r="V22" i="2"/>
  <c r="U22" i="2"/>
  <c r="T22" i="2"/>
  <c r="S22" i="2"/>
  <c r="R22" i="2"/>
  <c r="Q22" i="2"/>
  <c r="P22" i="2"/>
  <c r="O22" i="2"/>
  <c r="N22" i="2"/>
  <c r="M22" i="2"/>
  <c r="I22" i="2"/>
  <c r="G22" i="2"/>
  <c r="F22" i="2"/>
  <c r="D22" i="2"/>
  <c r="B22" i="2"/>
  <c r="AY21" i="2"/>
  <c r="H21" i="2" s="1"/>
  <c r="AX21" i="2"/>
  <c r="E21" i="2" s="1"/>
  <c r="AU21" i="2"/>
  <c r="AT21" i="2"/>
  <c r="K21" i="2" s="1"/>
  <c r="AQ21" i="2"/>
  <c r="AP21" i="2"/>
  <c r="AO21" i="2"/>
  <c r="AN21" i="2"/>
  <c r="AM21" i="2"/>
  <c r="AL21" i="2"/>
  <c r="AK21" i="2"/>
  <c r="AJ21" i="2"/>
  <c r="AI21" i="2"/>
  <c r="AH21" i="2"/>
  <c r="AG21" i="2"/>
  <c r="AF21" i="2"/>
  <c r="AE21" i="2"/>
  <c r="AD21" i="2"/>
  <c r="AC21" i="2"/>
  <c r="AB21" i="2"/>
  <c r="AA21" i="2"/>
  <c r="Z21" i="2"/>
  <c r="V21" i="2"/>
  <c r="U21" i="2"/>
  <c r="T21" i="2"/>
  <c r="S21" i="2"/>
  <c r="R21" i="2"/>
  <c r="Q21" i="2"/>
  <c r="P21" i="2"/>
  <c r="O21" i="2"/>
  <c r="N21" i="2"/>
  <c r="M21" i="2"/>
  <c r="I21" i="2"/>
  <c r="G21" i="2"/>
  <c r="F21" i="2"/>
  <c r="D21" i="2"/>
  <c r="B21" i="2"/>
  <c r="AY20" i="2"/>
  <c r="H20" i="2" s="1"/>
  <c r="AX20" i="2"/>
  <c r="E20" i="2" s="1"/>
  <c r="AU20" i="2"/>
  <c r="AT20" i="2"/>
  <c r="K20" i="2" s="1"/>
  <c r="AQ20" i="2"/>
  <c r="AP20" i="2"/>
  <c r="AO20" i="2"/>
  <c r="AN20" i="2"/>
  <c r="AM20" i="2"/>
  <c r="AL20" i="2"/>
  <c r="AK20" i="2"/>
  <c r="AJ20" i="2"/>
  <c r="AI20" i="2"/>
  <c r="AH20" i="2"/>
  <c r="AG20" i="2"/>
  <c r="AF20" i="2"/>
  <c r="AE20" i="2"/>
  <c r="AD20" i="2"/>
  <c r="AC20" i="2"/>
  <c r="AB20" i="2"/>
  <c r="AA20" i="2"/>
  <c r="Z20" i="2"/>
  <c r="V20" i="2"/>
  <c r="U20" i="2"/>
  <c r="T20" i="2"/>
  <c r="S20" i="2"/>
  <c r="R20" i="2"/>
  <c r="Q20" i="2"/>
  <c r="P20" i="2"/>
  <c r="O20" i="2"/>
  <c r="N20" i="2"/>
  <c r="M20" i="2"/>
  <c r="I20" i="2"/>
  <c r="G20" i="2"/>
  <c r="F20" i="2"/>
  <c r="D20" i="2"/>
  <c r="B20" i="2"/>
  <c r="AY19" i="2"/>
  <c r="H19" i="2" s="1"/>
  <c r="AX19" i="2"/>
  <c r="E19" i="2" s="1"/>
  <c r="AU19" i="2"/>
  <c r="AT19" i="2"/>
  <c r="K19" i="2" s="1"/>
  <c r="AQ19" i="2"/>
  <c r="AP19" i="2"/>
  <c r="AO19" i="2"/>
  <c r="AN19" i="2"/>
  <c r="AM19" i="2"/>
  <c r="AL19" i="2"/>
  <c r="AK19" i="2"/>
  <c r="AJ19" i="2"/>
  <c r="AI19" i="2"/>
  <c r="AH19" i="2"/>
  <c r="AG19" i="2"/>
  <c r="AF19" i="2"/>
  <c r="AE19" i="2"/>
  <c r="AD19" i="2"/>
  <c r="AC19" i="2"/>
  <c r="AB19" i="2"/>
  <c r="AA19" i="2"/>
  <c r="Z19" i="2"/>
  <c r="V19" i="2"/>
  <c r="U19" i="2"/>
  <c r="T19" i="2"/>
  <c r="S19" i="2"/>
  <c r="R19" i="2"/>
  <c r="Q19" i="2"/>
  <c r="P19" i="2"/>
  <c r="O19" i="2"/>
  <c r="N19" i="2"/>
  <c r="M19" i="2"/>
  <c r="I19" i="2"/>
  <c r="G19" i="2"/>
  <c r="F19" i="2"/>
  <c r="D19" i="2"/>
  <c r="B19" i="2"/>
  <c r="AX25" i="2" l="1"/>
  <c r="E25" i="2" s="1"/>
  <c r="AV40" i="2"/>
  <c r="AW40" i="2" s="1"/>
  <c r="AV39" i="2"/>
  <c r="AW39" i="2" s="1"/>
  <c r="AV37" i="2"/>
  <c r="AW37" i="2" s="1"/>
  <c r="H26" i="2"/>
  <c r="AX24" i="2"/>
  <c r="E24" i="2" s="1"/>
  <c r="AV41" i="2"/>
  <c r="AW41" i="2" s="1"/>
  <c r="AV38" i="2"/>
  <c r="AW38" i="2" s="1"/>
  <c r="AV42" i="2"/>
  <c r="AW42" i="2" s="1"/>
  <c r="AV43" i="2"/>
  <c r="AW43" i="2" s="1"/>
  <c r="AX44" i="2"/>
  <c r="E44" i="2" s="1"/>
  <c r="AV22" i="2"/>
  <c r="AW22" i="2" s="1"/>
  <c r="AV23" i="2"/>
  <c r="AW23" i="2" s="1"/>
  <c r="AV20" i="2"/>
  <c r="AW20" i="2" s="1"/>
  <c r="AV21" i="2"/>
  <c r="AW21" i="2" s="1"/>
  <c r="AV24" i="2"/>
  <c r="AW24" i="2" s="1"/>
  <c r="AV25" i="2"/>
  <c r="AW25" i="2" s="1"/>
  <c r="AV26" i="2"/>
  <c r="AW26" i="2" s="1"/>
  <c r="AV27" i="2"/>
  <c r="AW27" i="2" s="1"/>
  <c r="AV30" i="2"/>
  <c r="AW30" i="2" s="1"/>
  <c r="AV31" i="2"/>
  <c r="AW31" i="2" s="1"/>
  <c r="AV32" i="2"/>
  <c r="AW32" i="2" s="1"/>
  <c r="AV34" i="2"/>
  <c r="AW34" i="2" s="1"/>
  <c r="AV35" i="2"/>
  <c r="AW35" i="2" s="1"/>
  <c r="AV36" i="2"/>
  <c r="AW36" i="2" s="1"/>
  <c r="AV19" i="2"/>
  <c r="AW19" i="2" s="1"/>
  <c r="AV28" i="2"/>
  <c r="AW28" i="2" s="1"/>
  <c r="AV29" i="2"/>
  <c r="AW29" i="2" s="1"/>
  <c r="AV33" i="2"/>
  <c r="AW33" i="2" s="1"/>
  <c r="AV44" i="2"/>
  <c r="AW44" i="2" s="1"/>
  <c r="B40" i="2"/>
  <c r="B32" i="2"/>
  <c r="B41" i="2"/>
  <c r="B42" i="2"/>
  <c r="B34" i="2"/>
  <c r="B43" i="2"/>
  <c r="B35" i="2"/>
  <c r="B26" i="2"/>
  <c r="B44" i="2"/>
  <c r="L42" i="2" l="1"/>
  <c r="L33" i="2"/>
  <c r="L23" i="2"/>
  <c r="L41" i="2"/>
  <c r="L32" i="2"/>
  <c r="L22" i="2"/>
  <c r="L40" i="2"/>
  <c r="L31" i="2"/>
  <c r="L21" i="2"/>
  <c r="L39" i="2"/>
  <c r="L30" i="2"/>
  <c r="L20" i="2"/>
  <c r="L38" i="2"/>
  <c r="L29" i="2"/>
  <c r="L19" i="2"/>
  <c r="L37" i="2"/>
  <c r="L28" i="2"/>
  <c r="L27" i="2"/>
  <c r="L36" i="2"/>
  <c r="L44" i="2"/>
  <c r="L26" i="2"/>
  <c r="L35" i="2"/>
  <c r="L43" i="2"/>
  <c r="L25" i="2"/>
  <c r="L34" i="2"/>
  <c r="L24" i="2"/>
  <c r="AY45" i="2"/>
  <c r="H45" i="2" s="1"/>
  <c r="AX45" i="2"/>
  <c r="E45" i="2" s="1"/>
  <c r="AU45" i="2"/>
  <c r="AT45" i="2"/>
  <c r="K45" i="2" s="1"/>
  <c r="AQ45" i="2"/>
  <c r="AP45" i="2"/>
  <c r="AO45" i="2"/>
  <c r="AN45" i="2"/>
  <c r="AM45" i="2"/>
  <c r="AL45" i="2"/>
  <c r="AK45" i="2"/>
  <c r="AJ45" i="2"/>
  <c r="AI45" i="2"/>
  <c r="AH45" i="2"/>
  <c r="AG45" i="2"/>
  <c r="AF45" i="2"/>
  <c r="AE45" i="2"/>
  <c r="AD45" i="2"/>
  <c r="AC45" i="2"/>
  <c r="AB45" i="2"/>
  <c r="AA45" i="2"/>
  <c r="Z45" i="2"/>
  <c r="V45" i="2"/>
  <c r="U45" i="2"/>
  <c r="T45" i="2"/>
  <c r="S45" i="2"/>
  <c r="R45" i="2"/>
  <c r="Q45" i="2"/>
  <c r="P45" i="2"/>
  <c r="O45" i="2"/>
  <c r="N45" i="2"/>
  <c r="M45" i="2"/>
  <c r="L45" i="2"/>
  <c r="I45" i="2"/>
  <c r="G45" i="2"/>
  <c r="F45" i="2"/>
  <c r="D45" i="2"/>
  <c r="B45" i="2"/>
  <c r="AV45" i="2" l="1"/>
  <c r="AW45" i="2" s="1"/>
  <c r="V49" i="2" l="1"/>
  <c r="U49" i="2"/>
  <c r="V48" i="2"/>
  <c r="U48" i="2"/>
  <c r="V47" i="2"/>
  <c r="U47" i="2"/>
  <c r="V46" i="2"/>
  <c r="U46" i="2"/>
  <c r="V14" i="2"/>
  <c r="U14" i="2"/>
  <c r="T49" i="2"/>
  <c r="T48" i="2"/>
  <c r="T47" i="2"/>
  <c r="T46" i="2"/>
  <c r="T14" i="2"/>
  <c r="S49" i="2"/>
  <c r="S48" i="2"/>
  <c r="S47" i="2"/>
  <c r="S46" i="2"/>
  <c r="S14" i="2"/>
  <c r="R49" i="2"/>
  <c r="R48" i="2"/>
  <c r="R47" i="2"/>
  <c r="R46" i="2"/>
  <c r="R14" i="2"/>
  <c r="Z49" i="2" l="1"/>
  <c r="Z48" i="2"/>
  <c r="Z47" i="2"/>
  <c r="Z46" i="2"/>
  <c r="Z14" i="2"/>
  <c r="Q49" i="2" l="1"/>
  <c r="Q48" i="2"/>
  <c r="Q47" i="2"/>
  <c r="Q46" i="2"/>
  <c r="AA49" i="2" l="1"/>
  <c r="AA48" i="2"/>
  <c r="AA47" i="2"/>
  <c r="AA46" i="2"/>
  <c r="AA14" i="2"/>
  <c r="AY12" i="2" l="1"/>
  <c r="L49" i="2" l="1"/>
  <c r="L48" i="2"/>
  <c r="L47" i="2"/>
  <c r="L46" i="2"/>
  <c r="L14" i="2"/>
  <c r="Q14" i="2" s="1"/>
  <c r="M49" i="2"/>
  <c r="AF49" i="2"/>
  <c r="AF48" i="2"/>
  <c r="AF47" i="2"/>
  <c r="AF46" i="2"/>
  <c r="AF14" i="2"/>
  <c r="AM49" i="2"/>
  <c r="AL49" i="2"/>
  <c r="AK49" i="2"/>
  <c r="AJ49" i="2"/>
  <c r="AI49" i="2"/>
  <c r="AH49" i="2"/>
  <c r="AG49" i="2"/>
  <c r="AE49" i="2"/>
  <c r="AD49" i="2"/>
  <c r="AM48" i="2"/>
  <c r="AL48" i="2"/>
  <c r="AK48" i="2"/>
  <c r="AJ48" i="2"/>
  <c r="AI48" i="2"/>
  <c r="AH48" i="2"/>
  <c r="AG48" i="2"/>
  <c r="AE48" i="2"/>
  <c r="AD48" i="2"/>
  <c r="AM47" i="2"/>
  <c r="AL47" i="2"/>
  <c r="AK47" i="2"/>
  <c r="AJ47" i="2"/>
  <c r="AI47" i="2"/>
  <c r="AH47" i="2"/>
  <c r="AG47" i="2"/>
  <c r="AE47" i="2"/>
  <c r="AD47" i="2"/>
  <c r="AM46" i="2"/>
  <c r="AL46" i="2"/>
  <c r="AK46" i="2"/>
  <c r="AJ46" i="2"/>
  <c r="AI46" i="2"/>
  <c r="AH46" i="2"/>
  <c r="AG46" i="2"/>
  <c r="AE46" i="2"/>
  <c r="AD46" i="2"/>
  <c r="AM14" i="2"/>
  <c r="AL14" i="2"/>
  <c r="AK14" i="2"/>
  <c r="AJ14" i="2"/>
  <c r="AI14" i="2"/>
  <c r="AH14" i="2"/>
  <c r="AG14" i="2"/>
  <c r="AE14" i="2"/>
  <c r="AD14" i="2"/>
  <c r="M14" i="2" l="1"/>
  <c r="M46" i="2"/>
  <c r="M47" i="2"/>
  <c r="M48" i="2"/>
  <c r="AB49" i="2"/>
  <c r="AB48" i="2"/>
  <c r="AB47" i="2"/>
  <c r="AB46" i="2"/>
  <c r="AB14" i="2"/>
  <c r="AT49" i="2" l="1"/>
  <c r="G49" i="2"/>
  <c r="AT48" i="2"/>
  <c r="G48" i="2"/>
  <c r="AT47" i="2"/>
  <c r="G47" i="2"/>
  <c r="AT46" i="2"/>
  <c r="G46" i="2"/>
  <c r="AT14" i="2"/>
  <c r="G14" i="2"/>
  <c r="B49" i="2"/>
  <c r="B48" i="2"/>
  <c r="N49" i="2"/>
  <c r="N48" i="2"/>
  <c r="N47" i="2"/>
  <c r="N46" i="2"/>
  <c r="N14" i="2"/>
  <c r="AC49" i="2" l="1"/>
  <c r="AC48" i="2"/>
  <c r="AC47" i="2"/>
  <c r="AC46" i="2"/>
  <c r="AC14" i="2"/>
  <c r="B47" i="2" l="1"/>
  <c r="B46" i="2"/>
  <c r="B14" i="2"/>
  <c r="D13" i="1"/>
  <c r="O49" i="2" l="1"/>
  <c r="O48" i="2"/>
  <c r="O47" i="2"/>
  <c r="O46" i="2"/>
  <c r="O14" i="2"/>
  <c r="P49" i="2" l="1"/>
  <c r="P48" i="2"/>
  <c r="P47" i="2"/>
  <c r="P46" i="2"/>
  <c r="P14" i="2"/>
  <c r="AN49" i="2" l="1"/>
  <c r="AN48" i="2"/>
  <c r="AN47" i="2"/>
  <c r="AN46" i="2"/>
  <c r="AN14" i="2"/>
  <c r="AO14" i="2" l="1"/>
  <c r="AO49" i="2" l="1"/>
  <c r="AO48" i="2"/>
  <c r="AO47" i="2"/>
  <c r="AO46" i="2"/>
  <c r="V9" i="1"/>
  <c r="U9" i="1"/>
  <c r="T9" i="1"/>
  <c r="S9" i="1"/>
  <c r="AP49" i="2" l="1"/>
  <c r="I49" i="2"/>
  <c r="F49" i="2"/>
  <c r="D49" i="2"/>
  <c r="AP48" i="2"/>
  <c r="I48" i="2"/>
  <c r="F48" i="2"/>
  <c r="D48" i="2"/>
  <c r="AP47" i="2"/>
  <c r="I47" i="2"/>
  <c r="F47" i="2"/>
  <c r="D47" i="2"/>
  <c r="AP46" i="2"/>
  <c r="I46" i="2"/>
  <c r="F46" i="2"/>
  <c r="D46" i="2"/>
  <c r="AP14" i="2"/>
  <c r="I14" i="2"/>
  <c r="F14" i="2"/>
  <c r="D14" i="2"/>
  <c r="G2" i="1" l="1"/>
  <c r="G4" i="1" s="1"/>
  <c r="H4" i="1" s="1"/>
  <c r="R9" i="1" l="1"/>
  <c r="Q9" i="1"/>
  <c r="P9" i="1"/>
  <c r="O9" i="1"/>
  <c r="N9" i="1"/>
  <c r="K46" i="2" l="1"/>
  <c r="K47" i="2"/>
  <c r="K48" i="2"/>
  <c r="K49" i="2"/>
  <c r="K14" i="2"/>
  <c r="AU46" i="2"/>
  <c r="AU47" i="2"/>
  <c r="AU48" i="2"/>
  <c r="AU49" i="2"/>
  <c r="AU14" i="2"/>
  <c r="AV46" i="2" l="1"/>
  <c r="AW46" i="2" s="1"/>
  <c r="AV47" i="2"/>
  <c r="AW47" i="2" s="1"/>
  <c r="AV48" i="2"/>
  <c r="AW48" i="2" s="1"/>
  <c r="AV49" i="2"/>
  <c r="AW49" i="2" s="1"/>
  <c r="AX46" i="2" l="1"/>
  <c r="E46" i="2" s="1"/>
  <c r="AX47" i="2"/>
  <c r="E47" i="2" s="1"/>
  <c r="AX48" i="2"/>
  <c r="E48" i="2" s="1"/>
  <c r="AX49" i="2"/>
  <c r="E49" i="2" s="1"/>
  <c r="AX14" i="2"/>
  <c r="E14" i="2" s="1"/>
  <c r="M9" i="1"/>
  <c r="L9" i="1"/>
  <c r="AQ46" i="2"/>
  <c r="AQ47" i="2"/>
  <c r="AQ48" i="2"/>
  <c r="AQ49" i="2"/>
  <c r="AQ14" i="2"/>
  <c r="AY46" i="2"/>
  <c r="H46" i="2" s="1"/>
  <c r="AY47" i="2"/>
  <c r="H47" i="2" s="1"/>
  <c r="AY48" i="2"/>
  <c r="H48" i="2" s="1"/>
  <c r="AY49" i="2"/>
  <c r="H49" i="2" s="1"/>
  <c r="AY14" i="2"/>
  <c r="H14" i="2" s="1"/>
  <c r="K9" i="1"/>
  <c r="J9" i="1"/>
  <c r="I9" i="1"/>
  <c r="H9" i="1"/>
  <c r="G9" i="1"/>
  <c r="F9" i="1"/>
  <c r="AV14" i="2" l="1"/>
  <c r="AW14" i="2" l="1"/>
</calcChain>
</file>

<file path=xl/sharedStrings.xml><?xml version="1.0" encoding="utf-8"?>
<sst xmlns="http://schemas.openxmlformats.org/spreadsheetml/2006/main" count="962" uniqueCount="391">
  <si>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</si>
  <si>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</si>
  <si>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</si>
  <si>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</si>
  <si>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</si>
  <si>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</si>
  <si>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</si>
  <si>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</si>
  <si>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</si>
  <si>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</si>
  <si>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</si>
  <si>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</si>
  <si>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</si>
  <si>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</si>
  <si>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</si>
  <si>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</si>
  <si>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</si>
  <si>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</si>
  <si>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</si>
  <si>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</si>
  <si>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RunMode</t>
  </si>
  <si>
    <t>ConnectionFaulted</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</si>
  <si>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</si>
  <si>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</si>
  <si>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</si>
  <si>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</si>
  <si>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</si>
  <si>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</si>
  <si>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</si>
  <si>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</si>
  <si>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</si>
  <si>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</si>
  <si>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</si>
  <si>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</si>
  <si>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</si>
  <si>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</si>
  <si>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</si>
  <si>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</si>
  <si>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</si>
  <si>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</si>
  <si>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</si>
  <si>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</si>
  <si>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</si>
  <si>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</si>
  <si>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</si>
  <si>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</si>
  <si>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</si>
  <si>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</si>
  <si>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</si>
  <si>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</si>
  <si>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</si>
  <si>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</si>
  <si>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</si>
  <si>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</si>
  <si>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</si>
  <si>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</si>
  <si>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</si>
  <si>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</si>
  <si>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</si>
  <si>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</si>
  <si>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</si>
  <si>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</si>
  <si>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</si>
  <si>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</si>
  <si>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</si>
  <si>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</si>
  <si>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_VC_</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</si>
  <si>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</si>
  <si>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</si>
  <si>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</si>
  <si>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</si>
  <si>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</si>
  <si>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</si>
  <si>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</si>
  <si>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</si>
  <si>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</si>
  <si>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</si>
  <si>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</si>
  <si>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</si>
  <si>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</si>
  <si>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</si>
  <si>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</si>
  <si>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</si>
  <si>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</si>
  <si>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</si>
  <si>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</si>
  <si>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</si>
  <si>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</si>
  <si>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</si>
  <si>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</si>
  <si>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</si>
  <si>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</si>
  <si>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</si>
  <si>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</si>
  <si>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</si>
  <si>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</si>
  <si>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_VCs_</t>
  </si>
  <si>
    <t>Address Byte</t>
  </si>
  <si>
    <t>Address Bit</t>
  </si>
  <si>
    <t>Symbol</t>
  </si>
  <si>
    <t>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</si>
  <si>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</si>
  <si>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</si>
  <si>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</si>
  <si>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</si>
  <si>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</si>
  <si>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</si>
  <si>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</si>
  <si>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</si>
  <si>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</si>
  <si>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</si>
  <si>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</si>
  <si>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</si>
  <si>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</si>
  <si>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</si>
  <si>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</si>
  <si>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</si>
  <si>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</si>
  <si>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</si>
  <si>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</si>
  <si>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</si>
  <si>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</si>
  <si>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</si>
  <si>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</si>
  <si>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</si>
  <si>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</si>
  <si>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</si>
  <si>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</si>
  <si>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</si>
  <si>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</si>
  <si>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</si>
  <si>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</si>
  <si>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</si>
  <si>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</si>
  <si>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</si>
  <si>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</si>
  <si>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</si>
  <si>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</si>
  <si>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</si>
  <si>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</si>
  <si>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</si>
  <si>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</si>
  <si>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</si>
  <si>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</si>
  <si>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</si>
  <si>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</si>
  <si>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</si>
  <si>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</si>
  <si>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</si>
  <si>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</si>
  <si>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</si>
  <si>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</si>
  <si>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</si>
  <si>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</si>
  <si>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</si>
  <si>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</si>
  <si>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</si>
  <si>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</si>
  <si>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</si>
  <si>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</si>
  <si>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</si>
  <si>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</si>
  <si>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</si>
  <si>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</si>
  <si>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</si>
  <si>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</si>
  <si>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</si>
  <si>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</si>
  <si>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</si>
  <si>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</si>
  <si>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</si>
  <si>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</si>
  <si>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</si>
  <si>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</si>
  <si>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</si>
  <si>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</si>
  <si>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</si>
  <si>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</si>
  <si>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</si>
  <si>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</si>
  <si>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</si>
  <si>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</si>
  <si>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</si>
  <si>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</si>
  <si>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</si>
  <si>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</si>
  <si>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</si>
  <si>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</si>
  <si>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</si>
  <si>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</si>
  <si>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</si>
  <si>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</si>
  <si>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</si>
  <si>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</si>
  <si>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</si>
  <si>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</si>
  <si>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</si>
  <si>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</si>
  <si>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</si>
  <si>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</si>
  <si>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</si>
  <si>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</si>
  <si>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</si>
  <si>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</si>
  <si>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</si>
  <si>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</si>
  <si>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</si>
  <si>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</si>
  <si>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</si>
  <si>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</si>
  <si>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</si>
  <si>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</si>
  <si>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</si>
  <si>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</si>
  <si>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</si>
  <si>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</si>
  <si>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</si>
  <si>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</si>
  <si>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</si>
  <si>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</si>
  <si>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</si>
  <si>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</si>
  <si>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</si>
  <si>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</si>
  <si>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</si>
  <si>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</si>
  <si>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</si>
  <si>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</si>
  <si>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</si>
  <si>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</si>
  <si>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</si>
  <si>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</si>
  <si>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</si>
  <si>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</si>
  <si>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</si>
  <si>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</si>
  <si>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</si>
  <si>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</si>
  <si>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</si>
  <si>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</si>
  <si>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</si>
  <si>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</si>
  <si>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</si>
  <si>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</si>
  <si>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</si>
  <si>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&lt;Config7&gt;</t>
  </si>
  <si>
    <t>&lt;Config8&gt;</t>
  </si>
  <si>
    <t>&lt;Config9&gt;</t>
  </si>
  <si>
    <t>AB_RACKx_SLOTa</t>
  </si>
  <si>
    <t>STELLANTIS\Common\ToolPrototype\Devices</t>
  </si>
  <si>
    <t>(16384 * ModuleOK) + ( 20480 * (NOT ModuleOK))</t>
  </si>
  <si>
    <t>ModuleOK</t>
  </si>
  <si>
    <t>UnplugPower</t>
  </si>
  <si>
    <t>From_SIM_InputPwrOk</t>
  </si>
  <si>
    <t>From_SIM_OutputPwrOk</t>
  </si>
  <si>
    <t>To_SIM_OutputPwrOk</t>
  </si>
  <si>
    <t>To_SIM_CommOk</t>
  </si>
  <si>
    <t>From_KEY_UnplugPower</t>
  </si>
  <si>
    <t>Muting03Status</t>
  </si>
  <si>
    <t>Muting07Status</t>
  </si>
  <si>
    <t>To_PSF_Muting03Status</t>
  </si>
  <si>
    <t>To_PSF_Muting07Status</t>
  </si>
  <si>
    <t>To_PSF_RunMode</t>
  </si>
  <si>
    <t>To_PSF_ConnectionFaulted</t>
  </si>
  <si>
    <t>NOT ModuleOK</t>
  </si>
  <si>
    <t>System:Node</t>
  </si>
  <si>
    <t>Switch:Port OR Upstream Device</t>
  </si>
  <si>
    <t>1st:126</t>
  </si>
  <si>
    <t>SxxESWy:17</t>
  </si>
  <si>
    <t>UnplugEnet</t>
  </si>
  <si>
    <t>From_SIM_CommOk</t>
  </si>
  <si>
    <t>EntryStatus</t>
  </si>
  <si>
    <t>SwitchPort</t>
  </si>
  <si>
    <t>From_KEY_UnplugEnet</t>
  </si>
  <si>
    <t>To_PLC_EntryStatus</t>
  </si>
  <si>
    <t>To_PLC_SwitchPort</t>
  </si>
  <si>
    <t>OutputPwrOk</t>
  </si>
  <si>
    <t>InputPwrOk</t>
  </si>
  <si>
    <t>Sxx_SyyPDPz:RP0414</t>
  </si>
  <si>
    <t>Pt00OutputStatus</t>
  </si>
  <si>
    <t>Pt01OutputStatus</t>
  </si>
  <si>
    <t>Pt02OutputStatus</t>
  </si>
  <si>
    <t>Pt03OutputStatus</t>
  </si>
  <si>
    <t>SAFE_IO_BLOCK</t>
  </si>
  <si>
    <t>Sxx_SIOy</t>
  </si>
  <si>
    <t>*PDP:120V Receptacle</t>
  </si>
  <si>
    <t>STELLANTIS_EIP_AB</t>
  </si>
  <si>
    <t>SYSTEM\SAFE_IO_BLOCKS</t>
  </si>
  <si>
    <t>STELLANTIS_EIP_AB_SAFE_IO_BLOCK_12IN4OUT_ENET_Sxx_SIOy.v00</t>
  </si>
  <si>
    <t xml:space="preserve"> &lt;device&gt;
    &lt;name&gt;Sxx_SIOy&lt;/name&gt;
    &lt;type&gt;AB_SBK_ENET_12I_4O&lt;/type&gt;
  &lt;/device&gt;
</t>
  </si>
  <si>
    <t>AB:1732ES_IB12XOB4_Safety3:I:0</t>
  </si>
  <si>
    <t>Input Module Active</t>
  </si>
  <si>
    <t>Communication to Input Module Faulted</t>
  </si>
  <si>
    <t>Pt00InputStatus</t>
  </si>
  <si>
    <t>Pt01InputStatus</t>
  </si>
  <si>
    <t>Pt02InputStatus</t>
  </si>
  <si>
    <t>Pt03InputStatus</t>
  </si>
  <si>
    <t>Pt04InputStatus</t>
  </si>
  <si>
    <t>Pt05InputStatus</t>
  </si>
  <si>
    <t>Pt06InputStatus</t>
  </si>
  <si>
    <t>Pt07InputStatus</t>
  </si>
  <si>
    <t>Pt08InputStatus</t>
  </si>
  <si>
    <t>Pt09InputStatus</t>
  </si>
  <si>
    <t>Pt10InputStatus</t>
  </si>
  <si>
    <t>Pt11InputStatus</t>
  </si>
  <si>
    <t>Muting Lamp 3 Ok</t>
  </si>
  <si>
    <t>Muting Lamp 7 Ok</t>
  </si>
  <si>
    <t>Muting11Status</t>
  </si>
  <si>
    <t>Muting Lamp 11 Ok</t>
  </si>
  <si>
    <t>OutputPowerStatus</t>
  </si>
  <si>
    <t>All Outputs Ok</t>
  </si>
  <si>
    <t>InputPowerStatus</t>
  </si>
  <si>
    <t>All Inputs Ok</t>
  </si>
  <si>
    <t>To_PSF_Pt00InputStatus</t>
  </si>
  <si>
    <t>To_PSF_Pt01InputStatus</t>
  </si>
  <si>
    <t>To_PSF_Pt02InputStatus</t>
  </si>
  <si>
    <t>To_PSF_Pt03InputStatus</t>
  </si>
  <si>
    <t>To_PSF_Pt04InputStatus</t>
  </si>
  <si>
    <t>To_PSF_Pt05InputStatus</t>
  </si>
  <si>
    <t>To_PSF_Pt06InputStatus</t>
  </si>
  <si>
    <t>To_PSF_Pt07InputStatus</t>
  </si>
  <si>
    <t>To_PSF_Pt08InputStatus</t>
  </si>
  <si>
    <t>To_PSF_Pt09InputStatus</t>
  </si>
  <si>
    <t>To_PSF_Pt10InputStatus</t>
  </si>
  <si>
    <t>To_PSF_Pt11InputStatus</t>
  </si>
  <si>
    <t>To_PSF_Pt00OutputStatus</t>
  </si>
  <si>
    <t>To_PSF_Pt01OutputStatus</t>
  </si>
  <si>
    <t>To_PSF_Pt02OutputStatus</t>
  </si>
  <si>
    <t>To_PSF_Pt03OutputStatus</t>
  </si>
  <si>
    <t>To_PSF_Muting11Status</t>
  </si>
  <si>
    <t>To_PSF_OutputPowerStatus</t>
  </si>
  <si>
    <t>To_PSF_InputPowerStatus</t>
  </si>
  <si>
    <t>From_SIM_InputPwrOk AND (NOT From_KEY_UnplugPower)</t>
  </si>
  <si>
    <t>From_SIM_OutputPwrOk AND (NOT From_KEY_UnplugPower)</t>
  </si>
  <si>
    <t>InputPwrOk AND (NOT From_KEY_UnplugEnet)</t>
  </si>
  <si>
    <t>Sxx_SyyPSz:DC</t>
  </si>
  <si>
    <t>*DC Source:Port</t>
  </si>
  <si>
    <t>Y/N</t>
  </si>
  <si>
    <t>*Map Status Signals</t>
  </si>
  <si>
    <t>Module Name</t>
  </si>
  <si>
    <t>Validation Tracker Prep</t>
  </si>
  <si>
    <t>MODULE_NAME</t>
  </si>
  <si>
    <t>COMPONENT</t>
  </si>
  <si>
    <t>TYPE</t>
  </si>
  <si>
    <t>NAME</t>
  </si>
  <si>
    <t>Valid Signals</t>
  </si>
  <si>
    <t>Pt00</t>
  </si>
  <si>
    <t>Pt01</t>
  </si>
  <si>
    <t>Pt02</t>
  </si>
  <si>
    <t>Pt03</t>
  </si>
  <si>
    <t>Pt04</t>
  </si>
  <si>
    <t>Pt05</t>
  </si>
  <si>
    <t>Pt06</t>
  </si>
  <si>
    <t>Pt07</t>
  </si>
  <si>
    <t>Pt08</t>
  </si>
  <si>
    <t>Pt09</t>
  </si>
  <si>
    <t>Pt10</t>
  </si>
  <si>
    <t>Pt11</t>
  </si>
  <si>
    <t>Test00</t>
  </si>
  <si>
    <t>Test01</t>
  </si>
  <si>
    <t>Test02</t>
  </si>
  <si>
    <t>Test03</t>
  </si>
  <si>
    <t>Test04</t>
  </si>
  <si>
    <t>Test05</t>
  </si>
  <si>
    <t>Test06</t>
  </si>
  <si>
    <t>Test07</t>
  </si>
  <si>
    <t>Test08</t>
  </si>
  <si>
    <t>Test09</t>
  </si>
  <si>
    <t>Test10</t>
  </si>
  <si>
    <t>Test11</t>
  </si>
  <si>
    <t>Q</t>
  </si>
  <si>
    <t>From_PSF_Out00</t>
  </si>
  <si>
    <t>From_PSF_Out01</t>
  </si>
  <si>
    <t>From_PSF_Out02</t>
  </si>
  <si>
    <t>From_PSF_Out03</t>
  </si>
  <si>
    <t>To_SIM_DCOUT_1_4</t>
  </si>
  <si>
    <t>To_SIM_DCOUT_2_3</t>
  </si>
  <si>
    <t>To_SIM_OUT_00_01_DCPwr</t>
  </si>
  <si>
    <t>To_SIM_OUT_00_01_OutputPwr</t>
  </si>
  <si>
    <t>To_SIM_OUT_02_03_DCPwr</t>
  </si>
  <si>
    <t>To_SIM_OUT_02_03_OutputPwr</t>
  </si>
  <si>
    <t>IOCommOk AND OutputPwrOk AND From_PSF_Out00 AND From_PSF_Out01</t>
  </si>
  <si>
    <t>IOCommOk AND OutputPwrOk AND From_PSF_Out02 AND From_PSF_Out03</t>
  </si>
  <si>
    <t>IOCommOk</t>
  </si>
  <si>
    <t>IOCommOk AND OutputPwrOk</t>
  </si>
  <si>
    <t>TON(ModuleOK,1)</t>
  </si>
  <si>
    <t>ENET_NODE</t>
  </si>
  <si>
    <t>ENET_PORT</t>
  </si>
  <si>
    <t>Safe IO Block</t>
  </si>
  <si>
    <t>MODULE_TYPE</t>
  </si>
  <si>
    <t>1732ES-IB12XOBV2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</si>
</sst>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9"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8">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1" borderId="0" xfId="0" applyFill="1"/>
    <xf numFmtId="0" fontId="0" fillId="22" borderId="0" xfId="0" applyFill="1"/>
    <xf numFmtId="0" fontId="0" fillId="23" borderId="0" xfId="0" applyFill="1"/>
    <xf numFmtId="0" fontId="0" fillId="12" borderId="0" xfId="0" applyFill="1"/>
  </cellXfs>
  <cellStyles count="1">
    <cellStyle name="Normal" xfId="0" builtinId="0"/>
  </cellStyles>
  <dxfs count="54">
    <dxf>
      <border>
        <top style="thin">
          <color auto="1"/>
        </top>
        <vertical/>
        <horizontal/>
      </border>
    </dxf>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D43" sqref="D43"/>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188</v>
      </c>
      <c r="G2" s="54" t="str">
        <f ca="1">SUBSTITUTE( LEFT(CELL("filename",A1),FIND("]",CELL("filename",A1))-1),"[","")</f>
        <v>C:\Users\BryanJoseMaldonadoGa\source\repos\VC Validation Tracker Generator\assets\Signal Template - STELLANTIS - EIP - Common - Devices - AB - Safe IO Block - Enet - 12in 4out - v00.00.xlsm</v>
      </c>
      <c r="H2" s="54"/>
      <c r="I2" s="54"/>
      <c r="J2" s="54"/>
      <c r="K2" s="54"/>
      <c r="L2" s="54"/>
      <c r="M2" s="54"/>
      <c r="N2" s="54"/>
      <c r="O2" s="54"/>
      <c r="P2" s="54"/>
      <c r="Q2" s="54"/>
      <c r="R2" s="54"/>
      <c r="S2" s="54"/>
      <c r="T2" s="54"/>
      <c r="U2" s="54"/>
      <c r="V2" s="54"/>
    </row>
    <row r="3" spans="2:22" x14ac:dyDescent="0.35">
      <c r="F3" s="23" t="s">
        <v>187</v>
      </c>
      <c r="G3" s="55">
        <v>45580.373668981483</v>
      </c>
      <c r="H3" s="54"/>
      <c r="I3" s="54"/>
      <c r="J3" s="54"/>
      <c r="K3" s="54"/>
      <c r="L3" s="54"/>
      <c r="M3" s="54"/>
      <c r="N3" s="54"/>
      <c r="O3" s="54"/>
      <c r="P3" s="54"/>
      <c r="Q3" s="54"/>
      <c r="R3" s="54"/>
      <c r="S3" s="54"/>
      <c r="T3" s="54"/>
      <c r="U3" s="54"/>
      <c r="V3" s="54"/>
    </row>
    <row r="4" spans="2:22" x14ac:dyDescent="0.35">
      <c r="F4" s="23" t="s">
        <v>215</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129</v>
      </c>
      <c r="G5" s="53" t="s">
        <v>286</v>
      </c>
      <c r="H5" s="53"/>
      <c r="I5" s="53"/>
      <c r="J5" s="23" t="s">
        <v>130</v>
      </c>
      <c r="K5" s="54" t="s">
        <v>288</v>
      </c>
      <c r="L5" s="54"/>
      <c r="M5" s="54"/>
      <c r="N5" s="54"/>
      <c r="O5" s="54"/>
      <c r="P5" s="54"/>
      <c r="Q5" s="54"/>
      <c r="R5" s="54"/>
      <c r="S5" s="54"/>
      <c r="T5" s="54"/>
      <c r="U5" s="54"/>
      <c r="V5" s="54"/>
    </row>
    <row r="6" spans="2:22" x14ac:dyDescent="0.35">
      <c r="F6" s="23" t="s">
        <v>211</v>
      </c>
      <c r="G6" s="53" t="s">
        <v>287</v>
      </c>
      <c r="H6" s="53"/>
      <c r="I6" s="53"/>
      <c r="J6" s="23" t="s">
        <v>185</v>
      </c>
      <c r="K6" s="53" t="str">
        <f>$G$5&amp;"_"&amp;$D$9&amp;"_12IN4OUT_ENET_"&amp;$D$10&amp;".v00"</f>
        <v>STELLANTIS_EIP_AB_SAFE_IO_BLOCK_12IN4OUT_ENET_Sxx_SIOy.v00</v>
      </c>
      <c r="L6" s="53"/>
      <c r="M6" s="53"/>
      <c r="N6" s="53"/>
      <c r="O6" s="53"/>
      <c r="P6" s="53"/>
      <c r="Q6" s="53"/>
      <c r="R6" s="53"/>
      <c r="S6" s="53"/>
      <c r="T6" s="53"/>
      <c r="U6" s="53"/>
      <c r="V6" s="53"/>
    </row>
    <row r="7" spans="2:22" ht="15" thickBot="1" x14ac:dyDescent="0.4">
      <c r="F7" s="23" t="s">
        <v>210</v>
      </c>
      <c r="G7" s="53" t="s">
        <v>249</v>
      </c>
      <c r="H7" s="53"/>
      <c r="I7" s="53"/>
      <c r="J7" s="23" t="s">
        <v>186</v>
      </c>
      <c r="K7" s="53" t="s">
        <v>182</v>
      </c>
    </row>
    <row r="8" spans="2:22" ht="15" thickBot="1" x14ac:dyDescent="0.4">
      <c r="B8" s="67" t="s">
        <v>219</v>
      </c>
      <c r="F8" s="51"/>
      <c r="G8" s="51"/>
      <c r="H8" s="51"/>
      <c r="I8" s="51"/>
      <c r="J8" s="51"/>
      <c r="K8" s="51"/>
      <c r="L8" s="51"/>
      <c r="M8" s="51"/>
      <c r="N8" s="51"/>
      <c r="O8" s="51"/>
      <c r="P8" s="51"/>
      <c r="Q8" s="51"/>
      <c r="R8" s="51"/>
      <c r="S8" s="51"/>
      <c r="T8" s="51"/>
      <c r="U8" s="51"/>
      <c r="V8" s="51"/>
    </row>
    <row r="9" spans="2:22" ht="15" thickBot="1" x14ac:dyDescent="0.4">
      <c r="B9" s="1" t="s">
        <v>61</v>
      </c>
      <c r="C9" s="69"/>
      <c r="D9" s="22" t="s">
        <v>283</v>
      </c>
      <c r="F9" s="21" t="str">
        <f>$B$10</f>
        <v>LB Unique ID</v>
      </c>
      <c r="G9" s="21" t="str">
        <f>$B$14</f>
        <v>OPC Server</v>
      </c>
      <c r="H9" s="21" t="str">
        <f>$B$15</f>
        <v>System:Node</v>
      </c>
      <c r="I9" s="21" t="str">
        <f>$B$16</f>
        <v>Switch:Port OR Upstream Device</v>
      </c>
      <c r="J9" s="21" t="str">
        <f>$B$17</f>
        <v>*PDP:120V Receptacle</v>
      </c>
      <c r="K9" s="21" t="str">
        <f>$B$18</f>
        <v>*DC Source:Port</v>
      </c>
      <c r="L9" s="21" t="str">
        <f>$B$19</f>
        <v>*Map Status Signals</v>
      </c>
      <c r="M9" s="21" t="str">
        <f>$B$20</f>
        <v>&lt;Config7&gt;</v>
      </c>
      <c r="N9" s="21" t="str">
        <f>$B$21</f>
        <v>&lt;Config8&gt;</v>
      </c>
      <c r="O9" s="21" t="str">
        <f>$B$22</f>
        <v>&lt;Config9&gt;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60</v>
      </c>
      <c r="C10" s="5"/>
      <c r="D10" s="78" t="s">
        <v>284</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SAFE_IO_BLOCK_Sxx_SIOy</v>
      </c>
      <c r="F11" s="73"/>
      <c r="G11" s="18"/>
      <c r="H11" s="18"/>
      <c r="I11" s="18"/>
      <c r="J11" s="18"/>
      <c r="K11" s="18"/>
      <c r="L11" s="18"/>
      <c r="M11" s="18"/>
      <c r="N11" s="18"/>
      <c r="O11" s="18"/>
      <c r="P11" s="18"/>
      <c r="Q11" s="18"/>
      <c r="R11" s="18"/>
      <c r="S11" s="18"/>
      <c r="T11" s="18"/>
      <c r="U11" s="18"/>
      <c r="V11" s="74"/>
    </row>
    <row r="12" spans="2:22" x14ac:dyDescent="0.35">
      <c r="B12" s="2" t="s">
        <v>67</v>
      </c>
      <c r="C12" s="5"/>
      <c r="D12" s="3" t="s">
        <v>68</v>
      </c>
      <c r="F12" s="73"/>
      <c r="G12" s="18"/>
      <c r="H12" s="18"/>
      <c r="I12" s="18"/>
      <c r="J12" s="18"/>
      <c r="K12" s="18"/>
      <c r="L12" s="18"/>
      <c r="M12" s="18"/>
      <c r="N12" s="18"/>
      <c r="O12" s="18"/>
      <c r="P12" s="18"/>
      <c r="Q12" s="18"/>
      <c r="R12" s="18"/>
      <c r="S12" s="18"/>
      <c r="T12" s="18"/>
      <c r="U12" s="18"/>
      <c r="V12" s="74"/>
    </row>
    <row r="13" spans="2:22" x14ac:dyDescent="0.35">
      <c r="B13" s="58" t="s">
        <v>160</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244</v>
      </c>
      <c r="C14" s="5"/>
      <c r="D14" s="78" t="s">
        <v>248</v>
      </c>
      <c r="F14" s="73"/>
      <c r="G14" s="18"/>
      <c r="H14" s="18"/>
      <c r="I14" s="18"/>
      <c r="J14" s="18"/>
      <c r="K14" s="18"/>
      <c r="L14" s="18"/>
      <c r="M14" s="18"/>
      <c r="N14" s="18"/>
      <c r="O14" s="18"/>
      <c r="P14" s="18"/>
      <c r="Q14" s="18"/>
      <c r="R14" s="18"/>
      <c r="S14" s="18"/>
      <c r="T14" s="18"/>
      <c r="U14" s="18"/>
      <c r="V14" s="74"/>
    </row>
    <row r="15" spans="2:22" x14ac:dyDescent="0.35">
      <c r="B15" s="10" t="s">
        <v>265</v>
      </c>
      <c r="C15" s="5"/>
      <c r="D15" s="78" t="s">
        <v>267</v>
      </c>
      <c r="F15" s="73"/>
      <c r="G15" s="18"/>
      <c r="H15" s="18"/>
      <c r="I15" s="18"/>
      <c r="J15" s="18"/>
      <c r="K15" s="18"/>
      <c r="L15" s="18"/>
      <c r="M15" s="18"/>
      <c r="N15" s="18"/>
      <c r="O15" s="18"/>
      <c r="P15" s="18"/>
      <c r="Q15" s="18"/>
      <c r="R15" s="18"/>
      <c r="S15" s="18"/>
      <c r="T15" s="18"/>
      <c r="U15" s="18"/>
      <c r="V15" s="74"/>
    </row>
    <row r="16" spans="2:22" x14ac:dyDescent="0.35">
      <c r="B16" s="10" t="s">
        <v>266</v>
      </c>
      <c r="C16" s="5"/>
      <c r="D16" s="78" t="s">
        <v>268</v>
      </c>
      <c r="F16" s="73"/>
      <c r="G16" s="18"/>
      <c r="H16" s="18"/>
      <c r="I16" s="18"/>
      <c r="J16" s="18"/>
      <c r="K16" s="18"/>
      <c r="L16" s="18"/>
      <c r="M16" s="18"/>
      <c r="N16" s="18"/>
      <c r="O16" s="18"/>
      <c r="P16" s="18"/>
      <c r="Q16" s="18"/>
      <c r="R16" s="18"/>
      <c r="S16" s="18"/>
      <c r="T16" s="18"/>
      <c r="U16" s="18"/>
      <c r="V16" s="74"/>
    </row>
    <row r="17" spans="2:22" x14ac:dyDescent="0.35">
      <c r="B17" s="10" t="s">
        <v>285</v>
      </c>
      <c r="C17" s="5"/>
      <c r="D17" s="78" t="s">
        <v>278</v>
      </c>
      <c r="F17" s="73"/>
      <c r="G17" s="18"/>
      <c r="H17" s="18"/>
      <c r="I17" s="18"/>
      <c r="J17" s="18"/>
      <c r="K17" s="18"/>
      <c r="L17" s="18"/>
      <c r="M17" s="18"/>
      <c r="N17" s="18"/>
      <c r="O17" s="18"/>
      <c r="P17" s="18"/>
      <c r="Q17" s="18"/>
      <c r="R17" s="18"/>
      <c r="S17" s="18"/>
      <c r="T17" s="18"/>
      <c r="U17" s="18"/>
      <c r="V17" s="74"/>
    </row>
    <row r="18" spans="2:22" x14ac:dyDescent="0.35">
      <c r="B18" s="10" t="s">
        <v>336</v>
      </c>
      <c r="C18" s="5"/>
      <c r="D18" s="78" t="s">
        <v>335</v>
      </c>
      <c r="F18" s="73"/>
      <c r="G18" s="18"/>
      <c r="H18" s="18"/>
      <c r="I18" s="18"/>
      <c r="J18" s="18"/>
      <c r="K18" s="18"/>
      <c r="L18" s="18"/>
      <c r="M18" s="18"/>
      <c r="N18" s="18"/>
      <c r="O18" s="18"/>
      <c r="P18" s="18"/>
      <c r="Q18" s="18"/>
      <c r="R18" s="18"/>
      <c r="S18" s="18"/>
      <c r="T18" s="18"/>
      <c r="U18" s="18"/>
      <c r="V18" s="74"/>
    </row>
    <row r="19" spans="2:22" x14ac:dyDescent="0.35">
      <c r="B19" s="10" t="s">
        <v>338</v>
      </c>
      <c r="C19" s="5"/>
      <c r="D19" s="78" t="s">
        <v>337</v>
      </c>
      <c r="F19" s="73"/>
      <c r="G19" s="18"/>
      <c r="H19" s="18"/>
      <c r="I19" s="18"/>
      <c r="J19" s="18"/>
      <c r="K19" s="18"/>
      <c r="L19" s="18"/>
      <c r="M19" s="18"/>
      <c r="N19" s="18"/>
      <c r="O19" s="18"/>
      <c r="P19" s="18"/>
      <c r="Q19" s="18"/>
      <c r="R19" s="18"/>
      <c r="S19" s="18"/>
      <c r="T19" s="18"/>
      <c r="U19" s="18"/>
      <c r="V19" s="74"/>
    </row>
    <row r="20" spans="2:22" x14ac:dyDescent="0.35">
      <c r="B20" s="10" t="s">
        <v>245</v>
      </c>
      <c r="C20" s="5"/>
      <c r="D20" s="78" t="s">
        <v>243</v>
      </c>
      <c r="F20" s="73"/>
      <c r="G20" s="18"/>
      <c r="H20" s="18"/>
      <c r="I20" s="18"/>
      <c r="J20" s="18"/>
      <c r="K20" s="18"/>
      <c r="L20" s="18"/>
      <c r="M20" s="18"/>
      <c r="N20" s="18"/>
      <c r="O20" s="18"/>
      <c r="P20" s="18"/>
      <c r="Q20" s="18"/>
      <c r="R20" s="18"/>
      <c r="S20" s="18"/>
      <c r="T20" s="18"/>
      <c r="U20" s="18"/>
      <c r="V20" s="74"/>
    </row>
    <row r="21" spans="2:22" x14ac:dyDescent="0.35">
      <c r="B21" s="10" t="s">
        <v>246</v>
      </c>
      <c r="C21" s="5"/>
      <c r="D21" s="78" t="s">
        <v>243</v>
      </c>
      <c r="F21" s="73"/>
      <c r="G21" s="18"/>
      <c r="H21" s="18"/>
      <c r="I21" s="18"/>
      <c r="J21" s="18"/>
      <c r="K21" s="18"/>
      <c r="L21" s="18"/>
      <c r="M21" s="18"/>
      <c r="N21" s="18"/>
      <c r="O21" s="18"/>
      <c r="P21" s="18"/>
      <c r="Q21" s="18"/>
      <c r="R21" s="18"/>
      <c r="S21" s="18"/>
      <c r="T21" s="18"/>
      <c r="U21" s="18"/>
      <c r="V21" s="74"/>
    </row>
    <row r="22" spans="2:22" x14ac:dyDescent="0.35">
      <c r="B22" s="10" t="s">
        <v>247</v>
      </c>
      <c r="C22" s="5"/>
      <c r="D22" s="78" t="s">
        <v>243</v>
      </c>
      <c r="F22" s="73"/>
      <c r="G22" s="18"/>
      <c r="H22" s="18"/>
      <c r="I22" s="18"/>
      <c r="J22" s="18"/>
      <c r="K22" s="18"/>
      <c r="L22" s="18"/>
      <c r="M22" s="18"/>
      <c r="N22" s="18"/>
      <c r="O22" s="18"/>
      <c r="P22" s="18"/>
      <c r="Q22" s="18"/>
      <c r="R22" s="18"/>
      <c r="S22" s="18"/>
      <c r="T22" s="18"/>
      <c r="U22" s="18"/>
      <c r="V22" s="74"/>
    </row>
    <row r="23" spans="2:22" x14ac:dyDescent="0.35">
      <c r="B23" s="10" t="s">
        <v>125</v>
      </c>
      <c r="C23" s="5"/>
      <c r="D23" s="78" t="s">
        <v>243</v>
      </c>
      <c r="F23" s="73"/>
      <c r="G23" s="18"/>
      <c r="H23" s="18"/>
      <c r="I23" s="18"/>
      <c r="J23" s="18"/>
      <c r="K23" s="18"/>
      <c r="L23" s="18"/>
      <c r="M23" s="18"/>
      <c r="N23" s="18"/>
      <c r="O23" s="18"/>
      <c r="P23" s="18"/>
      <c r="Q23" s="18"/>
      <c r="R23" s="18"/>
      <c r="S23" s="18"/>
      <c r="T23" s="18"/>
      <c r="U23" s="18"/>
      <c r="V23" s="74"/>
    </row>
    <row r="24" spans="2:22" x14ac:dyDescent="0.35">
      <c r="B24" s="10" t="s">
        <v>124</v>
      </c>
      <c r="C24" s="5"/>
      <c r="D24" s="78" t="s">
        <v>243</v>
      </c>
      <c r="F24" s="73"/>
      <c r="G24" s="18"/>
      <c r="H24" s="18"/>
      <c r="I24" s="18"/>
      <c r="J24" s="18"/>
      <c r="K24" s="18"/>
      <c r="L24" s="18"/>
      <c r="M24" s="18"/>
      <c r="N24" s="18"/>
      <c r="O24" s="18"/>
      <c r="P24" s="18"/>
      <c r="Q24" s="18"/>
      <c r="R24" s="18"/>
      <c r="S24" s="18"/>
      <c r="T24" s="18"/>
      <c r="U24" s="18"/>
      <c r="V24" s="74"/>
    </row>
    <row r="25" spans="2:22" x14ac:dyDescent="0.35">
      <c r="B25" s="10" t="s">
        <v>123</v>
      </c>
      <c r="C25" s="5"/>
      <c r="D25" s="78" t="s">
        <v>243</v>
      </c>
      <c r="F25" s="73"/>
      <c r="G25" s="18"/>
      <c r="H25" s="18"/>
      <c r="I25" s="18"/>
      <c r="J25" s="18"/>
      <c r="K25" s="18"/>
      <c r="L25" s="18"/>
      <c r="M25" s="18"/>
      <c r="N25" s="18"/>
      <c r="O25" s="18"/>
      <c r="P25" s="18"/>
      <c r="Q25" s="18"/>
      <c r="R25" s="18"/>
      <c r="S25" s="18"/>
      <c r="T25" s="18"/>
      <c r="U25" s="18"/>
      <c r="V25" s="74"/>
    </row>
    <row r="26" spans="2:22" x14ac:dyDescent="0.35">
      <c r="B26" s="10" t="s">
        <v>146</v>
      </c>
      <c r="C26" s="5"/>
      <c r="D26" s="78" t="s">
        <v>243</v>
      </c>
      <c r="F26" s="73"/>
      <c r="G26" s="18"/>
      <c r="H26" s="18"/>
      <c r="I26" s="18"/>
      <c r="J26" s="18"/>
      <c r="K26" s="18"/>
      <c r="L26" s="18"/>
      <c r="M26" s="18"/>
      <c r="N26" s="18"/>
      <c r="O26" s="18"/>
      <c r="P26" s="18"/>
      <c r="Q26" s="18"/>
      <c r="R26" s="18"/>
      <c r="S26" s="18"/>
      <c r="T26" s="18"/>
      <c r="U26" s="18"/>
      <c r="V26" s="74"/>
    </row>
    <row r="27" spans="2:22" x14ac:dyDescent="0.35">
      <c r="B27" s="10" t="s">
        <v>147</v>
      </c>
      <c r="C27" s="5"/>
      <c r="D27" s="78" t="s">
        <v>243</v>
      </c>
      <c r="F27" s="73"/>
      <c r="G27" s="18"/>
      <c r="H27" s="18"/>
      <c r="I27" s="18"/>
      <c r="J27" s="18"/>
      <c r="K27" s="18"/>
      <c r="L27" s="18"/>
      <c r="M27" s="18"/>
      <c r="N27" s="18"/>
      <c r="O27" s="18"/>
      <c r="P27" s="18"/>
      <c r="Q27" s="18"/>
      <c r="R27" s="18"/>
      <c r="S27" s="18"/>
      <c r="T27" s="18"/>
      <c r="U27" s="18"/>
      <c r="V27" s="74"/>
    </row>
    <row r="28" spans="2:22" x14ac:dyDescent="0.35">
      <c r="B28" s="10" t="s">
        <v>148</v>
      </c>
      <c r="C28" s="5"/>
      <c r="D28" s="78" t="s">
        <v>243</v>
      </c>
      <c r="F28" s="73"/>
      <c r="G28" s="18"/>
      <c r="H28" s="18"/>
      <c r="I28" s="18"/>
      <c r="J28" s="18"/>
      <c r="K28" s="18"/>
      <c r="L28" s="18"/>
      <c r="M28" s="18"/>
      <c r="N28" s="18"/>
      <c r="O28" s="18"/>
      <c r="P28" s="18"/>
      <c r="Q28" s="18"/>
      <c r="R28" s="18"/>
      <c r="S28" s="18"/>
      <c r="T28" s="18"/>
      <c r="U28" s="18"/>
      <c r="V28" s="74"/>
    </row>
    <row r="29" spans="2:22" ht="15" thickBot="1" x14ac:dyDescent="0.4">
      <c r="B29" s="24" t="s">
        <v>149</v>
      </c>
      <c r="C29" s="6"/>
      <c r="D29" s="79" t="s">
        <v>243</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3" priority="42" stopIfTrue="1" operator="containsText" text="Placeholder">
      <formula>NOT(ISERROR(SEARCH("Placeholder",E18)))</formula>
    </cfRule>
  </conditionalFormatting>
  <conditionalFormatting sqref="G10:G10006">
    <cfRule type="expression" dxfId="52" priority="7">
      <formula>OR($F10="",$D$14="&lt;Placeholder&gt;")</formula>
    </cfRule>
  </conditionalFormatting>
  <conditionalFormatting sqref="H10:H10006">
    <cfRule type="expression" dxfId="51" priority="14">
      <formula>OR($F10="",$D$15="&lt;Placeholder&gt;")</formula>
    </cfRule>
  </conditionalFormatting>
  <conditionalFormatting sqref="I10:I10006">
    <cfRule type="expression" dxfId="50" priority="15">
      <formula>OR($F10="",$D$16="&lt;Placeholder&gt;")</formula>
    </cfRule>
  </conditionalFormatting>
  <conditionalFormatting sqref="J10:J10006">
    <cfRule type="expression" dxfId="49" priority="16">
      <formula>OR($F10="",$D$17="&lt;Placeholder&gt;")</formula>
    </cfRule>
  </conditionalFormatting>
  <conditionalFormatting sqref="K10:K10006">
    <cfRule type="expression" dxfId="48" priority="17">
      <formula>OR($F10="",$D$18="&lt;Placeholder&gt;")</formula>
    </cfRule>
  </conditionalFormatting>
  <conditionalFormatting sqref="L10:L10006">
    <cfRule type="expression" dxfId="47" priority="24">
      <formula>OR($F10="",$D$19="&lt;Placeholder&gt;")</formula>
    </cfRule>
  </conditionalFormatting>
  <conditionalFormatting sqref="M10:M10006">
    <cfRule type="expression" dxfId="46" priority="25">
      <formula>OR($F10="",$D$20="&lt;Placeholder&gt;")</formula>
    </cfRule>
  </conditionalFormatting>
  <conditionalFormatting sqref="N10:N10006">
    <cfRule type="expression" dxfId="45" priority="26">
      <formula>OR($F10="",$D$21="&lt;Placeholder&gt;")</formula>
    </cfRule>
  </conditionalFormatting>
  <conditionalFormatting sqref="O10:O10006">
    <cfRule type="expression" dxfId="44" priority="27">
      <formula>OR($F10="",$D$22="&lt;Placeholder&gt;")</formula>
    </cfRule>
  </conditionalFormatting>
  <conditionalFormatting sqref="P10:P10006">
    <cfRule type="expression" dxfId="43" priority="28">
      <formula>OR($F10="",$D$23="&lt;Placeholder&gt;")</formula>
    </cfRule>
  </conditionalFormatting>
  <conditionalFormatting sqref="Q10:Q10006">
    <cfRule type="expression" dxfId="42" priority="31">
      <formula>OR($F10="",$D$24="&lt;Placeholder&gt;")</formula>
    </cfRule>
  </conditionalFormatting>
  <conditionalFormatting sqref="K5:V5">
    <cfRule type="expression" dxfId="41" priority="22">
      <formula>$K$5&lt;&gt;$K$6</formula>
    </cfRule>
    <cfRule type="expression" dxfId="40" priority="23">
      <formula>$K$5=$K$6</formula>
    </cfRule>
  </conditionalFormatting>
  <conditionalFormatting sqref="G3:Q3">
    <cfRule type="expression" dxfId="39" priority="20">
      <formula>ISNUMBER($G$3)</formula>
    </cfRule>
    <cfRule type="expression" dxfId="38" priority="21">
      <formula>NOT(ISNUMBER($G$3))</formula>
    </cfRule>
  </conditionalFormatting>
  <conditionalFormatting sqref="V10:V10006">
    <cfRule type="expression" dxfId="37" priority="36">
      <formula>OR($F10="",$D$29="&lt;Placeholder&gt;")</formula>
    </cfRule>
  </conditionalFormatting>
  <conditionalFormatting sqref="S10:S10006">
    <cfRule type="expression" dxfId="36" priority="33">
      <formula>OR($F10="",$D$26="&lt;Placeholder&gt;")</formula>
    </cfRule>
  </conditionalFormatting>
  <conditionalFormatting sqref="T10:T10006">
    <cfRule type="expression" dxfId="35" priority="34">
      <formula>OR($F10="",$D$27="&lt;Placeholder&gt;")</formula>
    </cfRule>
  </conditionalFormatting>
  <conditionalFormatting sqref="U10:U10006">
    <cfRule type="expression" dxfId="34" priority="35">
      <formula>OR($F10="",$D$28="&lt;Placeholder&gt;")</formula>
    </cfRule>
  </conditionalFormatting>
  <conditionalFormatting sqref="S3:V3">
    <cfRule type="expression" dxfId="33" priority="10">
      <formula>ISNUMBER($G$3)</formula>
    </cfRule>
    <cfRule type="expression" dxfId="32" priority="11">
      <formula>NOT(ISNUMBER($G$3))</formula>
    </cfRule>
  </conditionalFormatting>
  <conditionalFormatting sqref="D14:D29">
    <cfRule type="containsText" dxfId="31" priority="8" stopIfTrue="1" operator="containsText" text="Placeholder">
      <formula>NOT(ISERROR(SEARCH("Placeholder",D14)))</formula>
    </cfRule>
  </conditionalFormatting>
  <conditionalFormatting sqref="R3">
    <cfRule type="expression" dxfId="30" priority="3">
      <formula>ISNUMBER($G$3)</formula>
    </cfRule>
    <cfRule type="expression" dxfId="29" priority="4">
      <formula>NOT(ISNUMBER($G$3))</formula>
    </cfRule>
  </conditionalFormatting>
  <conditionalFormatting sqref="R10:R10006">
    <cfRule type="expression" dxfId="28" priority="32">
      <formula>OR($F10="",$D$25="&lt;Placeholder&gt;")</formula>
    </cfRule>
  </conditionalFormatting>
  <conditionalFormatting sqref="G4">
    <cfRule type="expression" dxfId="27" priority="2">
      <formula>$G$4="*FIX FILENAME*"</formula>
    </cfRule>
  </conditionalFormatting>
  <conditionalFormatting sqref="H4">
    <cfRule type="expression" dxfId="26"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3" r:id="rId4" name="cmdChangeConfigOrder">
          <controlPr defaultSize="0" autoLine="0" autoPict="0" r:id="rId5">
            <anchor moveWithCells="1">
              <from>
                <xdr:col>1</xdr:col>
                <xdr:colOff>469900</xdr:colOff>
                <xdr:row>30</xdr:row>
                <xdr:rowOff>38100</xdr:rowOff>
              </from>
              <to>
                <xdr:col>3</xdr:col>
                <xdr:colOff>869950</xdr:colOff>
                <xdr:row>32</xdr:row>
                <xdr:rowOff>50800</xdr:rowOff>
              </to>
            </anchor>
          </controlPr>
        </control>
      </mc:Choice>
      <mc:Fallback>
        <control shapeId="1033" r:id="rId4" name="cmdChangeConfigOrder"/>
      </mc:Fallback>
    </mc:AlternateContent>
    <mc:AlternateContent xmlns:mc="http://schemas.openxmlformats.org/markup-compatibility/2006">
      <mc:Choice Requires="x14">
        <control shapeId="1028" r:id="rId6" name="cmdGenerateSignalImportList">
          <controlPr defaultSize="0" autoLine="0" r:id="rId7">
            <anchor moveWithCells="1">
              <from>
                <xdr:col>1</xdr:col>
                <xdr:colOff>38100</xdr:colOff>
                <xdr:row>4</xdr:row>
                <xdr:rowOff>50800</xdr:rowOff>
              </from>
              <to>
                <xdr:col>1</xdr:col>
                <xdr:colOff>1263650</xdr:colOff>
                <xdr:row>6</xdr:row>
                <xdr:rowOff>158750</xdr:rowOff>
              </to>
            </anchor>
          </controlPr>
        </control>
      </mc:Choice>
      <mc:Fallback>
        <control shapeId="1028" r:id="rId6" name="cmdGenerateSignalImportList"/>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31" r:id="rId10" name="cmdImportOtherTemplate">
          <controlPr defaultSize="0" autoLine="0" r:id="rId11">
            <anchor moveWithCells="1">
              <from>
                <xdr:col>3</xdr:col>
                <xdr:colOff>127000</xdr:colOff>
                <xdr:row>4</xdr:row>
                <xdr:rowOff>50800</xdr:rowOff>
              </from>
              <to>
                <xdr:col>3</xdr:col>
                <xdr:colOff>1352550</xdr:colOff>
                <xdr:row>6</xdr:row>
                <xdr:rowOff>158750</xdr:rowOff>
              </to>
            </anchor>
          </controlPr>
        </control>
      </mc:Choice>
      <mc:Fallback>
        <control shapeId="1031" r:id="rId10" name="cmdImportOtherTemplate"/>
      </mc:Fallback>
    </mc:AlternateContent>
    <mc:AlternateContent xmlns:mc="http://schemas.openxmlformats.org/markup-compatibility/2006">
      <mc:Choice Requires="x14">
        <control shapeId="1032" r:id="rId12" name="cmdGenerateUpdateHeaderFile">
          <controlPr defaultSize="0" autoLine="0" r:id="rId13">
            <anchor moveWithCells="1">
              <from>
                <xdr:col>3</xdr:col>
                <xdr:colOff>127000</xdr:colOff>
                <xdr:row>1</xdr:row>
                <xdr:rowOff>38100</xdr:rowOff>
              </from>
              <to>
                <xdr:col>3</xdr:col>
                <xdr:colOff>1352550</xdr:colOff>
                <xdr:row>3</xdr:row>
                <xdr:rowOff>146050</xdr:rowOff>
              </to>
            </anchor>
          </controlPr>
        </control>
      </mc:Choice>
      <mc:Fallback>
        <control shapeId="1032" r:id="rId12" name="cmdGenerateUpdateHeader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2:I42"/>
  <sheetViews>
    <sheetView workbookViewId="0"/>
  </sheetViews>
  <sheetFormatPr defaultRowHeight="14.5" x14ac:dyDescent="0.35"/>
  <cols>
    <col min="2" max="2" width="22" bestFit="1" customWidth="1"/>
    <col min="3" max="3" width="25.7265625" customWidth="1"/>
    <col min="7" max="7" width="21.81640625" bestFit="1" customWidth="1"/>
    <col min="8" max="8" width="12.1796875" bestFit="1" customWidth="1"/>
    <col min="9" max="9" width="30.7265625" customWidth="1"/>
  </cols>
  <sheetData>
    <row r="2" spans="2:9" x14ac:dyDescent="0.35">
      <c r="B2" s="84" t="s">
        <v>339</v>
      </c>
      <c r="C2" s="85" t="str">
        <f>Header_LB_Unique_ID</f>
        <v>Sxx_SIOy</v>
      </c>
      <c r="H2" s="84" t="s">
        <v>345</v>
      </c>
      <c r="I2" s="85" t="str">
        <f>_xlfn.TEXTJOIN("|",TRUE,I3:I42)</f>
        <v>_VC_Sxx_SIOy_I.Pt00Data|_VC_Sxx_SIOy_I.Pt01Data|_VC_Sxx_SIOy_I.Pt02Data|_VC_Sxx_SIOy_I.Pt03Data|_VC_Sxx_SIOy_I.Pt04Data|_VC_Sxx_SIOy_I.Pt05Data|_VC_Sxx_SIOy_I.Pt06Data|_VC_Sxx_SIOy_I.Pt07Data|_VC_Sxx_SIOy_I.Pt08Data|_VC_Sxx_SIOy_I.Pt09Data|_VC_Sxx_SIOy_I.Pt10Data|_VC_Sxx_SIOy_I.Pt11Data|Sxx_SIOy:I.Pt00Data|Sxx_SIOy:I.Pt01Data|Sxx_SIOy:I.Pt02Data|Sxx_SIOy:I.Pt03Data|Sxx_SIOy:I.Pt04Data|Sxx_SIOy:I.Pt05Data|Sxx_SIOy:I.Pt06Data|Sxx_SIOy:I.Pt07Data|Sxx_SIOy:I.Pt08Data|Sxx_SIOy:I.Pt09Data|Sxx_SIOy:I.Pt10Data|Sxx_SIOy:I.Pt11Data|Sxx_SIOy:O.Test00Data|Sxx_SIOy:O.Test01Data|Sxx_SIOy:O.Test02Data|Sxx_SIOy:O.Test03Data|Sxx_SIOy:O.Test04Data|Sxx_SIOy:O.Test05Data|Sxx_SIOy:O.Test06Data|Sxx_SIOy:O.Test07Data|Sxx_SIOy:O.Test08Data|Sxx_SIOy:O.Test09Data|Sxx_SIOy:O.Test10Data|Sxx_SIOy:O.Test11Data|Sxx_SIOy:O.Pt00Data|Sxx_SIOy:O.Pt01Data|Sxx_SIOy:O.Pt02Data|Sxx_SIOy:O.Pt03Data</v>
      </c>
    </row>
    <row r="3" spans="2:9" x14ac:dyDescent="0.35">
      <c r="G3" s="87" t="str">
        <f>"_VC_"&amp;$C$2&amp;"_I."</f>
        <v>_VC_Sxx_SIOy_I.</v>
      </c>
      <c r="H3" s="87" t="s">
        <v>346</v>
      </c>
      <c r="I3" s="85" t="str">
        <f>G3&amp;H3&amp;"Data"</f>
        <v>_VC_Sxx_SIOy_I.Pt00Data</v>
      </c>
    </row>
    <row r="4" spans="2:9" x14ac:dyDescent="0.35">
      <c r="G4" s="87" t="str">
        <f t="shared" ref="G4:G14" si="0">"_VC_"&amp;$C$2&amp;"_I."</f>
        <v>_VC_Sxx_SIOy_I.</v>
      </c>
      <c r="H4" s="87" t="s">
        <v>347</v>
      </c>
      <c r="I4" s="85" t="str">
        <f t="shared" ref="I4:I42" si="1">G4&amp;H4&amp;"Data"</f>
        <v>_VC_Sxx_SIOy_I.Pt01Data</v>
      </c>
    </row>
    <row r="5" spans="2:9" x14ac:dyDescent="0.35">
      <c r="B5" s="86" t="s">
        <v>340</v>
      </c>
      <c r="G5" s="87" t="str">
        <f t="shared" si="0"/>
        <v>_VC_Sxx_SIOy_I.</v>
      </c>
      <c r="H5" s="87" t="s">
        <v>348</v>
      </c>
      <c r="I5" s="85" t="str">
        <f t="shared" si="1"/>
        <v>_VC_Sxx_SIOy_I.Pt02Data</v>
      </c>
    </row>
    <row r="6" spans="2:9" x14ac:dyDescent="0.35">
      <c r="B6" s="84" t="s">
        <v>342</v>
      </c>
      <c r="C6" s="85" t="str">
        <f>LEFT(Header_COJT_Full_Name,SEARCH(".v",Header_COJT_Full_Name)-1)</f>
        <v>STELLANTIS_EIP_AB_SAFE_IO_BLOCK_12IN4OUT_ENET_Sxx_SIOy</v>
      </c>
      <c r="D6" s="85" t="str">
        <f>"&lt;"&amp;LOWER(B6)&amp;"&gt;"&amp;IF(ISERROR(C6),"***ERROR***",IF(C6="","***BLANK***",C6))&amp;"&lt;/"&amp;LOWER(B6)&amp;"&gt;"</f>
        <v>&lt;component&gt;STELLANTIS_EIP_AB_SAFE_IO_BLOCK_12IN4OUT_ENET_Sxx_SIOy&lt;/component&gt;</v>
      </c>
      <c r="G6" s="87" t="str">
        <f t="shared" si="0"/>
        <v>_VC_Sxx_SIOy_I.</v>
      </c>
      <c r="H6" s="87" t="s">
        <v>349</v>
      </c>
      <c r="I6" s="85" t="str">
        <f t="shared" si="1"/>
        <v>_VC_Sxx_SIOy_I.Pt03Data</v>
      </c>
    </row>
    <row r="7" spans="2:9" x14ac:dyDescent="0.35">
      <c r="B7" s="84" t="s">
        <v>343</v>
      </c>
      <c r="C7" s="85" t="s">
        <v>388</v>
      </c>
      <c r="D7" s="85" t="str">
        <f t="shared" ref="D7:D8" si="2">"&lt;"&amp;LOWER(B7)&amp;"&gt;"&amp;IF(ISERROR(C7),"***ERROR***",IF(C7="","***BLANK***",C7))&amp;"&lt;/"&amp;LOWER(B7)&amp;"&gt;"</f>
        <v>&lt;type&gt;Safe IO Block&lt;/type&gt;</v>
      </c>
      <c r="G7" s="87" t="str">
        <f t="shared" si="0"/>
        <v>_VC_Sxx_SIOy_I.</v>
      </c>
      <c r="H7" s="87" t="s">
        <v>350</v>
      </c>
      <c r="I7" s="85" t="str">
        <f t="shared" si="1"/>
        <v>_VC_Sxx_SIOy_I.Pt04Data</v>
      </c>
    </row>
    <row r="8" spans="2:9" x14ac:dyDescent="0.35">
      <c r="B8" s="84" t="s">
        <v>344</v>
      </c>
      <c r="C8" s="85" t="str">
        <f>Header_LB_Unique_ID</f>
        <v>Sxx_SIOy</v>
      </c>
      <c r="D8" s="85" t="str">
        <f t="shared" si="2"/>
        <v>&lt;name&gt;Sxx_SIOy&lt;/name&gt;</v>
      </c>
      <c r="G8" s="87" t="str">
        <f t="shared" si="0"/>
        <v>_VC_Sxx_SIOy_I.</v>
      </c>
      <c r="H8" s="87" t="s">
        <v>351</v>
      </c>
      <c r="I8" s="85" t="str">
        <f t="shared" si="1"/>
        <v>_VC_Sxx_SIOy_I.Pt05Data</v>
      </c>
    </row>
    <row r="9" spans="2:9" x14ac:dyDescent="0.35">
      <c r="B9" s="84" t="s">
        <v>341</v>
      </c>
      <c r="C9" s="85" t="str">
        <f>$C$2</f>
        <v>Sxx_SIOy</v>
      </c>
      <c r="D9" s="85" t="str">
        <f>"&lt;"&amp;LOWER(B9)&amp;"&gt;"&amp;C9&amp;"&lt;/"&amp;LOWER(B9)&amp;"&gt;"</f>
        <v>&lt;module_name&gt;Sxx_SIOy&lt;/module_name&gt;</v>
      </c>
      <c r="G9" s="87" t="str">
        <f t="shared" si="0"/>
        <v>_VC_Sxx_SIOy_I.</v>
      </c>
      <c r="H9" s="87" t="s">
        <v>352</v>
      </c>
      <c r="I9" s="85" t="str">
        <f t="shared" si="1"/>
        <v>_VC_Sxx_SIOy_I.Pt06Data</v>
      </c>
    </row>
    <row r="10" spans="2:9" x14ac:dyDescent="0.35">
      <c r="B10" s="84" t="s">
        <v>389</v>
      </c>
      <c r="C10" s="85" t="s">
        <v>390</v>
      </c>
      <c r="D10" s="85" t="str">
        <f t="shared" ref="D10" si="3">"&lt;"&amp;LOWER(B10)&amp;"&gt;"&amp;IF(ISERROR(C10),"***ERROR***",IF(C10="","***BLANK***",C10))&amp;"&lt;/"&amp;LOWER(B10)&amp;"&gt;"</f>
        <v>&lt;module_type&gt;1732ES-IB12XOBV2&lt;/module_type&gt;</v>
      </c>
      <c r="G10" s="87" t="str">
        <f t="shared" si="0"/>
        <v>_VC_Sxx_SIOy_I.</v>
      </c>
      <c r="H10" s="87" t="s">
        <v>353</v>
      </c>
      <c r="I10" s="85" t="str">
        <f t="shared" si="1"/>
        <v>_VC_Sxx_SIOy_I.Pt07Data</v>
      </c>
    </row>
    <row r="11" spans="2:9" x14ac:dyDescent="0.35">
      <c r="B11" s="84" t="s">
        <v>386</v>
      </c>
      <c r="C11" s="85" t="str">
        <f>IF(LEFT(Header_Config01,3)="OPC","_"&amp;Header_Config01&amp;"_","")&amp;"ENET_STAT_"&amp;LEFT(Header_Config02,FIND(":",Header_Config02)-1)&amp;"SYS_ID["&amp;MID(Header_Config02,FIND(":",Header_Config02)+1,3)&amp;"]"</f>
        <v>ENET_STAT_1stSYS_ID[126]</v>
      </c>
      <c r="D11" s="85" t="str">
        <f t="shared" ref="D11:D12" si="4">"&lt;"&amp;LOWER(B11)&amp;"&gt;"&amp;IF(ISERROR(C11),"***ERROR***",IF(C11="","***BLANK***",C11))&amp;"&lt;/"&amp;LOWER(B11)&amp;"&gt;"</f>
        <v>&lt;enet_node&gt;ENET_STAT_1stSYS_ID[126]&lt;/enet_node&gt;</v>
      </c>
      <c r="G11" s="87" t="str">
        <f t="shared" si="0"/>
        <v>_VC_Sxx_SIOy_I.</v>
      </c>
      <c r="H11" s="87" t="s">
        <v>354</v>
      </c>
      <c r="I11" s="85" t="str">
        <f t="shared" si="1"/>
        <v>_VC_Sxx_SIOy_I.Pt08Data</v>
      </c>
    </row>
    <row r="12" spans="2:9" x14ac:dyDescent="0.35">
      <c r="B12" s="84" t="s">
        <v>387</v>
      </c>
      <c r="C12" s="85" t="str">
        <f>Header_Config03</f>
        <v>SxxESWy:17</v>
      </c>
      <c r="D12" s="85" t="str">
        <f t="shared" si="4"/>
        <v>&lt;enet_port&gt;SxxESWy:17&lt;/enet_port&gt;</v>
      </c>
      <c r="G12" s="87" t="str">
        <f t="shared" si="0"/>
        <v>_VC_Sxx_SIOy_I.</v>
      </c>
      <c r="H12" s="87" t="s">
        <v>355</v>
      </c>
      <c r="I12" s="85" t="str">
        <f t="shared" si="1"/>
        <v>_VC_Sxx_SIOy_I.Pt09Data</v>
      </c>
    </row>
    <row r="13" spans="2:9" x14ac:dyDescent="0.35">
      <c r="G13" s="87" t="str">
        <f t="shared" si="0"/>
        <v>_VC_Sxx_SIOy_I.</v>
      </c>
      <c r="H13" s="87" t="s">
        <v>356</v>
      </c>
      <c r="I13" s="85" t="str">
        <f t="shared" si="1"/>
        <v>_VC_Sxx_SIOy_I.Pt10Data</v>
      </c>
    </row>
    <row r="14" spans="2:9" x14ac:dyDescent="0.35">
      <c r="G14" s="87" t="str">
        <f t="shared" si="0"/>
        <v>_VC_Sxx_SIOy_I.</v>
      </c>
      <c r="H14" s="87" t="s">
        <v>357</v>
      </c>
      <c r="I14" s="85" t="str">
        <f t="shared" si="1"/>
        <v>_VC_Sxx_SIOy_I.Pt11Data</v>
      </c>
    </row>
    <row r="15" spans="2:9" x14ac:dyDescent="0.35">
      <c r="G15" s="87" t="str">
        <f>$C$2&amp;":I."</f>
        <v>Sxx_SIOy:I.</v>
      </c>
      <c r="H15" s="87" t="s">
        <v>346</v>
      </c>
      <c r="I15" s="85" t="str">
        <f t="shared" si="1"/>
        <v>Sxx_SIOy:I.Pt00Data</v>
      </c>
    </row>
    <row r="16" spans="2:9" x14ac:dyDescent="0.35">
      <c r="G16" s="87" t="str">
        <f t="shared" ref="G16:G26" si="5">$C$2&amp;":I."</f>
        <v>Sxx_SIOy:I.</v>
      </c>
      <c r="H16" s="87" t="s">
        <v>347</v>
      </c>
      <c r="I16" s="85" t="str">
        <f t="shared" si="1"/>
        <v>Sxx_SIOy:I.Pt01Data</v>
      </c>
    </row>
    <row r="17" spans="7:9" x14ac:dyDescent="0.35">
      <c r="G17" s="87" t="str">
        <f t="shared" si="5"/>
        <v>Sxx_SIOy:I.</v>
      </c>
      <c r="H17" s="87" t="s">
        <v>348</v>
      </c>
      <c r="I17" s="85" t="str">
        <f t="shared" si="1"/>
        <v>Sxx_SIOy:I.Pt02Data</v>
      </c>
    </row>
    <row r="18" spans="7:9" x14ac:dyDescent="0.35">
      <c r="G18" s="87" t="str">
        <f t="shared" si="5"/>
        <v>Sxx_SIOy:I.</v>
      </c>
      <c r="H18" s="87" t="s">
        <v>349</v>
      </c>
      <c r="I18" s="85" t="str">
        <f t="shared" si="1"/>
        <v>Sxx_SIOy:I.Pt03Data</v>
      </c>
    </row>
    <row r="19" spans="7:9" x14ac:dyDescent="0.35">
      <c r="G19" s="87" t="str">
        <f t="shared" si="5"/>
        <v>Sxx_SIOy:I.</v>
      </c>
      <c r="H19" s="87" t="s">
        <v>350</v>
      </c>
      <c r="I19" s="85" t="str">
        <f t="shared" si="1"/>
        <v>Sxx_SIOy:I.Pt04Data</v>
      </c>
    </row>
    <row r="20" spans="7:9" x14ac:dyDescent="0.35">
      <c r="G20" s="87" t="str">
        <f t="shared" si="5"/>
        <v>Sxx_SIOy:I.</v>
      </c>
      <c r="H20" s="87" t="s">
        <v>351</v>
      </c>
      <c r="I20" s="85" t="str">
        <f t="shared" si="1"/>
        <v>Sxx_SIOy:I.Pt05Data</v>
      </c>
    </row>
    <row r="21" spans="7:9" x14ac:dyDescent="0.35">
      <c r="G21" s="87" t="str">
        <f t="shared" si="5"/>
        <v>Sxx_SIOy:I.</v>
      </c>
      <c r="H21" s="87" t="s">
        <v>352</v>
      </c>
      <c r="I21" s="85" t="str">
        <f t="shared" si="1"/>
        <v>Sxx_SIOy:I.Pt06Data</v>
      </c>
    </row>
    <row r="22" spans="7:9" x14ac:dyDescent="0.35">
      <c r="G22" s="87" t="str">
        <f t="shared" si="5"/>
        <v>Sxx_SIOy:I.</v>
      </c>
      <c r="H22" s="87" t="s">
        <v>353</v>
      </c>
      <c r="I22" s="85" t="str">
        <f t="shared" si="1"/>
        <v>Sxx_SIOy:I.Pt07Data</v>
      </c>
    </row>
    <row r="23" spans="7:9" x14ac:dyDescent="0.35">
      <c r="G23" s="87" t="str">
        <f t="shared" si="5"/>
        <v>Sxx_SIOy:I.</v>
      </c>
      <c r="H23" s="87" t="s">
        <v>354</v>
      </c>
      <c r="I23" s="85" t="str">
        <f t="shared" si="1"/>
        <v>Sxx_SIOy:I.Pt08Data</v>
      </c>
    </row>
    <row r="24" spans="7:9" x14ac:dyDescent="0.35">
      <c r="G24" s="87" t="str">
        <f t="shared" si="5"/>
        <v>Sxx_SIOy:I.</v>
      </c>
      <c r="H24" s="87" t="s">
        <v>355</v>
      </c>
      <c r="I24" s="85" t="str">
        <f t="shared" si="1"/>
        <v>Sxx_SIOy:I.Pt09Data</v>
      </c>
    </row>
    <row r="25" spans="7:9" x14ac:dyDescent="0.35">
      <c r="G25" s="87" t="str">
        <f t="shared" si="5"/>
        <v>Sxx_SIOy:I.</v>
      </c>
      <c r="H25" s="87" t="s">
        <v>356</v>
      </c>
      <c r="I25" s="85" t="str">
        <f t="shared" si="1"/>
        <v>Sxx_SIOy:I.Pt10Data</v>
      </c>
    </row>
    <row r="26" spans="7:9" x14ac:dyDescent="0.35">
      <c r="G26" s="87" t="str">
        <f t="shared" si="5"/>
        <v>Sxx_SIOy:I.</v>
      </c>
      <c r="H26" s="87" t="s">
        <v>357</v>
      </c>
      <c r="I26" s="85" t="str">
        <f t="shared" si="1"/>
        <v>Sxx_SIOy:I.Pt11Data</v>
      </c>
    </row>
    <row r="27" spans="7:9" x14ac:dyDescent="0.35">
      <c r="G27" s="87" t="str">
        <f>$C$2&amp;":O."</f>
        <v>Sxx_SIOy:O.</v>
      </c>
      <c r="H27" s="87" t="s">
        <v>358</v>
      </c>
      <c r="I27" s="85" t="str">
        <f t="shared" si="1"/>
        <v>Sxx_SIOy:O.Test00Data</v>
      </c>
    </row>
    <row r="28" spans="7:9" x14ac:dyDescent="0.35">
      <c r="G28" s="87" t="str">
        <f t="shared" ref="G28:G42" si="6">$C$2&amp;":O."</f>
        <v>Sxx_SIOy:O.</v>
      </c>
      <c r="H28" s="87" t="s">
        <v>359</v>
      </c>
      <c r="I28" s="85" t="str">
        <f t="shared" si="1"/>
        <v>Sxx_SIOy:O.Test01Data</v>
      </c>
    </row>
    <row r="29" spans="7:9" x14ac:dyDescent="0.35">
      <c r="G29" s="87" t="str">
        <f t="shared" si="6"/>
        <v>Sxx_SIOy:O.</v>
      </c>
      <c r="H29" s="87" t="s">
        <v>360</v>
      </c>
      <c r="I29" s="85" t="str">
        <f t="shared" si="1"/>
        <v>Sxx_SIOy:O.Test02Data</v>
      </c>
    </row>
    <row r="30" spans="7:9" x14ac:dyDescent="0.35">
      <c r="G30" s="87" t="str">
        <f t="shared" si="6"/>
        <v>Sxx_SIOy:O.</v>
      </c>
      <c r="H30" s="87" t="s">
        <v>361</v>
      </c>
      <c r="I30" s="85" t="str">
        <f t="shared" si="1"/>
        <v>Sxx_SIOy:O.Test03Data</v>
      </c>
    </row>
    <row r="31" spans="7:9" x14ac:dyDescent="0.35">
      <c r="G31" s="87" t="str">
        <f t="shared" si="6"/>
        <v>Sxx_SIOy:O.</v>
      </c>
      <c r="H31" s="87" t="s">
        <v>362</v>
      </c>
      <c r="I31" s="85" t="str">
        <f t="shared" si="1"/>
        <v>Sxx_SIOy:O.Test04Data</v>
      </c>
    </row>
    <row r="32" spans="7:9" x14ac:dyDescent="0.35">
      <c r="G32" s="87" t="str">
        <f t="shared" si="6"/>
        <v>Sxx_SIOy:O.</v>
      </c>
      <c r="H32" s="87" t="s">
        <v>363</v>
      </c>
      <c r="I32" s="85" t="str">
        <f t="shared" si="1"/>
        <v>Sxx_SIOy:O.Test05Data</v>
      </c>
    </row>
    <row r="33" spans="7:9" x14ac:dyDescent="0.35">
      <c r="G33" s="87" t="str">
        <f t="shared" si="6"/>
        <v>Sxx_SIOy:O.</v>
      </c>
      <c r="H33" s="87" t="s">
        <v>364</v>
      </c>
      <c r="I33" s="85" t="str">
        <f t="shared" si="1"/>
        <v>Sxx_SIOy:O.Test06Data</v>
      </c>
    </row>
    <row r="34" spans="7:9" x14ac:dyDescent="0.35">
      <c r="G34" s="87" t="str">
        <f t="shared" si="6"/>
        <v>Sxx_SIOy:O.</v>
      </c>
      <c r="H34" s="87" t="s">
        <v>365</v>
      </c>
      <c r="I34" s="85" t="str">
        <f t="shared" si="1"/>
        <v>Sxx_SIOy:O.Test07Data</v>
      </c>
    </row>
    <row r="35" spans="7:9" x14ac:dyDescent="0.35">
      <c r="G35" s="87" t="str">
        <f t="shared" si="6"/>
        <v>Sxx_SIOy:O.</v>
      </c>
      <c r="H35" s="87" t="s">
        <v>366</v>
      </c>
      <c r="I35" s="85" t="str">
        <f t="shared" si="1"/>
        <v>Sxx_SIOy:O.Test08Data</v>
      </c>
    </row>
    <row r="36" spans="7:9" x14ac:dyDescent="0.35">
      <c r="G36" s="87" t="str">
        <f t="shared" si="6"/>
        <v>Sxx_SIOy:O.</v>
      </c>
      <c r="H36" s="87" t="s">
        <v>367</v>
      </c>
      <c r="I36" s="85" t="str">
        <f t="shared" si="1"/>
        <v>Sxx_SIOy:O.Test09Data</v>
      </c>
    </row>
    <row r="37" spans="7:9" x14ac:dyDescent="0.35">
      <c r="G37" s="87" t="str">
        <f t="shared" si="6"/>
        <v>Sxx_SIOy:O.</v>
      </c>
      <c r="H37" s="87" t="s">
        <v>368</v>
      </c>
      <c r="I37" s="85" t="str">
        <f t="shared" si="1"/>
        <v>Sxx_SIOy:O.Test10Data</v>
      </c>
    </row>
    <row r="38" spans="7:9" x14ac:dyDescent="0.35">
      <c r="G38" s="87" t="str">
        <f t="shared" si="6"/>
        <v>Sxx_SIOy:O.</v>
      </c>
      <c r="H38" s="87" t="s">
        <v>369</v>
      </c>
      <c r="I38" s="85" t="str">
        <f t="shared" si="1"/>
        <v>Sxx_SIOy:O.Test11Data</v>
      </c>
    </row>
    <row r="39" spans="7:9" x14ac:dyDescent="0.35">
      <c r="G39" s="87" t="str">
        <f t="shared" si="6"/>
        <v>Sxx_SIOy:O.</v>
      </c>
      <c r="H39" s="87" t="s">
        <v>346</v>
      </c>
      <c r="I39" s="85" t="str">
        <f t="shared" si="1"/>
        <v>Sxx_SIOy:O.Pt00Data</v>
      </c>
    </row>
    <row r="40" spans="7:9" x14ac:dyDescent="0.35">
      <c r="G40" s="87" t="str">
        <f t="shared" si="6"/>
        <v>Sxx_SIOy:O.</v>
      </c>
      <c r="H40" s="87" t="s">
        <v>347</v>
      </c>
      <c r="I40" s="85" t="str">
        <f t="shared" si="1"/>
        <v>Sxx_SIOy:O.Pt01Data</v>
      </c>
    </row>
    <row r="41" spans="7:9" x14ac:dyDescent="0.35">
      <c r="G41" s="87" t="str">
        <f t="shared" si="6"/>
        <v>Sxx_SIOy:O.</v>
      </c>
      <c r="H41" s="87" t="s">
        <v>348</v>
      </c>
      <c r="I41" s="85" t="str">
        <f t="shared" si="1"/>
        <v>Sxx_SIOy:O.Pt02Data</v>
      </c>
    </row>
    <row r="42" spans="7:9" x14ac:dyDescent="0.35">
      <c r="G42" s="87" t="str">
        <f t="shared" si="6"/>
        <v>Sxx_SIOy:O.</v>
      </c>
      <c r="H42" s="87" t="s">
        <v>349</v>
      </c>
      <c r="I42" s="85" t="str">
        <f t="shared" si="1"/>
        <v>Sxx_SIOy:O.Pt03Data</v>
      </c>
    </row>
  </sheetData>
  <phoneticPr fontId="7"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56"/>
  <sheetViews>
    <sheetView topLeftCell="BL10" zoomScaleNormal="100" workbookViewId="0">
      <selection activeCell="BS23" sqref="BS23"/>
    </sheetView>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6" width="40.7265625" bestFit="1" customWidth="1" outlineLevel="1"/>
    <col min="57"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88</v>
      </c>
    </row>
    <row r="3" spans="2:96" x14ac:dyDescent="0.35">
      <c r="CO3" t="s">
        <v>92</v>
      </c>
    </row>
    <row r="4" spans="2:96" x14ac:dyDescent="0.35">
      <c r="B4" t="s">
        <v>177</v>
      </c>
      <c r="D4" t="s">
        <v>189</v>
      </c>
      <c r="E4" t="s">
        <v>180</v>
      </c>
      <c r="CO4" s="39" t="s">
        <v>91</v>
      </c>
    </row>
    <row r="5" spans="2:96" x14ac:dyDescent="0.35">
      <c r="B5" t="s">
        <v>172</v>
      </c>
      <c r="D5" t="s">
        <v>175</v>
      </c>
      <c r="E5" t="s">
        <v>174</v>
      </c>
      <c r="CO5" s="39" t="s">
        <v>90</v>
      </c>
    </row>
    <row r="6" spans="2:96" x14ac:dyDescent="0.35">
      <c r="B6" t="s">
        <v>169</v>
      </c>
      <c r="D6" t="s">
        <v>171</v>
      </c>
      <c r="E6" t="s">
        <v>173</v>
      </c>
      <c r="CO6" t="s">
        <v>89</v>
      </c>
    </row>
    <row r="7" spans="2:96" x14ac:dyDescent="0.35">
      <c r="B7" t="s">
        <v>170</v>
      </c>
      <c r="D7" t="s">
        <v>176</v>
      </c>
      <c r="E7" t="s">
        <v>181</v>
      </c>
    </row>
    <row r="8" spans="2:96" x14ac:dyDescent="0.35">
      <c r="B8" t="s">
        <v>222</v>
      </c>
      <c r="D8" t="s">
        <v>178</v>
      </c>
      <c r="E8" t="s">
        <v>179</v>
      </c>
      <c r="CB8" s="9" t="s">
        <v>93</v>
      </c>
      <c r="CO8" s="9" t="s">
        <v>93</v>
      </c>
    </row>
    <row r="9" spans="2:96" x14ac:dyDescent="0.35">
      <c r="B9" t="s">
        <v>223</v>
      </c>
      <c r="D9" t="s">
        <v>224</v>
      </c>
      <c r="E9" t="s">
        <v>225</v>
      </c>
    </row>
    <row r="10" spans="2:96" x14ac:dyDescent="0.35">
      <c r="CB10" t="s">
        <v>108</v>
      </c>
      <c r="CO10" t="s">
        <v>80</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109</v>
      </c>
      <c r="CE11" t="s">
        <v>86</v>
      </c>
      <c r="CO11" t="s">
        <v>81</v>
      </c>
      <c r="CR11" t="s">
        <v>86</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84</v>
      </c>
      <c r="AY12">
        <f>COLUMN()</f>
        <v>51</v>
      </c>
      <c r="BB12" s="47" t="s">
        <v>87</v>
      </c>
      <c r="BY12" s="47" t="s">
        <v>82</v>
      </c>
      <c r="CB12" t="s">
        <v>74</v>
      </c>
      <c r="CE12" t="s">
        <v>69</v>
      </c>
      <c r="CH12" s="47" t="s">
        <v>83</v>
      </c>
      <c r="CO12" t="s">
        <v>74</v>
      </c>
      <c r="CR12" t="s">
        <v>69</v>
      </c>
    </row>
    <row r="13" spans="2:96" ht="101.5" x14ac:dyDescent="0.35">
      <c r="B13" s="61" t="s">
        <v>0</v>
      </c>
      <c r="C13" s="61" t="s">
        <v>1</v>
      </c>
      <c r="D13" s="61" t="s">
        <v>2</v>
      </c>
      <c r="E13" s="61" t="s">
        <v>3</v>
      </c>
      <c r="F13" s="61" t="s">
        <v>4</v>
      </c>
      <c r="G13" s="61" t="s">
        <v>5</v>
      </c>
      <c r="H13" s="61" t="s">
        <v>6</v>
      </c>
      <c r="I13" s="61" t="s">
        <v>7</v>
      </c>
      <c r="J13" s="61" t="s">
        <v>8</v>
      </c>
      <c r="K13" s="57" t="s">
        <v>137</v>
      </c>
      <c r="L13" s="57" t="s">
        <v>211</v>
      </c>
      <c r="M13" s="57" t="s">
        <v>210</v>
      </c>
      <c r="N13" s="57" t="s">
        <v>154</v>
      </c>
      <c r="O13" s="57" t="s">
        <v>213</v>
      </c>
      <c r="P13" s="57" t="s">
        <v>155</v>
      </c>
      <c r="Q13" s="57" t="s">
        <v>236</v>
      </c>
      <c r="R13" s="57" t="s">
        <v>237</v>
      </c>
      <c r="S13" s="57" t="s">
        <v>239</v>
      </c>
      <c r="T13" s="57" t="s">
        <v>241</v>
      </c>
      <c r="U13" s="57" t="s">
        <v>231</v>
      </c>
      <c r="V13" s="57" t="s">
        <v>232</v>
      </c>
      <c r="W13" s="57" t="s">
        <v>136</v>
      </c>
      <c r="X13" s="57" t="s">
        <v>136</v>
      </c>
      <c r="Y13" s="57" t="s">
        <v>136</v>
      </c>
      <c r="Z13" s="57" t="s">
        <v>229</v>
      </c>
      <c r="AA13" s="57" t="s">
        <v>221</v>
      </c>
      <c r="AB13" s="57" t="s">
        <v>184</v>
      </c>
      <c r="AC13" s="57" t="s">
        <v>168</v>
      </c>
      <c r="AD13" s="57" t="s">
        <v>165</v>
      </c>
      <c r="AE13" s="57" t="s">
        <v>201</v>
      </c>
      <c r="AF13" s="57" t="s">
        <v>192</v>
      </c>
      <c r="AG13" s="57" t="s">
        <v>202</v>
      </c>
      <c r="AH13" s="57" t="s">
        <v>203</v>
      </c>
      <c r="AI13" s="57" t="s">
        <v>204</v>
      </c>
      <c r="AJ13" s="57" t="s">
        <v>205</v>
      </c>
      <c r="AK13" s="57" t="s">
        <v>206</v>
      </c>
      <c r="AL13" s="57" t="s">
        <v>207</v>
      </c>
      <c r="AM13" s="57" t="s">
        <v>208</v>
      </c>
      <c r="AN13" s="57" t="s">
        <v>156</v>
      </c>
      <c r="AO13" s="57" t="s">
        <v>157</v>
      </c>
      <c r="AP13" s="57" t="s">
        <v>13</v>
      </c>
      <c r="AQ13" s="57" t="s">
        <v>158</v>
      </c>
      <c r="AR13" s="45" t="s">
        <v>19</v>
      </c>
      <c r="AT13" s="33" t="s">
        <v>65</v>
      </c>
      <c r="AU13" s="34" t="s">
        <v>70</v>
      </c>
      <c r="AV13" s="34" t="s">
        <v>85</v>
      </c>
      <c r="AW13" s="34" t="s">
        <v>73</v>
      </c>
      <c r="AX13" s="34" t="s">
        <v>71</v>
      </c>
      <c r="AY13" s="35" t="s">
        <v>72</v>
      </c>
      <c r="AZ13" s="62" t="s">
        <v>142</v>
      </c>
      <c r="BA13" s="62" t="s">
        <v>142</v>
      </c>
      <c r="BB13" s="25" t="s">
        <v>14</v>
      </c>
      <c r="BC13" s="26" t="s">
        <v>13</v>
      </c>
      <c r="BD13" s="27" t="s">
        <v>226</v>
      </c>
      <c r="BE13" s="27" t="s">
        <v>135</v>
      </c>
      <c r="BF13" s="27" t="s">
        <v>227</v>
      </c>
      <c r="BG13" s="27" t="s">
        <v>238</v>
      </c>
      <c r="BH13" s="27" t="s">
        <v>235</v>
      </c>
      <c r="BI13" s="27" t="s">
        <v>240</v>
      </c>
      <c r="BJ13" s="27" t="s">
        <v>230</v>
      </c>
      <c r="BK13" s="27" t="s">
        <v>234</v>
      </c>
      <c r="BL13" s="27" t="s">
        <v>233</v>
      </c>
      <c r="BM13" s="27" t="s">
        <v>136</v>
      </c>
      <c r="BN13" s="27" t="s">
        <v>136</v>
      </c>
      <c r="BO13" s="27" t="s">
        <v>136</v>
      </c>
      <c r="BP13" s="27" t="s">
        <v>228</v>
      </c>
      <c r="BQ13" s="27" t="s">
        <v>220</v>
      </c>
      <c r="BR13" s="27" t="s">
        <v>151</v>
      </c>
      <c r="BS13" s="27" t="s">
        <v>150</v>
      </c>
      <c r="BT13" s="27" t="s">
        <v>140</v>
      </c>
      <c r="BU13" s="27" t="s">
        <v>218</v>
      </c>
      <c r="BV13" s="46" t="s">
        <v>132</v>
      </c>
      <c r="BW13" s="62" t="s">
        <v>142</v>
      </c>
      <c r="BX13" s="62" t="s">
        <v>142</v>
      </c>
      <c r="BY13" s="43" t="s">
        <v>97</v>
      </c>
      <c r="BZ13" s="28" t="s">
        <v>98</v>
      </c>
      <c r="CA13" s="28" t="s">
        <v>99</v>
      </c>
      <c r="CB13" s="43" t="s">
        <v>106</v>
      </c>
      <c r="CC13" s="28" t="s">
        <v>107</v>
      </c>
      <c r="CD13" s="28" t="s">
        <v>10</v>
      </c>
      <c r="CE13" s="31" t="s">
        <v>11</v>
      </c>
      <c r="CF13" s="62" t="s">
        <v>142</v>
      </c>
      <c r="CG13" s="62" t="s">
        <v>142</v>
      </c>
      <c r="CH13" s="41" t="s">
        <v>94</v>
      </c>
      <c r="CI13" s="29" t="s">
        <v>95</v>
      </c>
      <c r="CJ13" s="29" t="s">
        <v>76</v>
      </c>
      <c r="CK13" s="29" t="s">
        <v>77</v>
      </c>
      <c r="CL13" s="29" t="s">
        <v>127</v>
      </c>
      <c r="CM13" s="29" t="s">
        <v>78</v>
      </c>
      <c r="CN13" s="32" t="s">
        <v>79</v>
      </c>
      <c r="CO13" s="37" t="s">
        <v>9</v>
      </c>
      <c r="CP13" s="37" t="s">
        <v>10</v>
      </c>
      <c r="CQ13" s="37"/>
      <c r="CR13" s="38" t="s">
        <v>11</v>
      </c>
    </row>
    <row r="14" spans="2:96" x14ac:dyDescent="0.35">
      <c r="B14" s="4" t="str">
        <f t="shared" ref="B14" si="0">IF(LEN(BT14)=0,Header_LB_Name,"&lt;BLANK&gt;")</f>
        <v>SAFE_IO_BLOCK_Sxx_SIOy</v>
      </c>
      <c r="C14" s="4"/>
      <c r="D14" s="4" t="str">
        <f>IF(BC14="CUSTOM",BV14,IF(BB14="ENTRY","From_",IF(BB14="EXIT","To_","&lt;invalid&gt;"))&amp;IF(OR(BC14="RBT",BC14="KEY",BC14="SNS"),IF(BE14="",BC14,BC14&amp;"_"&amp;BE14),IF(BC14="OPR",IF(BE14="",BC14&amp;"_"&amp;BD14,BC14&amp;"_"&amp;BE14),IF(BC14="LBS",IF(BE14="",BD14,BE14),BC14)))&amp;"_"&amp;IF(BC14="OPR",IF(BB14="ENTRY","end",IF(BB14="EXIT","start","&lt;invalid&gt;")),BV14))</f>
        <v>From_PSF_Out00</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Sxx_SIOy:O.Pt00Data</v>
      </c>
      <c r="F14" s="4" t="str">
        <f>IF(BC14="CUSTOM",BE14,IF(OR(AND(BB14="ENTRY",OR(BC14="PLC",BC14="PSF")),AND(BB14="EXIT",OR(BC14="RBT",BC14="OPR"))),"Q","I"))</f>
        <v>Q</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
      </c>
      <c r="I14" s="4" t="str">
        <f>IF(OR(BC14="PLC",BC14="PSF"),BD14,IF(AND(BC14="CUSTOM",BF14&lt;&gt;""),BF14,""))</f>
        <v>AB_RACKx_SLOTa</v>
      </c>
      <c r="J14" s="4"/>
      <c r="K14" s="56" t="str">
        <f>AT14</f>
        <v>BOOL</v>
      </c>
      <c r="L14" s="56" t="str">
        <f t="shared" ref="L14:L45" si="4">Header_Resource_Compound</f>
        <v>SYSTEM\SAFE_IO_BLOCKS</v>
      </c>
      <c r="M14" s="56" t="str">
        <f t="shared" ref="M14:M45" si="5">Header_Sysroot_Folder</f>
        <v>STELLANTIS\Common\ToolPrototype\Devices</v>
      </c>
      <c r="N14" s="56" t="str">
        <f t="shared" ref="N14:N45" si="6">Header_COJT_Full_Name</f>
        <v>STELLANTIS_EIP_AB_SAFE_IO_BLOCK_12IN4OUT_ENET_Sxx_SIOy.v00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Sxx_SIOy:</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45" si="9">IF(Header_COJT_Type_Definition="","ToolPrototype",Header_COJT_Type_Definition)</f>
        <v>ToolPrototype</v>
      </c>
      <c r="AC14" s="56" t="str">
        <f>IF(ISBLANK(BT14),"","Optional")</f>
        <v>Optional</v>
      </c>
      <c r="AD14" s="56" t="str">
        <f t="shared" ref="AD14:AD45" si="10">IF(Export_VC_Forms="","",Export_VC_Forms)</f>
        <v xml:space="preserve"> &lt;device&gt;
    &lt;name&gt;Sxx_SIOy&lt;/name&gt;
    &lt;type&gt;AB_SBK_ENET_12I_4O&lt;/type&gt;
  &lt;/device&gt;
</v>
      </c>
      <c r="AE14" s="56" t="str">
        <f t="shared" ref="AE14:AE45" si="11">IF(Export_Setup_Tracker="","",Export_Setup_Tracker)</f>
        <v/>
      </c>
      <c r="AF14" s="56" t="str">
        <f t="shared" ref="AF14:AF45" si="12">IF(Export_Validation_Tracker="","",Export_Validation_Tracker)</f>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14" s="56" t="str">
        <f t="shared" ref="AG14:AG45" si="13">IF(Export_Spare_04="","",Export_Spare_04)</f>
        <v/>
      </c>
      <c r="AH14" s="56" t="str">
        <f t="shared" ref="AH14:AH45" si="14">IF(Export_Spare_05="","",Export_Spare_05)</f>
        <v/>
      </c>
      <c r="AI14" s="56" t="str">
        <f t="shared" ref="AI14:AI45" si="15">IF(Export_Spare_06="","",Export_Spare_06)</f>
        <v/>
      </c>
      <c r="AJ14" s="56" t="str">
        <f t="shared" ref="AJ14:AJ45" si="16">IF(Export_Spare_07="","",Export_Spare_07)</f>
        <v/>
      </c>
      <c r="AK14" s="56" t="str">
        <f t="shared" ref="AK14:AK45" si="17">IF(Export_Spare_08="","",Export_Spare_08)</f>
        <v/>
      </c>
      <c r="AL14" s="56" t="str">
        <f t="shared" ref="AL14:AL45" si="18">IF(Export_Spare_09="","",Export_Spare_09)</f>
        <v/>
      </c>
      <c r="AM14" s="56" t="str">
        <f t="shared" ref="AM14:AM45" si="19">IF(Export_Spare_10="","",Export_Spare_10)</f>
        <v/>
      </c>
      <c r="AN14" s="56" t="str">
        <f>IF(BR14&lt;&gt;"",BR14,"")</f>
        <v/>
      </c>
      <c r="AO14" s="56" t="str">
        <f>IF(BS14&lt;&gt;"",BS14,"")</f>
        <v/>
      </c>
      <c r="AP14" s="56" t="str">
        <f>IF(BC14&lt;&gt;"CUSTOM",BC14,BU14)</f>
        <v>PSF</v>
      </c>
      <c r="AQ14" s="56" t="str">
        <f>BB14</f>
        <v>ENTRY</v>
      </c>
      <c r="AR14" s="39" t="s">
        <v>131</v>
      </c>
      <c r="AT14" s="44" t="str">
        <f t="shared" ref="AT14" si="20">IF(Header_PLC_Type="CLX",IF(CP14&lt;&gt;"",CP14,"&lt;noType&gt;"),IF(LEFT(Header_PLC_Type,2)="S7",IF(CD14&lt;&gt;"",CD14,"&lt;noType&gt;"),"&lt;noPLC&gt;"))</f>
        <v>BOOL</v>
      </c>
      <c r="AU14" s="23" t="str">
        <f t="shared" ref="AU14" si="21">IF(OR(BC14="PLC",BC14="PSF"),CA14,"")</f>
        <v/>
      </c>
      <c r="AV14" s="23" t="str">
        <f t="shared" ref="AV14" si="22">IF(OR(BC14="PLC",BC14="PSF"),IF(AT14="BOOL",F14,IF(AT14="BYTE",F14&amp;"B",IF(OR(AT14="WORD",AT14="INT"),F14&amp;"W",IF(OR(AT14="DWORD",AT14="DINT",AT14="REAL"),F14&amp;"D","&lt;invalid&gt;")))),"")</f>
        <v/>
      </c>
      <c r="AW14" s="23" t="str">
        <f t="shared" ref="AW14" si="23">IF(OR(BC14="PLC",BC14="PSF"),""&amp;AV14&amp;IF(AT14="BOOL",BY14&amp;"."&amp;BZ14,BY14)&amp; IF(CA14&lt;&gt;"",": &lt;"&amp;CA14&amp;"&gt; - ",": "),"")</f>
        <v/>
      </c>
      <c r="AX14" s="23" t="str">
        <f t="shared" ref="AX14" si="24">IF(OR(BC14="PLC",BC14="PSF"),IF(AND(BB14="EXIT",BC14="PSF"),CH14&amp;SUBSTITUTE(CJ14,":","_")&amp;CK14,CJ14&amp;CK14),"")</f>
        <v/>
      </c>
      <c r="AY14" s="36" t="str">
        <f t="shared" ref="AY14" si="25">IF(OR(BC14="PLC",BC14="PSF"),IF(CM14&lt;&gt;"",CM14 &amp; ": &lt;" &amp; CN14&amp;CO14 &amp; "&gt; - ","Controller: &lt;"&amp;CJ14&amp;CK14&amp;"&gt; - "),"")</f>
        <v/>
      </c>
      <c r="BB14" s="42" t="s">
        <v>15</v>
      </c>
      <c r="BC14" t="s">
        <v>63</v>
      </c>
      <c r="BD14" t="str">
        <f>Prep!$C$2&amp;":O.Pt00Data"</f>
        <v>Sxx_SIOy:O.Pt00Data</v>
      </c>
      <c r="BE14" t="s">
        <v>370</v>
      </c>
      <c r="BF14" t="str">
        <f>Header_Config01</f>
        <v>AB_RACKx_SLOTa</v>
      </c>
      <c r="BI14" t="str">
        <f>Prep!$C$2&amp;":"</f>
        <v>Sxx_SIOy:</v>
      </c>
      <c r="BT14" t="str">
        <f>""</f>
        <v/>
      </c>
      <c r="BU14" t="s">
        <v>22</v>
      </c>
      <c r="BV14" s="30" t="s">
        <v>371</v>
      </c>
      <c r="BY14" s="42"/>
      <c r="CB14" s="42"/>
      <c r="CE14" s="30"/>
      <c r="CH14" s="42"/>
      <c r="CN14" s="30"/>
      <c r="CP14" t="s">
        <v>12</v>
      </c>
      <c r="CQ14" s="40"/>
      <c r="CR14" s="30"/>
    </row>
    <row r="15" spans="2:96" x14ac:dyDescent="0.35">
      <c r="B15" s="4" t="str">
        <f t="shared" ref="B15:B18" si="26">IF(LEN(BT15)=0,Header_LB_Name,"&lt;BLANK&gt;")</f>
        <v>SAFE_IO_BLOCK_Sxx_SIOy</v>
      </c>
      <c r="C15" s="4"/>
      <c r="D15" s="4" t="str">
        <f t="shared" ref="D15:D18" si="27">IF(BC15="CUSTOM",BV15,IF(BB15="ENTRY","From_",IF(BB15="EXIT","To_","&lt;invalid&gt;"))&amp;IF(OR(BC15="RBT",BC15="KEY",BC15="SNS"),IF(BE15="",BC15,BC15&amp;"_"&amp;BE15),IF(BC15="OPR",IF(BE15="",BC15&amp;"_"&amp;BD15,BC15&amp;"_"&amp;BE15),IF(BC15="LBS",IF(BE15="",BD15,BE15),BC15)))&amp;"_"&amp;IF(BC15="OPR",IF(BB15="ENTRY","end",IF(BB15="EXIT","start","&lt;invalid&gt;")),BV15))</f>
        <v>From_PSF_Out01</v>
      </c>
      <c r="E15" s="4" t="str">
        <f t="shared" ref="E15:E18" si="28">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Sxx_SIOy:O.Pt01Data</v>
      </c>
      <c r="F15" s="4" t="str">
        <f t="shared" ref="F15:F18" si="29">IF(BC15="CUSTOM",BE15,IF(OR(AND(BB15="ENTRY",OR(BC15="PLC",BC15="PSF")),AND(BB15="EXIT",OR(BC15="RBT",BC15="OPR"))),"Q","I"))</f>
        <v>Q</v>
      </c>
      <c r="G15" s="4" t="str">
        <f t="shared" ref="G15:G18" si="30">IF(Header_PLC_Type="S7-ADD",IF(OR(BC15="PSF",BC15="PLC"),IF(BY15&lt;&gt;"",IF(AT15="BOOL",BY15&amp;"."&amp;BZ15,BY15),"&lt;missing&gt;"),""),"")</f>
        <v/>
      </c>
      <c r="H15" s="4" t="str">
        <f t="shared" ref="H15:H18" si="31">IF(OR(BC15="PLC",BC15="PSF"),IF(Header_PLC_Type="CLX",AY15&amp;CR15,IF(LEFT(Header_PLC_Type,2)="S7",AW15&amp;CE15,"&lt;invalid PLC type&gt;")),IF(Header_PLC_Type="CLX",IF(CR15&lt;&gt;"",CR15,""),IF(LEFT(Header_PLC_Type,2)="S7",IF(CE15&lt;&gt;"",CE15,""),"&lt;invalid PLC type&gt;")))</f>
        <v/>
      </c>
      <c r="I15" s="4" t="str">
        <f t="shared" ref="I15:I18" si="32">IF(OR(BC15="PLC",BC15="PSF"),BD15,IF(AND(BC15="CUSTOM",BF15&lt;&gt;""),BF15,""))</f>
        <v>AB_RACKx_SLOTa</v>
      </c>
      <c r="J15" s="4"/>
      <c r="K15" s="56" t="str">
        <f t="shared" ref="K15:K18" si="33">AT15</f>
        <v>BOOL</v>
      </c>
      <c r="L15" s="56" t="str">
        <f t="shared" si="4"/>
        <v>SYSTEM\SAFE_IO_BLOCKS</v>
      </c>
      <c r="M15" s="56" t="str">
        <f t="shared" si="5"/>
        <v>STELLANTIS\Common\ToolPrototype\Devices</v>
      </c>
      <c r="N15" s="56" t="str">
        <f t="shared" si="6"/>
        <v>STELLANTIS_EIP_AB_SAFE_IO_BLOCK_12IN4OUT_ENET_Sxx_SIOy.v00</v>
      </c>
      <c r="O15" s="56" t="str">
        <f t="shared" ref="O15:O18" si="34">IF(AND(OR(BC15="SNS",BC15="OPR",BC15="RBT"),BF15&lt;&gt;""),BF15,IF(OR(BC15="PSF",BC15="PLC"),IF(BB15="ENTRY",IF(OR(ISLOGICAL(BF15),ISNUMBER(BF15)),LOWER(TEXT(BF15,"General")),IF((ISTEXT(BF15)),"CEE_To_VC_"&amp;BE15&amp;"_"&amp;BF15,"")),IF((ISTEXT(BF15)),"CEE_From_VC_"&amp;BE15&amp;"_"&amp;BF15,"")),IF(BC15="CUSTOM",IF(BH15&lt;&gt;"",BH15,""),"")))</f>
        <v/>
      </c>
      <c r="P15" s="56" t="str">
        <f t="shared" ref="P15:P18" si="35">IF(OR(BC15="SNS",BC15="OPR"),IF(BG15&lt;&gt;"",BG15,""),IF(BC15="RBT",BD15,IF(BC15="CUSTOM",IF(BG15&lt;&gt;"",BG15,""),"")))</f>
        <v/>
      </c>
      <c r="Q15" s="56" t="str">
        <f t="shared" ref="Q15:Q18" si="36">IF(BC15="OPR",IF(BV15&lt;&gt;"",BV15,"NONSIM"),IF(BC15="RBT",IF(BH15&lt;&gt;"",BH15,""),IF(BC15="SNS",IF(BH15&lt;&gt;"",BH15,L15),IF(OR(BC15="PLC",BC15="PSF"),IF(BG15&lt;&gt;"",BG15,""),""))))</f>
        <v/>
      </c>
      <c r="R15" s="56" t="str">
        <f t="shared" ref="R15:R18" si="37">IF(OR(BC15="PLC",BC15="PSF",BC15="OPR"),IF(BH15&lt;&gt;"",BH15,""),IF(BC15="RBT",IF(BI15&lt;&gt;"",BI15,""),IF(BC15="SNS",IF(BI15&lt;&gt;"",BI15,"PHOTOELECTRIC"),"")))</f>
        <v/>
      </c>
      <c r="S15" s="56" t="str">
        <f t="shared" ref="S15:S18" si="38">IF(OR(BC15="PLC",BC15="PSF",BC15="OPR",AND(BC15="CUSTOM",OR(BU15="PLC",BU15="PSF"))),IF(BI15&lt;&gt;"",BI15,""),IF(BC15="SNS",IF(BJ15&lt;&gt;"",BJ15,""),""))</f>
        <v>Sxx_SIOy:</v>
      </c>
      <c r="T15" s="56" t="str">
        <f t="shared" ref="T15:T18" si="39">IF(AND(Header_PLC_Type="CLX",BC15="PSF",BB15="EXIT"),CJ15&amp;CK15,IF(BC15="OPR",IF(BJ15&lt;&gt;"",BJ15,""),""))</f>
        <v/>
      </c>
      <c r="U15" s="56" t="str">
        <f t="shared" ref="U15:U18" si="40">IF(OR(BC15="SNS",BC15="OPR"),IF(BK15&lt;&gt;"",BK15,""),"")</f>
        <v/>
      </c>
      <c r="V15" s="56" t="str">
        <f t="shared" ref="V15:V18" si="41">IF(OR(BC15="SNS",BC15="OPR"),IF(BL15&lt;&gt;"",BL15,""),"")</f>
        <v/>
      </c>
      <c r="W15" s="56"/>
      <c r="X15" s="56"/>
      <c r="Y15" s="56"/>
      <c r="Z15" s="56" t="str">
        <f t="shared" ref="Z15:Z18" si="42">IF(BP15="","",BP15)</f>
        <v/>
      </c>
      <c r="AA15" s="56" t="str">
        <f t="shared" ref="AA15:AA18" si="43">IF($BQ15="","",$BQ15)</f>
        <v/>
      </c>
      <c r="AB15" s="56" t="str">
        <f t="shared" si="9"/>
        <v>ToolPrototype</v>
      </c>
      <c r="AC15" s="56" t="str">
        <f t="shared" ref="AC15:AC18" si="44">IF(ISBLANK(BT15),"","Optional")</f>
        <v>Optional</v>
      </c>
      <c r="AD15" s="56" t="str">
        <f t="shared" si="10"/>
        <v xml:space="preserve"> &lt;device&gt;
    &lt;name&gt;Sxx_SIOy&lt;/name&gt;
    &lt;type&gt;AB_SBK_ENET_12I_4O&lt;/type&gt;
  &lt;/device&gt;
</v>
      </c>
      <c r="AE15" s="56" t="str">
        <f t="shared" si="11"/>
        <v/>
      </c>
      <c r="AF15"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AN18" si="45">IF(BR15&lt;&gt;"",BR15,"")</f>
        <v/>
      </c>
      <c r="AO15" s="56" t="str">
        <f t="shared" ref="AO15:AO18" si="46">IF(BS15&lt;&gt;"",BS15,"")</f>
        <v/>
      </c>
      <c r="AP15" s="56" t="str">
        <f t="shared" ref="AP15:AP18" si="47">IF(BC15&lt;&gt;"CUSTOM",BC15,BU15)</f>
        <v>PSF</v>
      </c>
      <c r="AQ15" s="56" t="str">
        <f t="shared" ref="AQ15:AQ18" si="48">BB15</f>
        <v>ENTRY</v>
      </c>
      <c r="AR15" s="39" t="s">
        <v>131</v>
      </c>
      <c r="AT15" s="44" t="str">
        <f t="shared" ref="AT15:AT18" si="49">IF(Header_PLC_Type="CLX",IF(CP15&lt;&gt;"",CP15,"&lt;noType&gt;"),IF(LEFT(Header_PLC_Type,2)="S7",IF(CD15&lt;&gt;"",CD15,"&lt;noType&gt;"),"&lt;noPLC&gt;"))</f>
        <v>BOOL</v>
      </c>
      <c r="AU15" s="23" t="str">
        <f t="shared" ref="AU15:AU18" si="50">IF(OR(BC15="PLC",BC15="PSF"),CA15,"")</f>
        <v/>
      </c>
      <c r="AV15" s="23" t="str">
        <f t="shared" ref="AV15:AV18" si="51">IF(OR(BC15="PLC",BC15="PSF"),IF(AT15="BOOL",F15,IF(AT15="BYTE",F15&amp;"B",IF(OR(AT15="WORD",AT15="INT"),F15&amp;"W",IF(OR(AT15="DWORD",AT15="DINT",AT15="REAL"),F15&amp;"D","&lt;invalid&gt;")))),"")</f>
        <v/>
      </c>
      <c r="AW15" s="23" t="str">
        <f t="shared" ref="AW15:AW18" si="52">IF(OR(BC15="PLC",BC15="PSF"),""&amp;AV15&amp;IF(AT15="BOOL",BY15&amp;"."&amp;BZ15,BY15)&amp; IF(CA15&lt;&gt;"",": &lt;"&amp;CA15&amp;"&gt; - ",": "),"")</f>
        <v/>
      </c>
      <c r="AX15" s="23" t="str">
        <f t="shared" ref="AX15:AX18" si="53">IF(OR(BC15="PLC",BC15="PSF"),IF(AND(BB15="EXIT",BC15="PSF"),CH15&amp;SUBSTITUTE(CJ15,":","_")&amp;CK15,CJ15&amp;CK15),"")</f>
        <v/>
      </c>
      <c r="AY15" s="36" t="str">
        <f t="shared" ref="AY15:AY18" si="54">IF(OR(BC15="PLC",BC15="PSF"),IF(CM15&lt;&gt;"",CM15 &amp; ": &lt;" &amp; CN15&amp;CO15 &amp; "&gt; - ","Controller: &lt;"&amp;CJ15&amp;CK15&amp;"&gt; - "),"")</f>
        <v/>
      </c>
      <c r="BB15" s="42" t="s">
        <v>15</v>
      </c>
      <c r="BC15" t="s">
        <v>63</v>
      </c>
      <c r="BD15" t="str">
        <f>Prep!$C$2&amp;":O.Pt01Data"</f>
        <v>Sxx_SIOy:O.Pt01Data</v>
      </c>
      <c r="BE15" t="s">
        <v>370</v>
      </c>
      <c r="BF15" t="str">
        <f>Header_Config01</f>
        <v>AB_RACKx_SLOTa</v>
      </c>
      <c r="BI15" t="str">
        <f>Prep!$C$2&amp;":"</f>
        <v>Sxx_SIOy:</v>
      </c>
      <c r="BT15" t="str">
        <f>""</f>
        <v/>
      </c>
      <c r="BU15" t="s">
        <v>22</v>
      </c>
      <c r="BV15" s="30" t="s">
        <v>372</v>
      </c>
      <c r="BY15" s="42"/>
      <c r="CB15" s="42"/>
      <c r="CE15" s="30"/>
      <c r="CH15" s="42"/>
      <c r="CN15" s="30"/>
      <c r="CP15" t="s">
        <v>12</v>
      </c>
      <c r="CQ15" s="40"/>
      <c r="CR15" s="30"/>
    </row>
    <row r="16" spans="2:96" x14ac:dyDescent="0.35">
      <c r="B16" s="4" t="str">
        <f t="shared" si="26"/>
        <v>SAFE_IO_BLOCK_Sxx_SIOy</v>
      </c>
      <c r="C16" s="4"/>
      <c r="D16" s="4" t="str">
        <f t="shared" si="27"/>
        <v>From_PSF_Out02</v>
      </c>
      <c r="E16" s="4" t="str">
        <f t="shared" si="28"/>
        <v>Sxx_SIOy:O.Pt02Data</v>
      </c>
      <c r="F16" s="4" t="str">
        <f t="shared" si="29"/>
        <v>Q</v>
      </c>
      <c r="G16" s="4" t="str">
        <f t="shared" si="30"/>
        <v/>
      </c>
      <c r="H16" s="4" t="str">
        <f t="shared" si="31"/>
        <v/>
      </c>
      <c r="I16" s="4" t="str">
        <f t="shared" si="32"/>
        <v>AB_RACKx_SLOTa</v>
      </c>
      <c r="J16" s="4"/>
      <c r="K16" s="56" t="str">
        <f t="shared" si="33"/>
        <v>BOOL</v>
      </c>
      <c r="L16" s="56" t="str">
        <f t="shared" si="4"/>
        <v>SYSTEM\SAFE_IO_BLOCKS</v>
      </c>
      <c r="M16" s="56" t="str">
        <f t="shared" si="5"/>
        <v>STELLANTIS\Common\ToolPrototype\Devices</v>
      </c>
      <c r="N16" s="56" t="str">
        <f t="shared" si="6"/>
        <v>STELLANTIS_EIP_AB_SAFE_IO_BLOCK_12IN4OUT_ENET_Sxx_SIOy.v00</v>
      </c>
      <c r="O16" s="56" t="str">
        <f t="shared" si="34"/>
        <v/>
      </c>
      <c r="P16" s="56" t="str">
        <f t="shared" si="35"/>
        <v/>
      </c>
      <c r="Q16" s="56" t="str">
        <f t="shared" si="36"/>
        <v/>
      </c>
      <c r="R16" s="56" t="str">
        <f t="shared" si="37"/>
        <v/>
      </c>
      <c r="S16" s="56" t="str">
        <f t="shared" si="38"/>
        <v>Sxx_SIOy:</v>
      </c>
      <c r="T16" s="56" t="str">
        <f t="shared" si="39"/>
        <v/>
      </c>
      <c r="U16" s="56" t="str">
        <f t="shared" si="40"/>
        <v/>
      </c>
      <c r="V16" s="56" t="str">
        <f t="shared" si="41"/>
        <v/>
      </c>
      <c r="W16" s="56"/>
      <c r="X16" s="56"/>
      <c r="Y16" s="56"/>
      <c r="Z16" s="56" t="str">
        <f t="shared" si="42"/>
        <v/>
      </c>
      <c r="AA16" s="56" t="str">
        <f t="shared" si="43"/>
        <v/>
      </c>
      <c r="AB16" s="56" t="str">
        <f t="shared" si="9"/>
        <v>ToolPrototype</v>
      </c>
      <c r="AC16" s="56" t="str">
        <f t="shared" si="44"/>
        <v>Optional</v>
      </c>
      <c r="AD16" s="56" t="str">
        <f t="shared" si="10"/>
        <v xml:space="preserve"> &lt;device&gt;
    &lt;name&gt;Sxx_SIOy&lt;/name&gt;
    &lt;type&gt;AB_SBK_ENET_12I_4O&lt;/type&gt;
  &lt;/device&gt;
</v>
      </c>
      <c r="AE16" s="56" t="str">
        <f t="shared" si="11"/>
        <v/>
      </c>
      <c r="AF16"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si="45"/>
        <v/>
      </c>
      <c r="AO16" s="56" t="str">
        <f t="shared" si="46"/>
        <v/>
      </c>
      <c r="AP16" s="56" t="str">
        <f t="shared" si="47"/>
        <v>PSF</v>
      </c>
      <c r="AQ16" s="56" t="str">
        <f t="shared" si="48"/>
        <v>ENTRY</v>
      </c>
      <c r="AR16" s="39" t="s">
        <v>131</v>
      </c>
      <c r="AT16" s="44" t="str">
        <f t="shared" si="49"/>
        <v>BOOL</v>
      </c>
      <c r="AU16" s="23" t="str">
        <f t="shared" si="50"/>
        <v/>
      </c>
      <c r="AV16" s="23" t="str">
        <f t="shared" si="51"/>
        <v/>
      </c>
      <c r="AW16" s="23" t="str">
        <f t="shared" si="52"/>
        <v/>
      </c>
      <c r="AX16" s="23" t="str">
        <f t="shared" si="53"/>
        <v/>
      </c>
      <c r="AY16" s="36" t="str">
        <f t="shared" si="54"/>
        <v/>
      </c>
      <c r="BB16" s="42" t="s">
        <v>15</v>
      </c>
      <c r="BC16" t="s">
        <v>63</v>
      </c>
      <c r="BD16" t="str">
        <f>Prep!$C$2&amp;":O.Pt02Data"</f>
        <v>Sxx_SIOy:O.Pt02Data</v>
      </c>
      <c r="BE16" t="s">
        <v>370</v>
      </c>
      <c r="BF16" t="str">
        <f>Header_Config01</f>
        <v>AB_RACKx_SLOTa</v>
      </c>
      <c r="BI16" t="str">
        <f>Prep!$C$2&amp;":"</f>
        <v>Sxx_SIOy:</v>
      </c>
      <c r="BT16" t="str">
        <f>""</f>
        <v/>
      </c>
      <c r="BU16" t="s">
        <v>22</v>
      </c>
      <c r="BV16" s="30" t="s">
        <v>373</v>
      </c>
      <c r="BY16" s="42"/>
      <c r="CB16" s="42"/>
      <c r="CE16" s="30"/>
      <c r="CH16" s="42"/>
      <c r="CN16" s="30"/>
      <c r="CP16" t="s">
        <v>12</v>
      </c>
      <c r="CQ16" s="40"/>
      <c r="CR16" s="30"/>
    </row>
    <row r="17" spans="2:96" x14ac:dyDescent="0.35">
      <c r="B17" s="4" t="str">
        <f t="shared" si="26"/>
        <v>SAFE_IO_BLOCK_Sxx_SIOy</v>
      </c>
      <c r="C17" s="4"/>
      <c r="D17" s="4" t="str">
        <f t="shared" si="27"/>
        <v>From_PSF_Out03</v>
      </c>
      <c r="E17" s="4" t="str">
        <f t="shared" si="28"/>
        <v>Sxx_SIOy:O.Pt03Data</v>
      </c>
      <c r="F17" s="4" t="str">
        <f t="shared" si="29"/>
        <v>Q</v>
      </c>
      <c r="G17" s="4" t="str">
        <f t="shared" si="30"/>
        <v/>
      </c>
      <c r="H17" s="4" t="str">
        <f t="shared" si="31"/>
        <v/>
      </c>
      <c r="I17" s="4" t="str">
        <f t="shared" si="32"/>
        <v>AB_RACKx_SLOTa</v>
      </c>
      <c r="J17" s="4"/>
      <c r="K17" s="56" t="str">
        <f t="shared" si="33"/>
        <v>BOOL</v>
      </c>
      <c r="L17" s="56" t="str">
        <f t="shared" si="4"/>
        <v>SYSTEM\SAFE_IO_BLOCKS</v>
      </c>
      <c r="M17" s="56" t="str">
        <f t="shared" si="5"/>
        <v>STELLANTIS\Common\ToolPrototype\Devices</v>
      </c>
      <c r="N17" s="56" t="str">
        <f t="shared" si="6"/>
        <v>STELLANTIS_EIP_AB_SAFE_IO_BLOCK_12IN4OUT_ENET_Sxx_SIOy.v00</v>
      </c>
      <c r="O17" s="56" t="str">
        <f t="shared" si="34"/>
        <v/>
      </c>
      <c r="P17" s="56" t="str">
        <f t="shared" si="35"/>
        <v/>
      </c>
      <c r="Q17" s="56" t="str">
        <f t="shared" si="36"/>
        <v/>
      </c>
      <c r="R17" s="56" t="str">
        <f t="shared" si="37"/>
        <v/>
      </c>
      <c r="S17" s="56" t="str">
        <f t="shared" si="38"/>
        <v>Sxx_SIOy:</v>
      </c>
      <c r="T17" s="56" t="str">
        <f t="shared" si="39"/>
        <v/>
      </c>
      <c r="U17" s="56" t="str">
        <f t="shared" si="40"/>
        <v/>
      </c>
      <c r="V17" s="56" t="str">
        <f t="shared" si="41"/>
        <v/>
      </c>
      <c r="W17" s="56"/>
      <c r="X17" s="56"/>
      <c r="Y17" s="56"/>
      <c r="Z17" s="56" t="str">
        <f t="shared" si="42"/>
        <v/>
      </c>
      <c r="AA17" s="56" t="str">
        <f t="shared" si="43"/>
        <v/>
      </c>
      <c r="AB17" s="56" t="str">
        <f t="shared" si="9"/>
        <v>ToolPrototype</v>
      </c>
      <c r="AC17" s="56" t="str">
        <f t="shared" si="44"/>
        <v>Optional</v>
      </c>
      <c r="AD17" s="56" t="str">
        <f t="shared" si="10"/>
        <v xml:space="preserve"> &lt;device&gt;
    &lt;name&gt;Sxx_SIOy&lt;/name&gt;
    &lt;type&gt;AB_SBK_ENET_12I_4O&lt;/type&gt;
  &lt;/device&gt;
</v>
      </c>
      <c r="AE17" s="56" t="str">
        <f t="shared" si="11"/>
        <v/>
      </c>
      <c r="AF17"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si="45"/>
        <v/>
      </c>
      <c r="AO17" s="56" t="str">
        <f t="shared" si="46"/>
        <v/>
      </c>
      <c r="AP17" s="56" t="str">
        <f t="shared" si="47"/>
        <v>PSF</v>
      </c>
      <c r="AQ17" s="56" t="str">
        <f t="shared" si="48"/>
        <v>ENTRY</v>
      </c>
      <c r="AR17" s="39" t="s">
        <v>131</v>
      </c>
      <c r="AT17" s="44" t="str">
        <f t="shared" si="49"/>
        <v>BOOL</v>
      </c>
      <c r="AU17" s="23" t="str">
        <f t="shared" si="50"/>
        <v/>
      </c>
      <c r="AV17" s="23" t="str">
        <f t="shared" si="51"/>
        <v/>
      </c>
      <c r="AW17" s="23" t="str">
        <f t="shared" si="52"/>
        <v/>
      </c>
      <c r="AX17" s="23" t="str">
        <f t="shared" si="53"/>
        <v/>
      </c>
      <c r="AY17" s="36" t="str">
        <f t="shared" si="54"/>
        <v/>
      </c>
      <c r="BB17" s="42" t="s">
        <v>15</v>
      </c>
      <c r="BC17" t="s">
        <v>63</v>
      </c>
      <c r="BD17" t="str">
        <f>Prep!$C$2&amp;":O.Pt03Data"</f>
        <v>Sxx_SIOy:O.Pt03Data</v>
      </c>
      <c r="BE17" t="s">
        <v>370</v>
      </c>
      <c r="BF17" t="str">
        <f>Header_Config01</f>
        <v>AB_RACKx_SLOTa</v>
      </c>
      <c r="BI17" t="str">
        <f>Prep!$C$2&amp;":"</f>
        <v>Sxx_SIOy:</v>
      </c>
      <c r="BT17" t="str">
        <f>""</f>
        <v/>
      </c>
      <c r="BU17" t="s">
        <v>22</v>
      </c>
      <c r="BV17" s="30" t="s">
        <v>374</v>
      </c>
      <c r="BY17" s="42"/>
      <c r="CB17" s="42"/>
      <c r="CE17" s="30"/>
      <c r="CH17" s="42"/>
      <c r="CN17" s="30"/>
      <c r="CP17" t="s">
        <v>12</v>
      </c>
      <c r="CQ17" s="40"/>
      <c r="CR17" s="30"/>
    </row>
    <row r="18" spans="2:96" x14ac:dyDescent="0.35">
      <c r="B18" s="4" t="str">
        <f t="shared" si="26"/>
        <v>SAFE_IO_BLOCK_Sxx_SIOy</v>
      </c>
      <c r="C18" s="4"/>
      <c r="D18" s="4" t="str">
        <f t="shared" si="27"/>
        <v>From_SIM_InputPwrOk</v>
      </c>
      <c r="E18" s="4" t="str">
        <f t="shared" si="28"/>
        <v>LBS_Sxx_SyyPDPz_RP0414</v>
      </c>
      <c r="F18" s="4" t="str">
        <f t="shared" si="29"/>
        <v>I</v>
      </c>
      <c r="G18" s="4" t="str">
        <f t="shared" si="30"/>
        <v/>
      </c>
      <c r="H18" s="4" t="str">
        <f t="shared" si="31"/>
        <v/>
      </c>
      <c r="I18" s="4" t="str">
        <f t="shared" si="32"/>
        <v/>
      </c>
      <c r="J18" s="4"/>
      <c r="K18" s="56" t="str">
        <f t="shared" si="33"/>
        <v>BOOL</v>
      </c>
      <c r="L18" s="56" t="str">
        <f t="shared" si="4"/>
        <v>SYSTEM\SAFE_IO_BLOCKS</v>
      </c>
      <c r="M18" s="56" t="str">
        <f t="shared" si="5"/>
        <v>STELLANTIS\Common\ToolPrototype\Devices</v>
      </c>
      <c r="N18" s="56" t="str">
        <f t="shared" si="6"/>
        <v>STELLANTIS_EIP_AB_SAFE_IO_BLOCK_12IN4OUT_ENET_Sxx_SIOy.v00</v>
      </c>
      <c r="O18" s="56" t="str">
        <f t="shared" si="34"/>
        <v/>
      </c>
      <c r="P18" s="56" t="str">
        <f t="shared" si="35"/>
        <v/>
      </c>
      <c r="Q18" s="56" t="str">
        <f t="shared" si="36"/>
        <v/>
      </c>
      <c r="R18" s="56" t="str">
        <f t="shared" si="37"/>
        <v/>
      </c>
      <c r="S18" s="56" t="str">
        <f t="shared" si="38"/>
        <v/>
      </c>
      <c r="T18" s="56" t="str">
        <f t="shared" si="39"/>
        <v/>
      </c>
      <c r="U18" s="56" t="str">
        <f t="shared" si="40"/>
        <v/>
      </c>
      <c r="V18" s="56" t="str">
        <f t="shared" si="41"/>
        <v/>
      </c>
      <c r="W18" s="56"/>
      <c r="X18" s="56"/>
      <c r="Y18" s="56"/>
      <c r="Z18" s="56" t="str">
        <f t="shared" si="42"/>
        <v/>
      </c>
      <c r="AA18" s="56" t="str">
        <f t="shared" si="43"/>
        <v/>
      </c>
      <c r="AB18" s="56" t="str">
        <f t="shared" si="9"/>
        <v>ToolPrototype</v>
      </c>
      <c r="AC18" s="56" t="str">
        <f t="shared" si="44"/>
        <v/>
      </c>
      <c r="AD18" s="56" t="str">
        <f t="shared" si="10"/>
        <v xml:space="preserve"> &lt;device&gt;
    &lt;name&gt;Sxx_SIOy&lt;/name&gt;
    &lt;type&gt;AB_SBK_ENET_12I_4O&lt;/type&gt;
  &lt;/device&gt;
</v>
      </c>
      <c r="AE18" s="56" t="str">
        <f t="shared" si="11"/>
        <v/>
      </c>
      <c r="AF18"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5"/>
        <v/>
      </c>
      <c r="AO18" s="56" t="str">
        <f t="shared" si="46"/>
        <v/>
      </c>
      <c r="AP18" s="56" t="str">
        <f t="shared" si="47"/>
        <v>LBS</v>
      </c>
      <c r="AQ18" s="56" t="str">
        <f t="shared" si="48"/>
        <v>ENTRY</v>
      </c>
      <c r="AR18" s="39" t="s">
        <v>131</v>
      </c>
      <c r="AT18" s="44" t="str">
        <f t="shared" si="49"/>
        <v>BOOL</v>
      </c>
      <c r="AU18" s="23" t="str">
        <f t="shared" si="50"/>
        <v/>
      </c>
      <c r="AV18" s="23" t="str">
        <f t="shared" si="51"/>
        <v/>
      </c>
      <c r="AW18" s="23" t="str">
        <f t="shared" si="52"/>
        <v/>
      </c>
      <c r="AX18" s="23" t="str">
        <f t="shared" si="53"/>
        <v/>
      </c>
      <c r="AY18" s="36" t="str">
        <f t="shared" si="54"/>
        <v/>
      </c>
      <c r="BB18" s="42" t="s">
        <v>15</v>
      </c>
      <c r="BC18" t="s">
        <v>63</v>
      </c>
      <c r="BD18" t="str">
        <f>IF(Header_Config04="","LBS_"&amp;SUBSTITUTE(Header_Config05,":","_")&amp;"_NMP","LBS_"&amp;SUBSTITUTE(Header_Config04,":","_"))</f>
        <v>LBS_Sxx_SyyPDPz_RP0414</v>
      </c>
      <c r="BE18" t="s">
        <v>64</v>
      </c>
      <c r="BU18" t="s">
        <v>103</v>
      </c>
      <c r="BV18" s="30" t="s">
        <v>253</v>
      </c>
      <c r="BY18" s="42"/>
      <c r="CB18" s="42"/>
      <c r="CE18" s="30"/>
      <c r="CH18" s="42"/>
      <c r="CN18" s="30"/>
      <c r="CP18" t="s">
        <v>12</v>
      </c>
      <c r="CQ18" s="40"/>
      <c r="CR18" s="30"/>
    </row>
    <row r="19" spans="2:96" x14ac:dyDescent="0.35">
      <c r="B19" s="4" t="str">
        <f t="shared" ref="B19:B44" si="55">IF(LEN(BT19)=0,Header_LB_Name,"&lt;BLANK&gt;")</f>
        <v>SAFE_IO_BLOCK_Sxx_SIOy</v>
      </c>
      <c r="C19" s="4"/>
      <c r="D19" s="4" t="str">
        <f t="shared" ref="D19:D44" si="56">IF(BC19="CUSTOM",BV19,IF(BB19="ENTRY","From_",IF(BB19="EXIT","To_","&lt;invalid&gt;"))&amp;IF(OR(BC19="RBT",BC19="KEY",BC19="SNS"),IF(BE19="",BC19,BC19&amp;"_"&amp;BE19),IF(BC19="OPR",IF(BE19="",BC19&amp;"_"&amp;BD19,BC19&amp;"_"&amp;BE19),IF(BC19="LBS",IF(BE19="",BD19,BE19),BC19)))&amp;"_"&amp;IF(BC19="OPR",IF(BB19="ENTRY","end",IF(BB19="EXIT","start","&lt;invalid&gt;")),BV19))</f>
        <v>From_SIM_OutputPwrOk</v>
      </c>
      <c r="E19" s="4" t="str">
        <f t="shared" ref="E19:E44" si="57">IF(OR(BC19="PLC",BC19="PSF"),IF(Header_PLC_Type="CLX",AX19,IF(LEFT(Header_PLC_Type,2)="S7",AU19,"&lt;invalid PLC type&gt;")),IF(BB19="ENTRY",IF(BC19="LBS",IF(BD19&lt;&gt;"",IF(BF19="",BC19&amp;"_"&amp;BD19&amp;"_To_"&amp;B19&amp;"_"&amp;BV19,BC19&amp;"_"&amp;BD19&amp;"_To_"&amp;BF19&amp;"_"&amp;BV19),"&lt;missing other LB/group name&gt;"),IF(OR(BC19="SNS",BC19="KEY"),IF(BD19&lt;&gt;"",BC19&amp;"_"&amp;BD19&amp;"_"&amp;BV19,"&lt;missing unique identifier&gt;"),IF(OR(BC19="RBT",BC19="OPR"),IF(BD19&lt;&gt;"",BD19&amp;"_"&amp;IF(BC19="OPR","end",IF(BG19&lt;&gt;"",BG19,BV19)),"&lt;missing unique identifier&gt;"),IF(BC19="CUSTOM",BD19,"&lt;invalid connection&gt;")))),IF(BB19="EXIT",IF(BC19="LBS",IF(BD19&lt;&gt;"",BC19&amp;"_"&amp;B19&amp;"_To_"&amp;BD19&amp;"_"&amp;BV19,"&lt;missing other LB/group name&gt;"),IF(OR(BC19="RBT",BC19="OPR"),IF(BD19&lt;&gt;"",BD19&amp;"_"&amp;IF(BC19="OPR","start",IF(BG19&lt;&gt;"",BG19,BV19)),"&lt;missing unique identifier&gt;"),IF(BC19="CUSTOM",BD19,"&lt;invalid connection (sensor or key signal can't be exit)&gt;"))),"&lt;invalid entry/exit&gt;")))</f>
        <v>LBS_Sxx_SyyPDPz_RP0414</v>
      </c>
      <c r="F19" s="4" t="str">
        <f t="shared" ref="F19:F44" si="58">IF(BC19="CUSTOM",BE19,IF(OR(AND(BB19="ENTRY",OR(BC19="PLC",BC19="PSF")),AND(BB19="EXIT",OR(BC19="RBT",BC19="OPR"))),"Q","I"))</f>
        <v>I</v>
      </c>
      <c r="G19" s="4" t="str">
        <f t="shared" ref="G19:G44" si="59">IF(Header_PLC_Type="S7-ADD",IF(OR(BC19="PSF",BC19="PLC"),IF(BY19&lt;&gt;"",IF(AT19="BOOL",BY19&amp;"."&amp;BZ19,BY19),"&lt;missing&gt;"),""),"")</f>
        <v/>
      </c>
      <c r="H19" s="4" t="str">
        <f t="shared" ref="H19:H44" si="60">IF(OR(BC19="PLC",BC19="PSF"),IF(Header_PLC_Type="CLX",AY19&amp;CR19,IF(LEFT(Header_PLC_Type,2)="S7",AW19&amp;CE19,"&lt;invalid PLC type&gt;")),IF(Header_PLC_Type="CLX",IF(CR19&lt;&gt;"",CR19,""),IF(LEFT(Header_PLC_Type,2)="S7",IF(CE19&lt;&gt;"",CE19,""),"&lt;invalid PLC type&gt;")))</f>
        <v/>
      </c>
      <c r="I19" s="4" t="str">
        <f t="shared" ref="I19:I44" si="61">IF(OR(BC19="PLC",BC19="PSF"),BD19,IF(AND(BC19="CUSTOM",BF19&lt;&gt;""),BF19,""))</f>
        <v/>
      </c>
      <c r="J19" s="4"/>
      <c r="K19" s="56" t="str">
        <f t="shared" ref="K19:K44" si="62">AT19</f>
        <v>BOOL</v>
      </c>
      <c r="L19" s="56" t="str">
        <f t="shared" si="4"/>
        <v>SYSTEM\SAFE_IO_BLOCKS</v>
      </c>
      <c r="M19" s="56" t="str">
        <f t="shared" si="5"/>
        <v>STELLANTIS\Common\ToolPrototype\Devices</v>
      </c>
      <c r="N19" s="56" t="str">
        <f t="shared" si="6"/>
        <v>STELLANTIS_EIP_AB_SAFE_IO_BLOCK_12IN4OUT_ENET_Sxx_SIOy.v00</v>
      </c>
      <c r="O19" s="56" t="str">
        <f t="shared" ref="O19:O44" si="63">IF(AND(OR(BC19="SNS",BC19="OPR",BC19="RBT"),BF19&lt;&gt;""),BF19,IF(OR(BC19="PSF",BC19="PLC"),IF(BB19="ENTRY",IF(OR(ISLOGICAL(BF19),ISNUMBER(BF19)),LOWER(TEXT(BF19,"General")),IF((ISTEXT(BF19)),"CEE_To_VC_"&amp;BE19&amp;"_"&amp;BF19,"")),IF((ISTEXT(BF19)),"CEE_From_VC_"&amp;BE19&amp;"_"&amp;BF19,"")),IF(BC19="CUSTOM",IF(BH19&lt;&gt;"",BH19,""),"")))</f>
        <v/>
      </c>
      <c r="P19" s="56" t="str">
        <f t="shared" ref="P19:P44" si="64">IF(OR(BC19="SNS",BC19="OPR"),IF(BG19&lt;&gt;"",BG19,""),IF(BC19="RBT",BD19,IF(BC19="CUSTOM",IF(BG19&lt;&gt;"",BG19,""),"")))</f>
        <v/>
      </c>
      <c r="Q19" s="56" t="str">
        <f t="shared" ref="Q19:Q44" si="65">IF(BC19="OPR",IF(BV19&lt;&gt;"",BV19,"NONSIM"),IF(BC19="RBT",IF(BH19&lt;&gt;"",BH19,""),IF(BC19="SNS",IF(BH19&lt;&gt;"",BH19,L19),IF(OR(BC19="PLC",BC19="PSF"),IF(BG19&lt;&gt;"",BG19,""),""))))</f>
        <v/>
      </c>
      <c r="R19" s="56" t="str">
        <f t="shared" ref="R19:R44" si="66">IF(OR(BC19="PLC",BC19="PSF",BC19="OPR"),IF(BH19&lt;&gt;"",BH19,""),IF(BC19="RBT",IF(BI19&lt;&gt;"",BI19,""),IF(BC19="SNS",IF(BI19&lt;&gt;"",BI19,"PHOTOELECTRIC"),"")))</f>
        <v/>
      </c>
      <c r="S19" s="56" t="str">
        <f t="shared" ref="S19:S44" si="67">IF(OR(BC19="PLC",BC19="PSF",BC19="OPR",AND(BC19="CUSTOM",OR(BU19="PLC",BU19="PSF"))),IF(BI19&lt;&gt;"",BI19,""),IF(BC19="SNS",IF(BJ19&lt;&gt;"",BJ19,""),""))</f>
        <v/>
      </c>
      <c r="T19" s="56" t="str">
        <f t="shared" ref="T19:T44" si="68">IF(AND(Header_PLC_Type="CLX",BC19="PSF",BB19="EXIT"),CJ19&amp;CK19,IF(BC19="OPR",IF(BJ19&lt;&gt;"",BJ19,""),""))</f>
        <v/>
      </c>
      <c r="U19" s="56" t="str">
        <f t="shared" ref="U19:U44" si="69">IF(OR(BC19="SNS",BC19="OPR"),IF(BK19&lt;&gt;"",BK19,""),"")</f>
        <v/>
      </c>
      <c r="V19" s="56" t="str">
        <f t="shared" ref="V19:V44" si="70">IF(OR(BC19="SNS",BC19="OPR"),IF(BL19&lt;&gt;"",BL19,""),"")</f>
        <v/>
      </c>
      <c r="W19" s="56"/>
      <c r="X19" s="56"/>
      <c r="Y19" s="56"/>
      <c r="Z19" s="56" t="str">
        <f t="shared" ref="Z19:Z44" si="71">IF(BP19="","",BP19)</f>
        <v/>
      </c>
      <c r="AA19" s="56" t="str">
        <f t="shared" ref="AA19:AA44" si="72">IF($BQ19="","",$BQ19)</f>
        <v/>
      </c>
      <c r="AB19" s="56" t="str">
        <f t="shared" si="9"/>
        <v>ToolPrototype</v>
      </c>
      <c r="AC19" s="56" t="str">
        <f t="shared" ref="AC19:AC44" si="73">IF(ISBLANK(BT19),"","Optional")</f>
        <v/>
      </c>
      <c r="AD19" s="56" t="str">
        <f t="shared" si="10"/>
        <v xml:space="preserve"> &lt;device&gt;
    &lt;name&gt;Sxx_SIOy&lt;/name&gt;
    &lt;type&gt;AB_SBK_ENET_12I_4O&lt;/type&gt;
  &lt;/device&gt;
</v>
      </c>
      <c r="AE19" s="56" t="str">
        <f t="shared" si="11"/>
        <v/>
      </c>
      <c r="AF19"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ref="AN19:AN44" si="74">IF(BR19&lt;&gt;"",BR19,"")</f>
        <v/>
      </c>
      <c r="AO19" s="56" t="str">
        <f t="shared" ref="AO19:AO44" si="75">IF(BS19&lt;&gt;"",BS19,"")</f>
        <v/>
      </c>
      <c r="AP19" s="56" t="str">
        <f t="shared" ref="AP19:AP44" si="76">IF(BC19&lt;&gt;"CUSTOM",BC19,BU19)</f>
        <v>LBS</v>
      </c>
      <c r="AQ19" s="56" t="str">
        <f t="shared" ref="AQ19:AQ44" si="77">BB19</f>
        <v>ENTRY</v>
      </c>
      <c r="AR19" s="39" t="s">
        <v>131</v>
      </c>
      <c r="AT19" s="44" t="str">
        <f t="shared" ref="AT19:AT44" si="78">IF(Header_PLC_Type="CLX",IF(CP19&lt;&gt;"",CP19,"&lt;noType&gt;"),IF(LEFT(Header_PLC_Type,2)="S7",IF(CD19&lt;&gt;"",CD19,"&lt;noType&gt;"),"&lt;noPLC&gt;"))</f>
        <v>BOOL</v>
      </c>
      <c r="AU19" s="23" t="str">
        <f t="shared" ref="AU19:AU44" si="79">IF(OR(BC19="PLC",BC19="PSF"),CA19,"")</f>
        <v/>
      </c>
      <c r="AV19" s="23" t="str">
        <f t="shared" ref="AV19:AV44" si="80">IF(OR(BC19="PLC",BC19="PSF"),IF(AT19="BOOL",F19,IF(AT19="BYTE",F19&amp;"B",IF(OR(AT19="WORD",AT19="INT"),F19&amp;"W",IF(OR(AT19="DWORD",AT19="DINT",AT19="REAL"),F19&amp;"D","&lt;invalid&gt;")))),"")</f>
        <v/>
      </c>
      <c r="AW19" s="23" t="str">
        <f t="shared" ref="AW19:AW44" si="81">IF(OR(BC19="PLC",BC19="PSF"),""&amp;AV19&amp;IF(AT19="BOOL",BY19&amp;"."&amp;BZ19,BY19)&amp; IF(CA19&lt;&gt;"",": &lt;"&amp;CA19&amp;"&gt; - ",": "),"")</f>
        <v/>
      </c>
      <c r="AX19" s="23" t="str">
        <f t="shared" ref="AX19:AX44" si="82">IF(OR(BC19="PLC",BC19="PSF"),IF(AND(BB19="EXIT",BC19="PSF"),CH19&amp;SUBSTITUTE(CJ19,":","_")&amp;CK19,CJ19&amp;CK19),"")</f>
        <v/>
      </c>
      <c r="AY19" s="36" t="str">
        <f t="shared" ref="AY19:AY44" si="83">IF(OR(BC19="PLC",BC19="PSF"),IF(CM19&lt;&gt;"",CM19 &amp; ": &lt;" &amp; CN19&amp;CO19 &amp; "&gt; - ","Controller: &lt;"&amp;CJ19&amp;CK19&amp;"&gt; - "),"")</f>
        <v/>
      </c>
      <c r="BB19" s="42" t="s">
        <v>15</v>
      </c>
      <c r="BC19" t="s">
        <v>63</v>
      </c>
      <c r="BD19" t="str">
        <f>IF(Header_Config04="","LBS_"&amp;SUBSTITUTE(Header_Config05,":","_")&amp;"_MP","LBS_"&amp;SUBSTITUTE(Header_Config04,":","_"))</f>
        <v>LBS_Sxx_SyyPDPz_RP0414</v>
      </c>
      <c r="BE19" t="s">
        <v>64</v>
      </c>
      <c r="BU19" t="s">
        <v>103</v>
      </c>
      <c r="BV19" s="30" t="s">
        <v>254</v>
      </c>
      <c r="BY19" s="42"/>
      <c r="CB19" s="42"/>
      <c r="CE19" s="30"/>
      <c r="CH19" s="42"/>
      <c r="CN19" s="30"/>
      <c r="CP19" t="s">
        <v>12</v>
      </c>
      <c r="CQ19" s="40"/>
      <c r="CR19" s="30"/>
    </row>
    <row r="20" spans="2:96" x14ac:dyDescent="0.35">
      <c r="B20" s="4" t="str">
        <f t="shared" si="55"/>
        <v>SAFE_IO_BLOCK_Sxx_SIOy</v>
      </c>
      <c r="C20" s="4"/>
      <c r="D20" s="4" t="str">
        <f t="shared" si="56"/>
        <v>From_SIM_CommOk</v>
      </c>
      <c r="E20" s="4" t="str">
        <f t="shared" si="57"/>
        <v>LBS_SxxESWy_CommOk</v>
      </c>
      <c r="F20" s="4" t="str">
        <f t="shared" si="58"/>
        <v>I</v>
      </c>
      <c r="G20" s="4" t="str">
        <f t="shared" si="59"/>
        <v/>
      </c>
      <c r="H20" s="4" t="str">
        <f t="shared" si="60"/>
        <v/>
      </c>
      <c r="I20" s="4" t="str">
        <f t="shared" si="61"/>
        <v/>
      </c>
      <c r="J20" s="4"/>
      <c r="K20" s="56" t="str">
        <f t="shared" si="62"/>
        <v>BOOL</v>
      </c>
      <c r="L20" s="56" t="str">
        <f t="shared" si="4"/>
        <v>SYSTEM\SAFE_IO_BLOCKS</v>
      </c>
      <c r="M20" s="56" t="str">
        <f t="shared" si="5"/>
        <v>STELLANTIS\Common\ToolPrototype\Devices</v>
      </c>
      <c r="N20" s="56" t="str">
        <f t="shared" si="6"/>
        <v>STELLANTIS_EIP_AB_SAFE_IO_BLOCK_12IN4OUT_ENET_Sxx_SIOy.v00</v>
      </c>
      <c r="O20" s="56" t="str">
        <f t="shared" si="63"/>
        <v/>
      </c>
      <c r="P20" s="56" t="str">
        <f t="shared" si="64"/>
        <v/>
      </c>
      <c r="Q20" s="56" t="str">
        <f t="shared" si="65"/>
        <v/>
      </c>
      <c r="R20" s="56" t="str">
        <f t="shared" si="66"/>
        <v/>
      </c>
      <c r="S20" s="56" t="str">
        <f t="shared" si="67"/>
        <v/>
      </c>
      <c r="T20" s="56" t="str">
        <f t="shared" si="68"/>
        <v/>
      </c>
      <c r="U20" s="56" t="str">
        <f t="shared" si="69"/>
        <v/>
      </c>
      <c r="V20" s="56" t="str">
        <f t="shared" si="70"/>
        <v/>
      </c>
      <c r="W20" s="56"/>
      <c r="X20" s="56"/>
      <c r="Y20" s="56"/>
      <c r="Z20" s="56" t="str">
        <f t="shared" si="71"/>
        <v/>
      </c>
      <c r="AA20" s="56" t="str">
        <f t="shared" si="72"/>
        <v/>
      </c>
      <c r="AB20" s="56" t="str">
        <f t="shared" si="9"/>
        <v>ToolPrototype</v>
      </c>
      <c r="AC20" s="56" t="str">
        <f t="shared" si="73"/>
        <v/>
      </c>
      <c r="AD20" s="56" t="str">
        <f t="shared" si="10"/>
        <v xml:space="preserve"> &lt;device&gt;
    &lt;name&gt;Sxx_SIOy&lt;/name&gt;
    &lt;type&gt;AB_SBK_ENET_12I_4O&lt;/type&gt;
  &lt;/device&gt;
</v>
      </c>
      <c r="AE20" s="56" t="str">
        <f t="shared" si="11"/>
        <v/>
      </c>
      <c r="AF20"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t="str">
        <f t="shared" si="74"/>
        <v/>
      </c>
      <c r="AO20" s="56" t="str">
        <f t="shared" si="75"/>
        <v/>
      </c>
      <c r="AP20" s="56" t="str">
        <f t="shared" si="76"/>
        <v>LBS</v>
      </c>
      <c r="AQ20" s="56" t="str">
        <f t="shared" si="77"/>
        <v>ENTRY</v>
      </c>
      <c r="AR20" s="39" t="s">
        <v>131</v>
      </c>
      <c r="AT20" s="44" t="str">
        <f t="shared" si="78"/>
        <v>BOOL</v>
      </c>
      <c r="AU20" s="23" t="str">
        <f t="shared" si="79"/>
        <v/>
      </c>
      <c r="AV20" s="23" t="str">
        <f t="shared" si="80"/>
        <v/>
      </c>
      <c r="AW20" s="23" t="str">
        <f t="shared" si="81"/>
        <v/>
      </c>
      <c r="AX20" s="23" t="str">
        <f t="shared" si="82"/>
        <v/>
      </c>
      <c r="AY20" s="36" t="str">
        <f t="shared" si="83"/>
        <v/>
      </c>
      <c r="BB20" s="42" t="s">
        <v>15</v>
      </c>
      <c r="BC20" t="s">
        <v>63</v>
      </c>
      <c r="BD20" t="str">
        <f>IF(ISNUMBER(FIND(":",Header_Config03)),"LBS_"&amp;LEFT(Header_Config03,FIND(":",Header_Config03)-1)&amp;"_CommOk","LBS_"&amp;Header_Config03&amp;"_CommOk")</f>
        <v>LBS_SxxESWy_CommOk</v>
      </c>
      <c r="BE20" t="s">
        <v>64</v>
      </c>
      <c r="BU20" t="s">
        <v>103</v>
      </c>
      <c r="BV20" s="30" t="s">
        <v>270</v>
      </c>
      <c r="BY20" s="42"/>
      <c r="CB20" s="42"/>
      <c r="CE20" s="30"/>
      <c r="CH20" s="42"/>
      <c r="CN20" s="30"/>
      <c r="CP20" t="s">
        <v>12</v>
      </c>
      <c r="CQ20" s="40"/>
      <c r="CR20" s="30"/>
    </row>
    <row r="21" spans="2:96" x14ac:dyDescent="0.35">
      <c r="B21" s="4" t="str">
        <f t="shared" si="55"/>
        <v>SAFE_IO_BLOCK_Sxx_SIOy</v>
      </c>
      <c r="C21" s="4"/>
      <c r="D21" s="4" t="str">
        <f t="shared" si="56"/>
        <v>From_KEY_UnplugPower</v>
      </c>
      <c r="E21" s="4" t="str">
        <f t="shared" si="57"/>
        <v>KEY_SAFE_IO_BLOCK_Sxx_SIOy_UnplugPower</v>
      </c>
      <c r="F21" s="4" t="str">
        <f t="shared" si="58"/>
        <v>I</v>
      </c>
      <c r="G21" s="4" t="str">
        <f t="shared" si="59"/>
        <v/>
      </c>
      <c r="H21" s="4" t="str">
        <f t="shared" si="60"/>
        <v/>
      </c>
      <c r="I21" s="4" t="str">
        <f t="shared" si="61"/>
        <v/>
      </c>
      <c r="J21" s="4"/>
      <c r="K21" s="56" t="str">
        <f t="shared" si="62"/>
        <v>BOOL</v>
      </c>
      <c r="L21" s="56" t="str">
        <f t="shared" si="4"/>
        <v>SYSTEM\SAFE_IO_BLOCKS</v>
      </c>
      <c r="M21" s="56" t="str">
        <f t="shared" si="5"/>
        <v>STELLANTIS\Common\ToolPrototype\Devices</v>
      </c>
      <c r="N21" s="56" t="str">
        <f t="shared" si="6"/>
        <v>STELLANTIS_EIP_AB_SAFE_IO_BLOCK_12IN4OUT_ENET_Sxx_SIOy.v00</v>
      </c>
      <c r="O21" s="56" t="str">
        <f t="shared" si="63"/>
        <v/>
      </c>
      <c r="P21" s="56" t="str">
        <f t="shared" si="64"/>
        <v/>
      </c>
      <c r="Q21" s="56" t="str">
        <f t="shared" si="65"/>
        <v/>
      </c>
      <c r="R21" s="56" t="str">
        <f t="shared" si="66"/>
        <v/>
      </c>
      <c r="S21" s="56" t="str">
        <f t="shared" si="67"/>
        <v/>
      </c>
      <c r="T21" s="56" t="str">
        <f t="shared" si="68"/>
        <v/>
      </c>
      <c r="U21" s="56" t="str">
        <f t="shared" si="69"/>
        <v/>
      </c>
      <c r="V21" s="56" t="str">
        <f t="shared" si="70"/>
        <v/>
      </c>
      <c r="W21" s="56"/>
      <c r="X21" s="56"/>
      <c r="Y21" s="56"/>
      <c r="Z21" s="56" t="str">
        <f t="shared" si="71"/>
        <v/>
      </c>
      <c r="AA21" s="56" t="str">
        <f t="shared" si="72"/>
        <v/>
      </c>
      <c r="AB21" s="56" t="str">
        <f t="shared" si="9"/>
        <v>ToolPrototype</v>
      </c>
      <c r="AC21" s="56" t="str">
        <f t="shared" si="73"/>
        <v/>
      </c>
      <c r="AD21" s="56" t="str">
        <f t="shared" si="10"/>
        <v xml:space="preserve"> &lt;device&gt;
    &lt;name&gt;Sxx_SIOy&lt;/name&gt;
    &lt;type&gt;AB_SBK_ENET_12I_4O&lt;/type&gt;
  &lt;/device&gt;
</v>
      </c>
      <c r="AE21" s="56" t="str">
        <f t="shared" si="11"/>
        <v/>
      </c>
      <c r="AF21"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1" s="56" t="str">
        <f t="shared" si="13"/>
        <v/>
      </c>
      <c r="AH21" s="56" t="str">
        <f t="shared" si="14"/>
        <v/>
      </c>
      <c r="AI21" s="56" t="str">
        <f t="shared" si="15"/>
        <v/>
      </c>
      <c r="AJ21" s="56" t="str">
        <f t="shared" si="16"/>
        <v/>
      </c>
      <c r="AK21" s="56" t="str">
        <f t="shared" si="17"/>
        <v/>
      </c>
      <c r="AL21" s="56" t="str">
        <f t="shared" si="18"/>
        <v/>
      </c>
      <c r="AM21" s="56" t="str">
        <f t="shared" si="19"/>
        <v/>
      </c>
      <c r="AN21" s="56" t="str">
        <f t="shared" si="74"/>
        <v/>
      </c>
      <c r="AO21" s="56" t="str">
        <f t="shared" si="75"/>
        <v>KEYS_LIGHTS_HORNS:DEVICES\SAFE_IO_BLOCK\Sxx_SIOy</v>
      </c>
      <c r="AP21" s="56" t="str">
        <f t="shared" si="76"/>
        <v>KEY</v>
      </c>
      <c r="AQ21" s="56" t="str">
        <f t="shared" si="77"/>
        <v>ENTRY</v>
      </c>
      <c r="AR21" s="39" t="s">
        <v>131</v>
      </c>
      <c r="AT21" s="44" t="str">
        <f t="shared" si="78"/>
        <v>BOOL</v>
      </c>
      <c r="AU21" s="23" t="str">
        <f t="shared" si="79"/>
        <v/>
      </c>
      <c r="AV21" s="23" t="str">
        <f t="shared" si="80"/>
        <v/>
      </c>
      <c r="AW21" s="23" t="str">
        <f t="shared" si="81"/>
        <v/>
      </c>
      <c r="AX21" s="23" t="str">
        <f t="shared" si="82"/>
        <v/>
      </c>
      <c r="AY21" s="36" t="str">
        <f t="shared" si="83"/>
        <v/>
      </c>
      <c r="BB21" s="42" t="s">
        <v>15</v>
      </c>
      <c r="BC21" t="s">
        <v>101</v>
      </c>
      <c r="BD21" t="str">
        <f>Header_LB_Name</f>
        <v>SAFE_IO_BLOCK_Sxx_SIOy</v>
      </c>
      <c r="BS21" t="str">
        <f>"KEYS_LIGHTS_HORNS:DEVICES\"&amp;Header_LB_Type&amp;"\"&amp;SUBSTITUTE(Header_LB_Unique_ID,":","")</f>
        <v>KEYS_LIGHTS_HORNS:DEVICES\SAFE_IO_BLOCK\Sxx_SIOy</v>
      </c>
      <c r="BV21" s="30" t="s">
        <v>252</v>
      </c>
      <c r="BY21" s="42"/>
      <c r="CB21" s="42"/>
      <c r="CE21" s="30"/>
      <c r="CH21" s="42"/>
      <c r="CN21" s="30"/>
      <c r="CP21" t="s">
        <v>12</v>
      </c>
      <c r="CQ21" s="40"/>
      <c r="CR21" s="30"/>
    </row>
    <row r="22" spans="2:96" x14ac:dyDescent="0.35">
      <c r="B22" s="4" t="str">
        <f t="shared" si="55"/>
        <v>SAFE_IO_BLOCK_Sxx_SIOy</v>
      </c>
      <c r="C22" s="4"/>
      <c r="D22" s="4" t="str">
        <f t="shared" si="56"/>
        <v>From_KEY_UnplugEnet</v>
      </c>
      <c r="E22" s="4" t="str">
        <f t="shared" si="57"/>
        <v>KEY_SAFE_IO_BLOCK_Sxx_SIOy_UnplugEnet</v>
      </c>
      <c r="F22" s="4" t="str">
        <f t="shared" si="58"/>
        <v>I</v>
      </c>
      <c r="G22" s="4" t="str">
        <f t="shared" si="59"/>
        <v/>
      </c>
      <c r="H22" s="4" t="str">
        <f t="shared" si="60"/>
        <v/>
      </c>
      <c r="I22" s="4" t="str">
        <f t="shared" si="61"/>
        <v/>
      </c>
      <c r="J22" s="4"/>
      <c r="K22" s="56" t="str">
        <f t="shared" si="62"/>
        <v>BOOL</v>
      </c>
      <c r="L22" s="56" t="str">
        <f t="shared" si="4"/>
        <v>SYSTEM\SAFE_IO_BLOCKS</v>
      </c>
      <c r="M22" s="56" t="str">
        <f t="shared" si="5"/>
        <v>STELLANTIS\Common\ToolPrototype\Devices</v>
      </c>
      <c r="N22" s="56" t="str">
        <f t="shared" si="6"/>
        <v>STELLANTIS_EIP_AB_SAFE_IO_BLOCK_12IN4OUT_ENET_Sxx_SIOy.v00</v>
      </c>
      <c r="O22" s="56" t="str">
        <f t="shared" si="63"/>
        <v/>
      </c>
      <c r="P22" s="56" t="str">
        <f t="shared" si="64"/>
        <v/>
      </c>
      <c r="Q22" s="56" t="str">
        <f t="shared" si="65"/>
        <v/>
      </c>
      <c r="R22" s="56" t="str">
        <f t="shared" si="66"/>
        <v/>
      </c>
      <c r="S22" s="56" t="str">
        <f t="shared" si="67"/>
        <v/>
      </c>
      <c r="T22" s="56" t="str">
        <f t="shared" si="68"/>
        <v/>
      </c>
      <c r="U22" s="56" t="str">
        <f t="shared" si="69"/>
        <v/>
      </c>
      <c r="V22" s="56" t="str">
        <f t="shared" si="70"/>
        <v/>
      </c>
      <c r="W22" s="56"/>
      <c r="X22" s="56"/>
      <c r="Y22" s="56"/>
      <c r="Z22" s="56" t="str">
        <f t="shared" si="71"/>
        <v/>
      </c>
      <c r="AA22" s="56" t="str">
        <f t="shared" si="72"/>
        <v/>
      </c>
      <c r="AB22" s="56" t="str">
        <f t="shared" si="9"/>
        <v>ToolPrototype</v>
      </c>
      <c r="AC22" s="56" t="str">
        <f t="shared" si="73"/>
        <v/>
      </c>
      <c r="AD22" s="56" t="str">
        <f t="shared" si="10"/>
        <v xml:space="preserve"> &lt;device&gt;
    &lt;name&gt;Sxx_SIOy&lt;/name&gt;
    &lt;type&gt;AB_SBK_ENET_12I_4O&lt;/type&gt;
  &lt;/device&gt;
</v>
      </c>
      <c r="AE22" s="56" t="str">
        <f t="shared" si="11"/>
        <v/>
      </c>
      <c r="AF22"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2" s="56" t="str">
        <f t="shared" si="13"/>
        <v/>
      </c>
      <c r="AH22" s="56" t="str">
        <f t="shared" si="14"/>
        <v/>
      </c>
      <c r="AI22" s="56" t="str">
        <f t="shared" si="15"/>
        <v/>
      </c>
      <c r="AJ22" s="56" t="str">
        <f t="shared" si="16"/>
        <v/>
      </c>
      <c r="AK22" s="56" t="str">
        <f t="shared" si="17"/>
        <v/>
      </c>
      <c r="AL22" s="56" t="str">
        <f t="shared" si="18"/>
        <v/>
      </c>
      <c r="AM22" s="56" t="str">
        <f t="shared" si="19"/>
        <v/>
      </c>
      <c r="AN22" s="56" t="str">
        <f t="shared" si="74"/>
        <v/>
      </c>
      <c r="AO22" s="56" t="str">
        <f t="shared" si="75"/>
        <v>KEYS_LIGHTS_HORNS:DEVICES\SAFE_IO_BLOCK\Sxx_SIOy</v>
      </c>
      <c r="AP22" s="56" t="str">
        <f t="shared" si="76"/>
        <v>KEY</v>
      </c>
      <c r="AQ22" s="56" t="str">
        <f t="shared" si="77"/>
        <v>ENTRY</v>
      </c>
      <c r="AR22" s="39" t="s">
        <v>131</v>
      </c>
      <c r="AT22" s="44" t="str">
        <f t="shared" si="78"/>
        <v>BOOL</v>
      </c>
      <c r="AU22" s="23" t="str">
        <f t="shared" si="79"/>
        <v/>
      </c>
      <c r="AV22" s="23" t="str">
        <f t="shared" si="80"/>
        <v/>
      </c>
      <c r="AW22" s="23" t="str">
        <f t="shared" si="81"/>
        <v/>
      </c>
      <c r="AX22" s="23" t="str">
        <f t="shared" si="82"/>
        <v/>
      </c>
      <c r="AY22" s="36" t="str">
        <f t="shared" si="83"/>
        <v/>
      </c>
      <c r="BB22" s="42" t="s">
        <v>15</v>
      </c>
      <c r="BC22" t="s">
        <v>101</v>
      </c>
      <c r="BD22" t="str">
        <f>Header_LB_Name</f>
        <v>SAFE_IO_BLOCK_Sxx_SIOy</v>
      </c>
      <c r="BS22" t="str">
        <f>"KEYS_LIGHTS_HORNS:DEVICES\"&amp;Header_LB_Type&amp;"\"&amp;SUBSTITUTE(Header_LB_Unique_ID,":","")</f>
        <v>KEYS_LIGHTS_HORNS:DEVICES\SAFE_IO_BLOCK\Sxx_SIOy</v>
      </c>
      <c r="BV22" s="30" t="s">
        <v>269</v>
      </c>
      <c r="BY22" s="42"/>
      <c r="CB22" s="42"/>
      <c r="CE22" s="30"/>
      <c r="CH22" s="42"/>
      <c r="CN22" s="30"/>
      <c r="CP22" t="s">
        <v>12</v>
      </c>
      <c r="CQ22" s="40"/>
      <c r="CR22" s="30"/>
    </row>
    <row r="23" spans="2:96" x14ac:dyDescent="0.35">
      <c r="B23" s="4" t="str">
        <f t="shared" si="55"/>
        <v>SAFE_IO_BLOCK_Sxx_SIOy</v>
      </c>
      <c r="C23" s="4"/>
      <c r="D23" s="4" t="str">
        <f t="shared" si="56"/>
        <v>To_PSF_RunMode</v>
      </c>
      <c r="E23" s="4" t="str">
        <f t="shared" si="57"/>
        <v>_VC_Sxx_SIOy_I.RunMode</v>
      </c>
      <c r="F23" s="4" t="str">
        <f t="shared" si="58"/>
        <v>I</v>
      </c>
      <c r="G23" s="4" t="str">
        <f t="shared" si="59"/>
        <v/>
      </c>
      <c r="H23" s="4" t="str">
        <f t="shared" si="60"/>
        <v>Controller: &lt;Sxx_SIOy:I.RunMode&gt; - Input Module Active</v>
      </c>
      <c r="I23" s="4" t="str">
        <f t="shared" si="61"/>
        <v>AB_RACKx_SLOTa</v>
      </c>
      <c r="J23" s="4"/>
      <c r="K23" s="56" t="str">
        <f t="shared" si="62"/>
        <v>BOOL</v>
      </c>
      <c r="L23" s="56" t="str">
        <f t="shared" si="4"/>
        <v>SYSTEM\SAFE_IO_BLOCKS</v>
      </c>
      <c r="M23" s="56" t="str">
        <f t="shared" si="5"/>
        <v>STELLANTIS\Common\ToolPrototype\Devices</v>
      </c>
      <c r="N23" s="56" t="str">
        <f t="shared" si="6"/>
        <v>STELLANTIS_EIP_AB_SAFE_IO_BLOCK_12IN4OUT_ENET_Sxx_SIOy.v00</v>
      </c>
      <c r="O23" s="56" t="str">
        <f t="shared" si="63"/>
        <v/>
      </c>
      <c r="P23" s="56" t="str">
        <f t="shared" si="64"/>
        <v/>
      </c>
      <c r="Q23" s="56" t="str">
        <f t="shared" si="65"/>
        <v>Sxx_SIOy:</v>
      </c>
      <c r="R23" s="56" t="str">
        <f t="shared" si="66"/>
        <v>_VC_Sxx_SIOy_I.Pt00Data|_VC_Sxx_SIOy_I.Pt01Data|_VC_Sxx_SIOy_I.Pt02Data|_VC_Sxx_SIOy_I.Pt03Data|_VC_Sxx_SIOy_I.Pt04Data|_VC_Sxx_SIOy_I.Pt05Data|_VC_Sxx_SIOy_I.Pt06Data|_VC_Sxx_SIOy_I.Pt07Data|_VC_Sxx_SIOy_I.Pt08Data|_VC_Sxx_SIOy_I.Pt09Data|_VC_Sxx_SIOy_I.Pt10Data|_VC_Sxx_SIOy_I.Pt11Data|Sxx_SIOy:I.Pt00Data|Sxx_SIOy:I.Pt01Data|Sxx_SIOy:I.Pt02Data|Sxx_SIOy:I.Pt03Data|Sxx_SIOy:I.Pt04Data|Sxx_SIOy:I.Pt05Data|Sxx_SIOy:I.Pt06Data|Sxx_SIOy:I.Pt07Data|Sxx_SIOy:I.Pt08Data|Sxx_SIOy:I.Pt09Data|Sxx_SIOy:I.Pt10Data|Sxx_SIOy:I.Pt11Data|Sxx_SIOy:O.Test00Data|Sxx_SIOy:O.Test01Data|Sxx_SIOy:O.Test02Data|Sxx_SIOy:O.Test03Data|Sxx_SIOy:O.Test04Data|Sxx_SIOy:O.Test05Data|Sxx_SIOy:O.Test06Data|Sxx_SIOy:O.Test07Data|Sxx_SIOy:O.Test08Data|Sxx_SIOy:O.Test09Data|Sxx_SIOy:O.Test10Data|Sxx_SIOy:O.Test11Data|Sxx_SIOy:O.Pt00Data|Sxx_SIOy:O.Pt01Data|Sxx_SIOy:O.Pt02Data|Sxx_SIOy:O.Pt03Data</v>
      </c>
      <c r="S23" s="56" t="str">
        <f t="shared" si="67"/>
        <v/>
      </c>
      <c r="T23" s="56" t="str">
        <f t="shared" si="68"/>
        <v>Sxx_SIOy:I.RunMode</v>
      </c>
      <c r="U23" s="56" t="str">
        <f t="shared" si="69"/>
        <v/>
      </c>
      <c r="V23" s="56" t="str">
        <f t="shared" si="70"/>
        <v/>
      </c>
      <c r="W23" s="56"/>
      <c r="X23" s="56"/>
      <c r="Y23" s="56"/>
      <c r="Z23" s="56" t="str">
        <f t="shared" si="71"/>
        <v/>
      </c>
      <c r="AA23" s="56" t="str">
        <f t="shared" si="72"/>
        <v/>
      </c>
      <c r="AB23" s="56" t="str">
        <f t="shared" si="9"/>
        <v>ToolPrototype</v>
      </c>
      <c r="AC23" s="56" t="str">
        <f t="shared" si="73"/>
        <v/>
      </c>
      <c r="AD23" s="56" t="str">
        <f t="shared" si="10"/>
        <v xml:space="preserve"> &lt;device&gt;
    &lt;name&gt;Sxx_SIOy&lt;/name&gt;
    &lt;type&gt;AB_SBK_ENET_12I_4O&lt;/type&gt;
  &lt;/device&gt;
</v>
      </c>
      <c r="AE23" s="56" t="str">
        <f t="shared" si="11"/>
        <v/>
      </c>
      <c r="AF23"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3" s="56" t="str">
        <f t="shared" si="13"/>
        <v/>
      </c>
      <c r="AH23" s="56" t="str">
        <f t="shared" si="14"/>
        <v/>
      </c>
      <c r="AI23" s="56" t="str">
        <f t="shared" si="15"/>
        <v/>
      </c>
      <c r="AJ23" s="56" t="str">
        <f t="shared" si="16"/>
        <v/>
      </c>
      <c r="AK23" s="56" t="str">
        <f t="shared" si="17"/>
        <v/>
      </c>
      <c r="AL23" s="56" t="str">
        <f t="shared" si="18"/>
        <v/>
      </c>
      <c r="AM23" s="56" t="str">
        <f t="shared" si="19"/>
        <v/>
      </c>
      <c r="AN23" s="56" t="str">
        <f t="shared" si="74"/>
        <v/>
      </c>
      <c r="AO23" s="56" t="str">
        <f t="shared" si="75"/>
        <v/>
      </c>
      <c r="AP23" s="56" t="str">
        <f t="shared" si="76"/>
        <v>PSF</v>
      </c>
      <c r="AQ23" s="56" t="str">
        <f t="shared" si="77"/>
        <v>EXIT</v>
      </c>
      <c r="AR23" s="39" t="s">
        <v>131</v>
      </c>
      <c r="AT23" s="44" t="str">
        <f t="shared" si="78"/>
        <v>BOOL</v>
      </c>
      <c r="AU23" s="23">
        <f t="shared" si="79"/>
        <v>0</v>
      </c>
      <c r="AV23" s="23" t="str">
        <f t="shared" si="80"/>
        <v>I</v>
      </c>
      <c r="AW23" s="23" t="str">
        <f t="shared" si="81"/>
        <v xml:space="preserve">I.: </v>
      </c>
      <c r="AX23" s="23" t="str">
        <f t="shared" si="82"/>
        <v>_VC_Sxx_SIOy_I.RunMode</v>
      </c>
      <c r="AY23" s="36" t="str">
        <f t="shared" si="83"/>
        <v xml:space="preserve">Controller: &lt;Sxx_SIOy:I.RunMode&gt; - </v>
      </c>
      <c r="BB23" s="42" t="s">
        <v>17</v>
      </c>
      <c r="BC23" t="s">
        <v>22</v>
      </c>
      <c r="BD23" t="str">
        <f t="shared" ref="BD23:BD47" si="84">Header_Config01</f>
        <v>AB_RACKx_SLOTa</v>
      </c>
      <c r="BG23" t="str">
        <f>Prep!$C$2&amp;":"</f>
        <v>Sxx_SIOy:</v>
      </c>
      <c r="BH23" t="str">
        <f>Prep!$I$2</f>
        <v>_VC_Sxx_SIOy_I.Pt00Data|_VC_Sxx_SIOy_I.Pt01Data|_VC_Sxx_SIOy_I.Pt02Data|_VC_Sxx_SIOy_I.Pt03Data|_VC_Sxx_SIOy_I.Pt04Data|_VC_Sxx_SIOy_I.Pt05Data|_VC_Sxx_SIOy_I.Pt06Data|_VC_Sxx_SIOy_I.Pt07Data|_VC_Sxx_SIOy_I.Pt08Data|_VC_Sxx_SIOy_I.Pt09Data|_VC_Sxx_SIOy_I.Pt10Data|_VC_Sxx_SIOy_I.Pt11Data|Sxx_SIOy:I.Pt00Data|Sxx_SIOy:I.Pt01Data|Sxx_SIOy:I.Pt02Data|Sxx_SIOy:I.Pt03Data|Sxx_SIOy:I.Pt04Data|Sxx_SIOy:I.Pt05Data|Sxx_SIOy:I.Pt06Data|Sxx_SIOy:I.Pt07Data|Sxx_SIOy:I.Pt08Data|Sxx_SIOy:I.Pt09Data|Sxx_SIOy:I.Pt10Data|Sxx_SIOy:I.Pt11Data|Sxx_SIOy:O.Test00Data|Sxx_SIOy:O.Test01Data|Sxx_SIOy:O.Test02Data|Sxx_SIOy:O.Test03Data|Sxx_SIOy:O.Test04Data|Sxx_SIOy:O.Test05Data|Sxx_SIOy:O.Test06Data|Sxx_SIOy:O.Test07Data|Sxx_SIOy:O.Test08Data|Sxx_SIOy:O.Test09Data|Sxx_SIOy:O.Test10Data|Sxx_SIOy:O.Test11Data|Sxx_SIOy:O.Pt00Data|Sxx_SIOy:O.Pt01Data|Sxx_SIOy:O.Pt02Data|Sxx_SIOy:O.Pt03Data</v>
      </c>
      <c r="BV23" s="30" t="s">
        <v>20</v>
      </c>
      <c r="BY23" s="42"/>
      <c r="CB23" s="42"/>
      <c r="CE23" s="30"/>
      <c r="CH23" s="42" t="s">
        <v>66</v>
      </c>
      <c r="CI23" t="s">
        <v>96</v>
      </c>
      <c r="CJ23" t="str">
        <f t="shared" ref="CJ23:CJ45" si="85">Header_LB_Unique_ID&amp;":I."</f>
        <v>Sxx_SIOy:I.</v>
      </c>
      <c r="CK23" t="s">
        <v>20</v>
      </c>
      <c r="CL23" t="s">
        <v>290</v>
      </c>
      <c r="CM23" t="s">
        <v>75</v>
      </c>
      <c r="CN23" s="30" t="str">
        <f t="shared" ref="CN23:CN45" si="86">Header_LB_Unique_ID&amp;":I."</f>
        <v>Sxx_SIOy:I.</v>
      </c>
      <c r="CO23" t="s">
        <v>20</v>
      </c>
      <c r="CP23" t="s">
        <v>12</v>
      </c>
      <c r="CQ23" s="40"/>
      <c r="CR23" s="30" t="s">
        <v>291</v>
      </c>
    </row>
    <row r="24" spans="2:96" x14ac:dyDescent="0.35">
      <c r="B24" s="4" t="str">
        <f t="shared" si="55"/>
        <v>SAFE_IO_BLOCK_Sxx_SIOy</v>
      </c>
      <c r="C24" s="4"/>
      <c r="D24" s="4" t="str">
        <f t="shared" si="56"/>
        <v>To_PSF_ConnectionFaulted</v>
      </c>
      <c r="E24" s="4" t="str">
        <f t="shared" si="57"/>
        <v>_VC_Sxx_SIOy_I.ConnectionFaulted</v>
      </c>
      <c r="F24" s="4" t="str">
        <f t="shared" si="58"/>
        <v>I</v>
      </c>
      <c r="G24" s="4" t="str">
        <f t="shared" si="59"/>
        <v/>
      </c>
      <c r="H24" s="4" t="str">
        <f t="shared" si="60"/>
        <v>Controller: &lt;Sxx_SIOy:I.ConnectionFaulted&gt; - Communication to Input Module Faulted</v>
      </c>
      <c r="I24" s="4" t="str">
        <f t="shared" si="61"/>
        <v>AB_RACKx_SLOTa</v>
      </c>
      <c r="J24" s="4"/>
      <c r="K24" s="56" t="str">
        <f t="shared" si="62"/>
        <v>BOOL</v>
      </c>
      <c r="L24" s="56" t="str">
        <f t="shared" si="4"/>
        <v>SYSTEM\SAFE_IO_BLOCKS</v>
      </c>
      <c r="M24" s="56" t="str">
        <f t="shared" si="5"/>
        <v>STELLANTIS\Common\ToolPrototype\Devices</v>
      </c>
      <c r="N24" s="56" t="str">
        <f t="shared" si="6"/>
        <v>STELLANTIS_EIP_AB_SAFE_IO_BLOCK_12IN4OUT_ENET_Sxx_SIOy.v00</v>
      </c>
      <c r="O24" s="56" t="str">
        <f t="shared" si="63"/>
        <v/>
      </c>
      <c r="P24" s="56" t="str">
        <f t="shared" si="64"/>
        <v/>
      </c>
      <c r="Q24" s="56" t="str">
        <f t="shared" si="65"/>
        <v>Sxx_SIOy:</v>
      </c>
      <c r="R24" s="56" t="str">
        <f t="shared" si="66"/>
        <v/>
      </c>
      <c r="S24" s="56" t="str">
        <f t="shared" si="67"/>
        <v/>
      </c>
      <c r="T24" s="56" t="str">
        <f t="shared" si="68"/>
        <v>Sxx_SIOy:I.ConnectionFaulted</v>
      </c>
      <c r="U24" s="56" t="str">
        <f t="shared" si="69"/>
        <v/>
      </c>
      <c r="V24" s="56" t="str">
        <f t="shared" si="70"/>
        <v/>
      </c>
      <c r="W24" s="56"/>
      <c r="X24" s="56"/>
      <c r="Y24" s="56"/>
      <c r="Z24" s="56" t="str">
        <f t="shared" si="71"/>
        <v/>
      </c>
      <c r="AA24" s="56" t="str">
        <f t="shared" si="72"/>
        <v/>
      </c>
      <c r="AB24" s="56" t="str">
        <f t="shared" si="9"/>
        <v>ToolPrototype</v>
      </c>
      <c r="AC24" s="56" t="str">
        <f t="shared" si="73"/>
        <v/>
      </c>
      <c r="AD24" s="56" t="str">
        <f t="shared" si="10"/>
        <v xml:space="preserve"> &lt;device&gt;
    &lt;name&gt;Sxx_SIOy&lt;/name&gt;
    &lt;type&gt;AB_SBK_ENET_12I_4O&lt;/type&gt;
  &lt;/device&gt;
</v>
      </c>
      <c r="AE24" s="56" t="str">
        <f t="shared" si="11"/>
        <v/>
      </c>
      <c r="AF24"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4" s="56" t="str">
        <f t="shared" si="13"/>
        <v/>
      </c>
      <c r="AH24" s="56" t="str">
        <f t="shared" si="14"/>
        <v/>
      </c>
      <c r="AI24" s="56" t="str">
        <f t="shared" si="15"/>
        <v/>
      </c>
      <c r="AJ24" s="56" t="str">
        <f t="shared" si="16"/>
        <v/>
      </c>
      <c r="AK24" s="56" t="str">
        <f t="shared" si="17"/>
        <v/>
      </c>
      <c r="AL24" s="56" t="str">
        <f t="shared" si="18"/>
        <v/>
      </c>
      <c r="AM24" s="56" t="str">
        <f t="shared" si="19"/>
        <v/>
      </c>
      <c r="AN24" s="56" t="str">
        <f t="shared" si="74"/>
        <v/>
      </c>
      <c r="AO24" s="56" t="str">
        <f t="shared" si="75"/>
        <v/>
      </c>
      <c r="AP24" s="56" t="str">
        <f t="shared" si="76"/>
        <v>PSF</v>
      </c>
      <c r="AQ24" s="56" t="str">
        <f t="shared" si="77"/>
        <v>EXIT</v>
      </c>
      <c r="AR24" s="39" t="s">
        <v>131</v>
      </c>
      <c r="AT24" s="44" t="str">
        <f t="shared" si="78"/>
        <v>BOOL</v>
      </c>
      <c r="AU24" s="23">
        <f t="shared" si="79"/>
        <v>0</v>
      </c>
      <c r="AV24" s="23" t="str">
        <f t="shared" si="80"/>
        <v>I</v>
      </c>
      <c r="AW24" s="23" t="str">
        <f t="shared" si="81"/>
        <v xml:space="preserve">I.: </v>
      </c>
      <c r="AX24" s="23" t="str">
        <f t="shared" si="82"/>
        <v>_VC_Sxx_SIOy_I.ConnectionFaulted</v>
      </c>
      <c r="AY24" s="36" t="str">
        <f t="shared" si="83"/>
        <v xml:space="preserve">Controller: &lt;Sxx_SIOy:I.ConnectionFaulted&gt; - </v>
      </c>
      <c r="BB24" s="42" t="s">
        <v>17</v>
      </c>
      <c r="BC24" t="s">
        <v>22</v>
      </c>
      <c r="BD24" t="str">
        <f t="shared" si="84"/>
        <v>AB_RACKx_SLOTa</v>
      </c>
      <c r="BG24" t="str">
        <f>Prep!$C$2&amp;":"</f>
        <v>Sxx_SIOy:</v>
      </c>
      <c r="BV24" s="30" t="s">
        <v>21</v>
      </c>
      <c r="BY24" s="42"/>
      <c r="CB24" s="42"/>
      <c r="CE24" s="30"/>
      <c r="CH24" s="42" t="s">
        <v>66</v>
      </c>
      <c r="CI24" t="s">
        <v>96</v>
      </c>
      <c r="CJ24" t="str">
        <f t="shared" si="85"/>
        <v>Sxx_SIOy:I.</v>
      </c>
      <c r="CK24" t="s">
        <v>21</v>
      </c>
      <c r="CL24" t="s">
        <v>290</v>
      </c>
      <c r="CM24" t="s">
        <v>75</v>
      </c>
      <c r="CN24" s="30" t="str">
        <f t="shared" si="86"/>
        <v>Sxx_SIOy:I.</v>
      </c>
      <c r="CO24" t="s">
        <v>21</v>
      </c>
      <c r="CP24" t="s">
        <v>12</v>
      </c>
      <c r="CQ24" s="40"/>
      <c r="CR24" s="30" t="s">
        <v>292</v>
      </c>
    </row>
    <row r="25" spans="2:96" x14ac:dyDescent="0.35">
      <c r="B25" s="4" t="str">
        <f t="shared" si="55"/>
        <v>SAFE_IO_BLOCK_Sxx_SIOy</v>
      </c>
      <c r="C25" s="4"/>
      <c r="D25" s="4" t="str">
        <f t="shared" si="56"/>
        <v>To_PSF_Pt00InputStatus</v>
      </c>
      <c r="E25" s="4" t="str">
        <f t="shared" si="57"/>
        <v>_VC_Sxx_SIOy_I.Pt00InputStatus</v>
      </c>
      <c r="F25" s="4" t="str">
        <f t="shared" si="58"/>
        <v>I</v>
      </c>
      <c r="G25" s="4" t="str">
        <f t="shared" si="59"/>
        <v/>
      </c>
      <c r="H25" s="4" t="str">
        <f t="shared" si="60"/>
        <v xml:space="preserve">Controller: &lt;Sxx_SIOy:I.Pt00InputStatus&gt; - </v>
      </c>
      <c r="I25" s="4" t="str">
        <f t="shared" si="61"/>
        <v>AB_RACKx_SLOTa</v>
      </c>
      <c r="J25" s="4"/>
      <c r="K25" s="56" t="str">
        <f t="shared" si="62"/>
        <v>BOOL</v>
      </c>
      <c r="L25" s="56" t="str">
        <f t="shared" si="4"/>
        <v>SYSTEM\SAFE_IO_BLOCKS</v>
      </c>
      <c r="M25" s="56" t="str">
        <f t="shared" si="5"/>
        <v>STELLANTIS\Common\ToolPrototype\Devices</v>
      </c>
      <c r="N25" s="56" t="str">
        <f t="shared" si="6"/>
        <v>STELLANTIS_EIP_AB_SAFE_IO_BLOCK_12IN4OUT_ENET_Sxx_SIOy.v00</v>
      </c>
      <c r="O25" s="56" t="str">
        <f t="shared" si="63"/>
        <v/>
      </c>
      <c r="P25" s="56" t="str">
        <f t="shared" si="64"/>
        <v/>
      </c>
      <c r="Q25" s="56" t="str">
        <f t="shared" si="65"/>
        <v>Sxx_SIOy:</v>
      </c>
      <c r="R25" s="56" t="str">
        <f t="shared" si="66"/>
        <v/>
      </c>
      <c r="S25" s="56" t="str">
        <f t="shared" si="67"/>
        <v/>
      </c>
      <c r="T25" s="56" t="str">
        <f t="shared" si="68"/>
        <v>Sxx_SIOy:I.Pt00InputStatus</v>
      </c>
      <c r="U25" s="56" t="str">
        <f t="shared" si="69"/>
        <v/>
      </c>
      <c r="V25" s="56" t="str">
        <f t="shared" si="70"/>
        <v/>
      </c>
      <c r="W25" s="56"/>
      <c r="X25" s="56"/>
      <c r="Y25" s="56"/>
      <c r="Z25" s="56" t="str">
        <f t="shared" si="71"/>
        <v/>
      </c>
      <c r="AA25" s="56" t="str">
        <f t="shared" si="72"/>
        <v/>
      </c>
      <c r="AB25" s="56" t="str">
        <f t="shared" si="9"/>
        <v>ToolPrototype</v>
      </c>
      <c r="AC25" s="56" t="str">
        <f t="shared" si="73"/>
        <v>Optional</v>
      </c>
      <c r="AD25" s="56" t="str">
        <f t="shared" si="10"/>
        <v xml:space="preserve"> &lt;device&gt;
    &lt;name&gt;Sxx_SIOy&lt;/name&gt;
    &lt;type&gt;AB_SBK_ENET_12I_4O&lt;/type&gt;
  &lt;/device&gt;
</v>
      </c>
      <c r="AE25" s="56" t="str">
        <f t="shared" si="11"/>
        <v/>
      </c>
      <c r="AF25"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5" s="56" t="str">
        <f t="shared" si="13"/>
        <v/>
      </c>
      <c r="AH25" s="56" t="str">
        <f t="shared" si="14"/>
        <v/>
      </c>
      <c r="AI25" s="56" t="str">
        <f t="shared" si="15"/>
        <v/>
      </c>
      <c r="AJ25" s="56" t="str">
        <f t="shared" si="16"/>
        <v/>
      </c>
      <c r="AK25" s="56" t="str">
        <f t="shared" si="17"/>
        <v/>
      </c>
      <c r="AL25" s="56" t="str">
        <f t="shared" si="18"/>
        <v/>
      </c>
      <c r="AM25" s="56" t="str">
        <f t="shared" si="19"/>
        <v/>
      </c>
      <c r="AN25" s="56" t="str">
        <f t="shared" si="74"/>
        <v/>
      </c>
      <c r="AO25" s="56" t="str">
        <f t="shared" si="75"/>
        <v/>
      </c>
      <c r="AP25" s="56" t="str">
        <f t="shared" si="76"/>
        <v>PSF</v>
      </c>
      <c r="AQ25" s="56" t="str">
        <f t="shared" si="77"/>
        <v>EXIT</v>
      </c>
      <c r="AR25" s="39" t="s">
        <v>131</v>
      </c>
      <c r="AT25" s="44" t="str">
        <f t="shared" si="78"/>
        <v>BOOL</v>
      </c>
      <c r="AU25" s="23">
        <f t="shared" si="79"/>
        <v>0</v>
      </c>
      <c r="AV25" s="23" t="str">
        <f t="shared" si="80"/>
        <v>I</v>
      </c>
      <c r="AW25" s="23" t="str">
        <f t="shared" si="81"/>
        <v xml:space="preserve">I.: </v>
      </c>
      <c r="AX25" s="23" t="str">
        <f t="shared" si="82"/>
        <v>_VC_Sxx_SIOy_I.Pt00InputStatus</v>
      </c>
      <c r="AY25" s="36" t="str">
        <f t="shared" si="83"/>
        <v xml:space="preserve">Controller: &lt;Sxx_SIOy:I.Pt00InputStatus&gt; - </v>
      </c>
      <c r="BB25" s="42" t="s">
        <v>17</v>
      </c>
      <c r="BC25" t="s">
        <v>22</v>
      </c>
      <c r="BD25" t="str">
        <f t="shared" si="84"/>
        <v>AB_RACKx_SLOTa</v>
      </c>
      <c r="BG25" t="str">
        <f>Prep!$C$2&amp;":"</f>
        <v>Sxx_SIOy:</v>
      </c>
      <c r="BT25" t="str">
        <f t="shared" ref="BT25:BT45" si="87">IF(ISNUMBER(SEARCH("Y",Header_Config06)),"","X")</f>
        <v/>
      </c>
      <c r="BV25" s="30" t="s">
        <v>293</v>
      </c>
      <c r="BY25" s="42"/>
      <c r="CB25" s="42"/>
      <c r="CE25" s="30"/>
      <c r="CH25" s="42" t="s">
        <v>66</v>
      </c>
      <c r="CI25" t="s">
        <v>96</v>
      </c>
      <c r="CJ25" t="str">
        <f t="shared" si="85"/>
        <v>Sxx_SIOy:I.</v>
      </c>
      <c r="CK25" t="s">
        <v>293</v>
      </c>
      <c r="CL25" t="s">
        <v>290</v>
      </c>
      <c r="CM25" t="s">
        <v>75</v>
      </c>
      <c r="CN25" s="30" t="str">
        <f t="shared" si="86"/>
        <v>Sxx_SIOy:I.</v>
      </c>
      <c r="CO25" t="s">
        <v>293</v>
      </c>
      <c r="CP25" t="s">
        <v>12</v>
      </c>
      <c r="CQ25" s="40"/>
      <c r="CR25" s="30"/>
    </row>
    <row r="26" spans="2:96" x14ac:dyDescent="0.35">
      <c r="B26" s="4" t="str">
        <f t="shared" si="55"/>
        <v>SAFE_IO_BLOCK_Sxx_SIOy</v>
      </c>
      <c r="C26" s="4"/>
      <c r="D26" s="4" t="str">
        <f t="shared" si="56"/>
        <v>To_PSF_Pt01InputStatus</v>
      </c>
      <c r="E26" s="4" t="str">
        <f t="shared" si="57"/>
        <v>_VC_Sxx_SIOy_I.Pt01InputStatus</v>
      </c>
      <c r="F26" s="4" t="str">
        <f t="shared" si="58"/>
        <v>I</v>
      </c>
      <c r="G26" s="4" t="str">
        <f t="shared" si="59"/>
        <v/>
      </c>
      <c r="H26" s="4" t="str">
        <f t="shared" si="60"/>
        <v xml:space="preserve">Controller: &lt;Sxx_SIOy:I.Pt01InputStatus&gt; - </v>
      </c>
      <c r="I26" s="4" t="str">
        <f t="shared" si="61"/>
        <v>AB_RACKx_SLOTa</v>
      </c>
      <c r="J26" s="4"/>
      <c r="K26" s="56" t="str">
        <f t="shared" si="62"/>
        <v>BOOL</v>
      </c>
      <c r="L26" s="56" t="str">
        <f t="shared" si="4"/>
        <v>SYSTEM\SAFE_IO_BLOCKS</v>
      </c>
      <c r="M26" s="56" t="str">
        <f t="shared" si="5"/>
        <v>STELLANTIS\Common\ToolPrototype\Devices</v>
      </c>
      <c r="N26" s="56" t="str">
        <f t="shared" si="6"/>
        <v>STELLANTIS_EIP_AB_SAFE_IO_BLOCK_12IN4OUT_ENET_Sxx_SIOy.v00</v>
      </c>
      <c r="O26" s="56" t="str">
        <f t="shared" si="63"/>
        <v/>
      </c>
      <c r="P26" s="56" t="str">
        <f t="shared" si="64"/>
        <v/>
      </c>
      <c r="Q26" s="56" t="str">
        <f t="shared" si="65"/>
        <v>Sxx_SIOy:</v>
      </c>
      <c r="R26" s="56" t="str">
        <f t="shared" si="66"/>
        <v/>
      </c>
      <c r="S26" s="56" t="str">
        <f t="shared" si="67"/>
        <v/>
      </c>
      <c r="T26" s="56" t="str">
        <f t="shared" si="68"/>
        <v>Sxx_SIOy:I.Pt01InputStatus</v>
      </c>
      <c r="U26" s="56" t="str">
        <f t="shared" si="69"/>
        <v/>
      </c>
      <c r="V26" s="56" t="str">
        <f t="shared" si="70"/>
        <v/>
      </c>
      <c r="W26" s="56"/>
      <c r="X26" s="56"/>
      <c r="Y26" s="56"/>
      <c r="Z26" s="56" t="str">
        <f t="shared" si="71"/>
        <v/>
      </c>
      <c r="AA26" s="56" t="str">
        <f t="shared" si="72"/>
        <v/>
      </c>
      <c r="AB26" s="56" t="str">
        <f t="shared" si="9"/>
        <v>ToolPrototype</v>
      </c>
      <c r="AC26" s="56" t="str">
        <f t="shared" si="73"/>
        <v>Optional</v>
      </c>
      <c r="AD26" s="56" t="str">
        <f t="shared" si="10"/>
        <v xml:space="preserve"> &lt;device&gt;
    &lt;name&gt;Sxx_SIOy&lt;/name&gt;
    &lt;type&gt;AB_SBK_ENET_12I_4O&lt;/type&gt;
  &lt;/device&gt;
</v>
      </c>
      <c r="AE26" s="56" t="str">
        <f t="shared" si="11"/>
        <v/>
      </c>
      <c r="AF26"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6" s="56" t="str">
        <f t="shared" si="13"/>
        <v/>
      </c>
      <c r="AH26" s="56" t="str">
        <f t="shared" si="14"/>
        <v/>
      </c>
      <c r="AI26" s="56" t="str">
        <f t="shared" si="15"/>
        <v/>
      </c>
      <c r="AJ26" s="56" t="str">
        <f t="shared" si="16"/>
        <v/>
      </c>
      <c r="AK26" s="56" t="str">
        <f t="shared" si="17"/>
        <v/>
      </c>
      <c r="AL26" s="56" t="str">
        <f t="shared" si="18"/>
        <v/>
      </c>
      <c r="AM26" s="56" t="str">
        <f t="shared" si="19"/>
        <v/>
      </c>
      <c r="AN26" s="56" t="str">
        <f t="shared" si="74"/>
        <v/>
      </c>
      <c r="AO26" s="56" t="str">
        <f t="shared" si="75"/>
        <v/>
      </c>
      <c r="AP26" s="56" t="str">
        <f t="shared" si="76"/>
        <v>PSF</v>
      </c>
      <c r="AQ26" s="56" t="str">
        <f t="shared" si="77"/>
        <v>EXIT</v>
      </c>
      <c r="AR26" s="39" t="s">
        <v>131</v>
      </c>
      <c r="AT26" s="44" t="str">
        <f t="shared" si="78"/>
        <v>BOOL</v>
      </c>
      <c r="AU26" s="23">
        <f t="shared" si="79"/>
        <v>0</v>
      </c>
      <c r="AV26" s="23" t="str">
        <f t="shared" si="80"/>
        <v>I</v>
      </c>
      <c r="AW26" s="23" t="str">
        <f t="shared" si="81"/>
        <v xml:space="preserve">I.: </v>
      </c>
      <c r="AX26" s="23" t="str">
        <f t="shared" si="82"/>
        <v>_VC_Sxx_SIOy_I.Pt01InputStatus</v>
      </c>
      <c r="AY26" s="36" t="str">
        <f t="shared" si="83"/>
        <v xml:space="preserve">Controller: &lt;Sxx_SIOy:I.Pt01InputStatus&gt; - </v>
      </c>
      <c r="BB26" s="42" t="s">
        <v>17</v>
      </c>
      <c r="BC26" t="s">
        <v>22</v>
      </c>
      <c r="BD26" t="str">
        <f t="shared" si="84"/>
        <v>AB_RACKx_SLOTa</v>
      </c>
      <c r="BG26" t="str">
        <f>Prep!$C$2&amp;":"</f>
        <v>Sxx_SIOy:</v>
      </c>
      <c r="BT26" t="str">
        <f t="shared" si="87"/>
        <v/>
      </c>
      <c r="BV26" s="30" t="s">
        <v>294</v>
      </c>
      <c r="BY26" s="42"/>
      <c r="CB26" s="42"/>
      <c r="CE26" s="30"/>
      <c r="CH26" s="42" t="s">
        <v>66</v>
      </c>
      <c r="CI26" t="s">
        <v>96</v>
      </c>
      <c r="CJ26" t="str">
        <f t="shared" si="85"/>
        <v>Sxx_SIOy:I.</v>
      </c>
      <c r="CK26" t="s">
        <v>294</v>
      </c>
      <c r="CL26" t="s">
        <v>290</v>
      </c>
      <c r="CM26" t="s">
        <v>75</v>
      </c>
      <c r="CN26" s="30" t="str">
        <f t="shared" si="86"/>
        <v>Sxx_SIOy:I.</v>
      </c>
      <c r="CO26" t="s">
        <v>294</v>
      </c>
      <c r="CP26" t="s">
        <v>12</v>
      </c>
      <c r="CQ26" s="40"/>
      <c r="CR26" s="30"/>
    </row>
    <row r="27" spans="2:96" x14ac:dyDescent="0.35">
      <c r="B27" s="4" t="str">
        <f t="shared" si="55"/>
        <v>SAFE_IO_BLOCK_Sxx_SIOy</v>
      </c>
      <c r="C27" s="4"/>
      <c r="D27" s="4" t="str">
        <f t="shared" si="56"/>
        <v>To_PSF_Pt02InputStatus</v>
      </c>
      <c r="E27" s="4" t="str">
        <f t="shared" si="57"/>
        <v>_VC_Sxx_SIOy_I.Pt02InputStatus</v>
      </c>
      <c r="F27" s="4" t="str">
        <f t="shared" si="58"/>
        <v>I</v>
      </c>
      <c r="G27" s="4" t="str">
        <f t="shared" si="59"/>
        <v/>
      </c>
      <c r="H27" s="4" t="str">
        <f t="shared" si="60"/>
        <v xml:space="preserve">Controller: &lt;Sxx_SIOy:I.Pt02InputStatus&gt; - </v>
      </c>
      <c r="I27" s="4" t="str">
        <f t="shared" si="61"/>
        <v>AB_RACKx_SLOTa</v>
      </c>
      <c r="J27" s="4"/>
      <c r="K27" s="56" t="str">
        <f t="shared" si="62"/>
        <v>BOOL</v>
      </c>
      <c r="L27" s="56" t="str">
        <f t="shared" si="4"/>
        <v>SYSTEM\SAFE_IO_BLOCKS</v>
      </c>
      <c r="M27" s="56" t="str">
        <f t="shared" si="5"/>
        <v>STELLANTIS\Common\ToolPrototype\Devices</v>
      </c>
      <c r="N27" s="56" t="str">
        <f t="shared" si="6"/>
        <v>STELLANTIS_EIP_AB_SAFE_IO_BLOCK_12IN4OUT_ENET_Sxx_SIOy.v00</v>
      </c>
      <c r="O27" s="56" t="str">
        <f t="shared" si="63"/>
        <v/>
      </c>
      <c r="P27" s="56" t="str">
        <f t="shared" si="64"/>
        <v/>
      </c>
      <c r="Q27" s="56" t="str">
        <f t="shared" si="65"/>
        <v>Sxx_SIOy:</v>
      </c>
      <c r="R27" s="56" t="str">
        <f t="shared" si="66"/>
        <v/>
      </c>
      <c r="S27" s="56" t="str">
        <f t="shared" si="67"/>
        <v/>
      </c>
      <c r="T27" s="56" t="str">
        <f t="shared" si="68"/>
        <v>Sxx_SIOy:I.Pt02InputStatus</v>
      </c>
      <c r="U27" s="56" t="str">
        <f t="shared" si="69"/>
        <v/>
      </c>
      <c r="V27" s="56" t="str">
        <f t="shared" si="70"/>
        <v/>
      </c>
      <c r="W27" s="56"/>
      <c r="X27" s="56"/>
      <c r="Y27" s="56"/>
      <c r="Z27" s="56" t="str">
        <f t="shared" si="71"/>
        <v/>
      </c>
      <c r="AA27" s="56" t="str">
        <f t="shared" si="72"/>
        <v/>
      </c>
      <c r="AB27" s="56" t="str">
        <f t="shared" si="9"/>
        <v>ToolPrototype</v>
      </c>
      <c r="AC27" s="56" t="str">
        <f t="shared" si="73"/>
        <v>Optional</v>
      </c>
      <c r="AD27" s="56" t="str">
        <f t="shared" si="10"/>
        <v xml:space="preserve"> &lt;device&gt;
    &lt;name&gt;Sxx_SIOy&lt;/name&gt;
    &lt;type&gt;AB_SBK_ENET_12I_4O&lt;/type&gt;
  &lt;/device&gt;
</v>
      </c>
      <c r="AE27" s="56" t="str">
        <f t="shared" si="11"/>
        <v/>
      </c>
      <c r="AF27"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7" s="56" t="str">
        <f t="shared" si="13"/>
        <v/>
      </c>
      <c r="AH27" s="56" t="str">
        <f t="shared" si="14"/>
        <v/>
      </c>
      <c r="AI27" s="56" t="str">
        <f t="shared" si="15"/>
        <v/>
      </c>
      <c r="AJ27" s="56" t="str">
        <f t="shared" si="16"/>
        <v/>
      </c>
      <c r="AK27" s="56" t="str">
        <f t="shared" si="17"/>
        <v/>
      </c>
      <c r="AL27" s="56" t="str">
        <f t="shared" si="18"/>
        <v/>
      </c>
      <c r="AM27" s="56" t="str">
        <f t="shared" si="19"/>
        <v/>
      </c>
      <c r="AN27" s="56" t="str">
        <f t="shared" si="74"/>
        <v/>
      </c>
      <c r="AO27" s="56" t="str">
        <f t="shared" si="75"/>
        <v/>
      </c>
      <c r="AP27" s="56" t="str">
        <f t="shared" si="76"/>
        <v>PSF</v>
      </c>
      <c r="AQ27" s="56" t="str">
        <f t="shared" si="77"/>
        <v>EXIT</v>
      </c>
      <c r="AR27" s="39" t="s">
        <v>131</v>
      </c>
      <c r="AT27" s="44" t="str">
        <f t="shared" si="78"/>
        <v>BOOL</v>
      </c>
      <c r="AU27" s="23">
        <f t="shared" si="79"/>
        <v>0</v>
      </c>
      <c r="AV27" s="23" t="str">
        <f t="shared" si="80"/>
        <v>I</v>
      </c>
      <c r="AW27" s="23" t="str">
        <f t="shared" si="81"/>
        <v xml:space="preserve">I.: </v>
      </c>
      <c r="AX27" s="23" t="str">
        <f t="shared" si="82"/>
        <v>_VC_Sxx_SIOy_I.Pt02InputStatus</v>
      </c>
      <c r="AY27" s="36" t="str">
        <f t="shared" si="83"/>
        <v xml:space="preserve">Controller: &lt;Sxx_SIOy:I.Pt02InputStatus&gt; - </v>
      </c>
      <c r="BB27" s="42" t="s">
        <v>17</v>
      </c>
      <c r="BC27" t="s">
        <v>22</v>
      </c>
      <c r="BD27" t="str">
        <f t="shared" si="84"/>
        <v>AB_RACKx_SLOTa</v>
      </c>
      <c r="BG27" t="str">
        <f>Prep!$C$2&amp;":"</f>
        <v>Sxx_SIOy:</v>
      </c>
      <c r="BT27" t="str">
        <f t="shared" si="87"/>
        <v/>
      </c>
      <c r="BV27" s="30" t="s">
        <v>295</v>
      </c>
      <c r="BY27" s="42"/>
      <c r="CB27" s="42"/>
      <c r="CE27" s="30"/>
      <c r="CH27" s="42" t="s">
        <v>66</v>
      </c>
      <c r="CI27" t="s">
        <v>96</v>
      </c>
      <c r="CJ27" t="str">
        <f t="shared" si="85"/>
        <v>Sxx_SIOy:I.</v>
      </c>
      <c r="CK27" t="s">
        <v>295</v>
      </c>
      <c r="CL27" t="s">
        <v>290</v>
      </c>
      <c r="CM27" t="s">
        <v>75</v>
      </c>
      <c r="CN27" s="30" t="str">
        <f t="shared" si="86"/>
        <v>Sxx_SIOy:I.</v>
      </c>
      <c r="CO27" t="s">
        <v>295</v>
      </c>
      <c r="CP27" t="s">
        <v>12</v>
      </c>
      <c r="CQ27" s="40"/>
      <c r="CR27" s="30"/>
    </row>
    <row r="28" spans="2:96" x14ac:dyDescent="0.35">
      <c r="B28" s="4" t="str">
        <f t="shared" si="55"/>
        <v>SAFE_IO_BLOCK_Sxx_SIOy</v>
      </c>
      <c r="C28" s="4"/>
      <c r="D28" s="4" t="str">
        <f t="shared" si="56"/>
        <v>To_PSF_Pt03InputStatus</v>
      </c>
      <c r="E28" s="4" t="str">
        <f t="shared" si="57"/>
        <v>_VC_Sxx_SIOy_I.Pt03InputStatus</v>
      </c>
      <c r="F28" s="4" t="str">
        <f t="shared" si="58"/>
        <v>I</v>
      </c>
      <c r="G28" s="4" t="str">
        <f t="shared" si="59"/>
        <v/>
      </c>
      <c r="H28" s="4" t="str">
        <f t="shared" si="60"/>
        <v xml:space="preserve">Controller: &lt;Sxx_SIOy:I.Pt03InputStatus&gt; - </v>
      </c>
      <c r="I28" s="4" t="str">
        <f t="shared" si="61"/>
        <v>AB_RACKx_SLOTa</v>
      </c>
      <c r="J28" s="4"/>
      <c r="K28" s="56" t="str">
        <f t="shared" si="62"/>
        <v>BOOL</v>
      </c>
      <c r="L28" s="56" t="str">
        <f t="shared" si="4"/>
        <v>SYSTEM\SAFE_IO_BLOCKS</v>
      </c>
      <c r="M28" s="56" t="str">
        <f t="shared" si="5"/>
        <v>STELLANTIS\Common\ToolPrototype\Devices</v>
      </c>
      <c r="N28" s="56" t="str">
        <f t="shared" si="6"/>
        <v>STELLANTIS_EIP_AB_SAFE_IO_BLOCK_12IN4OUT_ENET_Sxx_SIOy.v00</v>
      </c>
      <c r="O28" s="56" t="str">
        <f t="shared" si="63"/>
        <v/>
      </c>
      <c r="P28" s="56" t="str">
        <f t="shared" si="64"/>
        <v/>
      </c>
      <c r="Q28" s="56" t="str">
        <f t="shared" si="65"/>
        <v>Sxx_SIOy:</v>
      </c>
      <c r="R28" s="56" t="str">
        <f t="shared" si="66"/>
        <v/>
      </c>
      <c r="S28" s="56" t="str">
        <f t="shared" si="67"/>
        <v/>
      </c>
      <c r="T28" s="56" t="str">
        <f t="shared" si="68"/>
        <v>Sxx_SIOy:I.Pt03InputStatus</v>
      </c>
      <c r="U28" s="56" t="str">
        <f t="shared" si="69"/>
        <v/>
      </c>
      <c r="V28" s="56" t="str">
        <f t="shared" si="70"/>
        <v/>
      </c>
      <c r="W28" s="56"/>
      <c r="X28" s="56"/>
      <c r="Y28" s="56"/>
      <c r="Z28" s="56" t="str">
        <f t="shared" si="71"/>
        <v/>
      </c>
      <c r="AA28" s="56" t="str">
        <f t="shared" si="72"/>
        <v/>
      </c>
      <c r="AB28" s="56" t="str">
        <f t="shared" si="9"/>
        <v>ToolPrototype</v>
      </c>
      <c r="AC28" s="56" t="str">
        <f t="shared" si="73"/>
        <v>Optional</v>
      </c>
      <c r="AD28" s="56" t="str">
        <f t="shared" si="10"/>
        <v xml:space="preserve"> &lt;device&gt;
    &lt;name&gt;Sxx_SIOy&lt;/name&gt;
    &lt;type&gt;AB_SBK_ENET_12I_4O&lt;/type&gt;
  &lt;/device&gt;
</v>
      </c>
      <c r="AE28" s="56" t="str">
        <f t="shared" si="11"/>
        <v/>
      </c>
      <c r="AF28"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8" s="56" t="str">
        <f t="shared" si="13"/>
        <v/>
      </c>
      <c r="AH28" s="56" t="str">
        <f t="shared" si="14"/>
        <v/>
      </c>
      <c r="AI28" s="56" t="str">
        <f t="shared" si="15"/>
        <v/>
      </c>
      <c r="AJ28" s="56" t="str">
        <f t="shared" si="16"/>
        <v/>
      </c>
      <c r="AK28" s="56" t="str">
        <f t="shared" si="17"/>
        <v/>
      </c>
      <c r="AL28" s="56" t="str">
        <f t="shared" si="18"/>
        <v/>
      </c>
      <c r="AM28" s="56" t="str">
        <f t="shared" si="19"/>
        <v/>
      </c>
      <c r="AN28" s="56" t="str">
        <f t="shared" si="74"/>
        <v/>
      </c>
      <c r="AO28" s="56" t="str">
        <f t="shared" si="75"/>
        <v/>
      </c>
      <c r="AP28" s="56" t="str">
        <f t="shared" si="76"/>
        <v>PSF</v>
      </c>
      <c r="AQ28" s="56" t="str">
        <f t="shared" si="77"/>
        <v>EXIT</v>
      </c>
      <c r="AR28" s="39" t="s">
        <v>131</v>
      </c>
      <c r="AT28" s="44" t="str">
        <f t="shared" si="78"/>
        <v>BOOL</v>
      </c>
      <c r="AU28" s="23">
        <f t="shared" si="79"/>
        <v>0</v>
      </c>
      <c r="AV28" s="23" t="str">
        <f t="shared" si="80"/>
        <v>I</v>
      </c>
      <c r="AW28" s="23" t="str">
        <f t="shared" si="81"/>
        <v xml:space="preserve">I.: </v>
      </c>
      <c r="AX28" s="23" t="str">
        <f t="shared" si="82"/>
        <v>_VC_Sxx_SIOy_I.Pt03InputStatus</v>
      </c>
      <c r="AY28" s="36" t="str">
        <f t="shared" si="83"/>
        <v xml:space="preserve">Controller: &lt;Sxx_SIOy:I.Pt03InputStatus&gt; - </v>
      </c>
      <c r="BB28" s="42" t="s">
        <v>17</v>
      </c>
      <c r="BC28" t="s">
        <v>22</v>
      </c>
      <c r="BD28" t="str">
        <f t="shared" si="84"/>
        <v>AB_RACKx_SLOTa</v>
      </c>
      <c r="BG28" t="str">
        <f>Prep!$C$2&amp;":"</f>
        <v>Sxx_SIOy:</v>
      </c>
      <c r="BT28" t="str">
        <f t="shared" si="87"/>
        <v/>
      </c>
      <c r="BV28" s="30" t="s">
        <v>296</v>
      </c>
      <c r="BY28" s="42"/>
      <c r="CB28" s="42"/>
      <c r="CE28" s="30"/>
      <c r="CH28" s="42" t="s">
        <v>66</v>
      </c>
      <c r="CI28" t="s">
        <v>96</v>
      </c>
      <c r="CJ28" t="str">
        <f t="shared" si="85"/>
        <v>Sxx_SIOy:I.</v>
      </c>
      <c r="CK28" t="s">
        <v>296</v>
      </c>
      <c r="CL28" t="s">
        <v>290</v>
      </c>
      <c r="CM28" t="s">
        <v>75</v>
      </c>
      <c r="CN28" s="30" t="str">
        <f t="shared" si="86"/>
        <v>Sxx_SIOy:I.</v>
      </c>
      <c r="CO28" t="s">
        <v>296</v>
      </c>
      <c r="CP28" t="s">
        <v>12</v>
      </c>
      <c r="CQ28" s="40"/>
      <c r="CR28" s="30"/>
    </row>
    <row r="29" spans="2:96" x14ac:dyDescent="0.35">
      <c r="B29" s="4" t="str">
        <f t="shared" si="55"/>
        <v>SAFE_IO_BLOCK_Sxx_SIOy</v>
      </c>
      <c r="C29" s="4"/>
      <c r="D29" s="4" t="str">
        <f t="shared" si="56"/>
        <v>To_PSF_Pt04InputStatus</v>
      </c>
      <c r="E29" s="4" t="str">
        <f t="shared" si="57"/>
        <v>_VC_Sxx_SIOy_I.Pt04InputStatus</v>
      </c>
      <c r="F29" s="4" t="str">
        <f t="shared" si="58"/>
        <v>I</v>
      </c>
      <c r="G29" s="4" t="str">
        <f t="shared" si="59"/>
        <v/>
      </c>
      <c r="H29" s="4" t="str">
        <f t="shared" si="60"/>
        <v xml:space="preserve">Controller: &lt;Sxx_SIOy:I.Pt04InputStatus&gt; - </v>
      </c>
      <c r="I29" s="4" t="str">
        <f t="shared" si="61"/>
        <v>AB_RACKx_SLOTa</v>
      </c>
      <c r="J29" s="4"/>
      <c r="K29" s="56" t="str">
        <f t="shared" si="62"/>
        <v>BOOL</v>
      </c>
      <c r="L29" s="56" t="str">
        <f t="shared" si="4"/>
        <v>SYSTEM\SAFE_IO_BLOCKS</v>
      </c>
      <c r="M29" s="56" t="str">
        <f t="shared" si="5"/>
        <v>STELLANTIS\Common\ToolPrototype\Devices</v>
      </c>
      <c r="N29" s="56" t="str">
        <f t="shared" si="6"/>
        <v>STELLANTIS_EIP_AB_SAFE_IO_BLOCK_12IN4OUT_ENET_Sxx_SIOy.v00</v>
      </c>
      <c r="O29" s="56" t="str">
        <f t="shared" si="63"/>
        <v/>
      </c>
      <c r="P29" s="56" t="str">
        <f t="shared" si="64"/>
        <v/>
      </c>
      <c r="Q29" s="56" t="str">
        <f t="shared" si="65"/>
        <v>Sxx_SIOy:</v>
      </c>
      <c r="R29" s="56" t="str">
        <f t="shared" si="66"/>
        <v/>
      </c>
      <c r="S29" s="56" t="str">
        <f t="shared" si="67"/>
        <v/>
      </c>
      <c r="T29" s="56" t="str">
        <f t="shared" si="68"/>
        <v>Sxx_SIOy:I.Pt04InputStatus</v>
      </c>
      <c r="U29" s="56" t="str">
        <f t="shared" si="69"/>
        <v/>
      </c>
      <c r="V29" s="56" t="str">
        <f t="shared" si="70"/>
        <v/>
      </c>
      <c r="W29" s="56"/>
      <c r="X29" s="56"/>
      <c r="Y29" s="56"/>
      <c r="Z29" s="56" t="str">
        <f t="shared" si="71"/>
        <v/>
      </c>
      <c r="AA29" s="56" t="str">
        <f t="shared" si="72"/>
        <v/>
      </c>
      <c r="AB29" s="56" t="str">
        <f t="shared" si="9"/>
        <v>ToolPrototype</v>
      </c>
      <c r="AC29" s="56" t="str">
        <f t="shared" si="73"/>
        <v>Optional</v>
      </c>
      <c r="AD29" s="56" t="str">
        <f t="shared" si="10"/>
        <v xml:space="preserve"> &lt;device&gt;
    &lt;name&gt;Sxx_SIOy&lt;/name&gt;
    &lt;type&gt;AB_SBK_ENET_12I_4O&lt;/type&gt;
  &lt;/device&gt;
</v>
      </c>
      <c r="AE29" s="56" t="str">
        <f t="shared" si="11"/>
        <v/>
      </c>
      <c r="AF29"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29" s="56" t="str">
        <f t="shared" si="13"/>
        <v/>
      </c>
      <c r="AH29" s="56" t="str">
        <f t="shared" si="14"/>
        <v/>
      </c>
      <c r="AI29" s="56" t="str">
        <f t="shared" si="15"/>
        <v/>
      </c>
      <c r="AJ29" s="56" t="str">
        <f t="shared" si="16"/>
        <v/>
      </c>
      <c r="AK29" s="56" t="str">
        <f t="shared" si="17"/>
        <v/>
      </c>
      <c r="AL29" s="56" t="str">
        <f t="shared" si="18"/>
        <v/>
      </c>
      <c r="AM29" s="56" t="str">
        <f t="shared" si="19"/>
        <v/>
      </c>
      <c r="AN29" s="56" t="str">
        <f t="shared" si="74"/>
        <v/>
      </c>
      <c r="AO29" s="56" t="str">
        <f t="shared" si="75"/>
        <v/>
      </c>
      <c r="AP29" s="56" t="str">
        <f t="shared" si="76"/>
        <v>PSF</v>
      </c>
      <c r="AQ29" s="56" t="str">
        <f t="shared" si="77"/>
        <v>EXIT</v>
      </c>
      <c r="AR29" s="39" t="s">
        <v>131</v>
      </c>
      <c r="AT29" s="44" t="str">
        <f t="shared" si="78"/>
        <v>BOOL</v>
      </c>
      <c r="AU29" s="23">
        <f t="shared" si="79"/>
        <v>0</v>
      </c>
      <c r="AV29" s="23" t="str">
        <f t="shared" si="80"/>
        <v>I</v>
      </c>
      <c r="AW29" s="23" t="str">
        <f t="shared" si="81"/>
        <v xml:space="preserve">I.: </v>
      </c>
      <c r="AX29" s="23" t="str">
        <f t="shared" si="82"/>
        <v>_VC_Sxx_SIOy_I.Pt04InputStatus</v>
      </c>
      <c r="AY29" s="36" t="str">
        <f t="shared" si="83"/>
        <v xml:space="preserve">Controller: &lt;Sxx_SIOy:I.Pt04InputStatus&gt; - </v>
      </c>
      <c r="BB29" s="42" t="s">
        <v>17</v>
      </c>
      <c r="BC29" t="s">
        <v>22</v>
      </c>
      <c r="BD29" t="str">
        <f t="shared" si="84"/>
        <v>AB_RACKx_SLOTa</v>
      </c>
      <c r="BG29" t="str">
        <f>Prep!$C$2&amp;":"</f>
        <v>Sxx_SIOy:</v>
      </c>
      <c r="BT29" t="str">
        <f t="shared" si="87"/>
        <v/>
      </c>
      <c r="BV29" s="30" t="s">
        <v>297</v>
      </c>
      <c r="BY29" s="42"/>
      <c r="CB29" s="42"/>
      <c r="CE29" s="30"/>
      <c r="CH29" s="42" t="s">
        <v>66</v>
      </c>
      <c r="CI29" t="s">
        <v>96</v>
      </c>
      <c r="CJ29" t="str">
        <f t="shared" si="85"/>
        <v>Sxx_SIOy:I.</v>
      </c>
      <c r="CK29" t="s">
        <v>297</v>
      </c>
      <c r="CL29" t="s">
        <v>290</v>
      </c>
      <c r="CM29" t="s">
        <v>75</v>
      </c>
      <c r="CN29" s="30" t="str">
        <f t="shared" si="86"/>
        <v>Sxx_SIOy:I.</v>
      </c>
      <c r="CO29" t="s">
        <v>297</v>
      </c>
      <c r="CP29" t="s">
        <v>12</v>
      </c>
      <c r="CQ29" s="40"/>
      <c r="CR29" s="30"/>
    </row>
    <row r="30" spans="2:96" x14ac:dyDescent="0.35">
      <c r="B30" s="4" t="str">
        <f t="shared" si="55"/>
        <v>SAFE_IO_BLOCK_Sxx_SIOy</v>
      </c>
      <c r="C30" s="4"/>
      <c r="D30" s="4" t="str">
        <f t="shared" si="56"/>
        <v>To_PSF_Pt05InputStatus</v>
      </c>
      <c r="E30" s="4" t="str">
        <f t="shared" si="57"/>
        <v>_VC_Sxx_SIOy_I.Pt05InputStatus</v>
      </c>
      <c r="F30" s="4" t="str">
        <f t="shared" si="58"/>
        <v>I</v>
      </c>
      <c r="G30" s="4" t="str">
        <f t="shared" si="59"/>
        <v/>
      </c>
      <c r="H30" s="4" t="str">
        <f t="shared" si="60"/>
        <v xml:space="preserve">Controller: &lt;Sxx_SIOy:I.Pt05InputStatus&gt; - </v>
      </c>
      <c r="I30" s="4" t="str">
        <f t="shared" si="61"/>
        <v>AB_RACKx_SLOTa</v>
      </c>
      <c r="J30" s="4"/>
      <c r="K30" s="56" t="str">
        <f t="shared" si="62"/>
        <v>BOOL</v>
      </c>
      <c r="L30" s="56" t="str">
        <f t="shared" si="4"/>
        <v>SYSTEM\SAFE_IO_BLOCKS</v>
      </c>
      <c r="M30" s="56" t="str">
        <f t="shared" si="5"/>
        <v>STELLANTIS\Common\ToolPrototype\Devices</v>
      </c>
      <c r="N30" s="56" t="str">
        <f t="shared" si="6"/>
        <v>STELLANTIS_EIP_AB_SAFE_IO_BLOCK_12IN4OUT_ENET_Sxx_SIOy.v00</v>
      </c>
      <c r="O30" s="56" t="str">
        <f t="shared" si="63"/>
        <v/>
      </c>
      <c r="P30" s="56" t="str">
        <f t="shared" si="64"/>
        <v/>
      </c>
      <c r="Q30" s="56" t="str">
        <f t="shared" si="65"/>
        <v>Sxx_SIOy:</v>
      </c>
      <c r="R30" s="56" t="str">
        <f t="shared" si="66"/>
        <v/>
      </c>
      <c r="S30" s="56" t="str">
        <f t="shared" si="67"/>
        <v/>
      </c>
      <c r="T30" s="56" t="str">
        <f t="shared" si="68"/>
        <v>Sxx_SIOy:I.Pt05InputStatus</v>
      </c>
      <c r="U30" s="56" t="str">
        <f t="shared" si="69"/>
        <v/>
      </c>
      <c r="V30" s="56" t="str">
        <f t="shared" si="70"/>
        <v/>
      </c>
      <c r="W30" s="56"/>
      <c r="X30" s="56"/>
      <c r="Y30" s="56"/>
      <c r="Z30" s="56" t="str">
        <f t="shared" si="71"/>
        <v/>
      </c>
      <c r="AA30" s="56" t="str">
        <f t="shared" si="72"/>
        <v/>
      </c>
      <c r="AB30" s="56" t="str">
        <f t="shared" si="9"/>
        <v>ToolPrototype</v>
      </c>
      <c r="AC30" s="56" t="str">
        <f t="shared" si="73"/>
        <v>Optional</v>
      </c>
      <c r="AD30" s="56" t="str">
        <f t="shared" si="10"/>
        <v xml:space="preserve"> &lt;device&gt;
    &lt;name&gt;Sxx_SIOy&lt;/name&gt;
    &lt;type&gt;AB_SBK_ENET_12I_4O&lt;/type&gt;
  &lt;/device&gt;
</v>
      </c>
      <c r="AE30" s="56" t="str">
        <f t="shared" si="11"/>
        <v/>
      </c>
      <c r="AF30"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0" s="56" t="str">
        <f t="shared" si="13"/>
        <v/>
      </c>
      <c r="AH30" s="56" t="str">
        <f t="shared" si="14"/>
        <v/>
      </c>
      <c r="AI30" s="56" t="str">
        <f t="shared" si="15"/>
        <v/>
      </c>
      <c r="AJ30" s="56" t="str">
        <f t="shared" si="16"/>
        <v/>
      </c>
      <c r="AK30" s="56" t="str">
        <f t="shared" si="17"/>
        <v/>
      </c>
      <c r="AL30" s="56" t="str">
        <f t="shared" si="18"/>
        <v/>
      </c>
      <c r="AM30" s="56" t="str">
        <f t="shared" si="19"/>
        <v/>
      </c>
      <c r="AN30" s="56" t="str">
        <f t="shared" si="74"/>
        <v/>
      </c>
      <c r="AO30" s="56" t="str">
        <f t="shared" si="75"/>
        <v/>
      </c>
      <c r="AP30" s="56" t="str">
        <f t="shared" si="76"/>
        <v>PSF</v>
      </c>
      <c r="AQ30" s="56" t="str">
        <f t="shared" si="77"/>
        <v>EXIT</v>
      </c>
      <c r="AR30" s="39" t="s">
        <v>131</v>
      </c>
      <c r="AT30" s="44" t="str">
        <f t="shared" si="78"/>
        <v>BOOL</v>
      </c>
      <c r="AU30" s="23">
        <f t="shared" si="79"/>
        <v>0</v>
      </c>
      <c r="AV30" s="23" t="str">
        <f t="shared" si="80"/>
        <v>I</v>
      </c>
      <c r="AW30" s="23" t="str">
        <f t="shared" si="81"/>
        <v xml:space="preserve">I.: </v>
      </c>
      <c r="AX30" s="23" t="str">
        <f t="shared" si="82"/>
        <v>_VC_Sxx_SIOy_I.Pt05InputStatus</v>
      </c>
      <c r="AY30" s="36" t="str">
        <f t="shared" si="83"/>
        <v xml:space="preserve">Controller: &lt;Sxx_SIOy:I.Pt05InputStatus&gt; - </v>
      </c>
      <c r="BB30" s="42" t="s">
        <v>17</v>
      </c>
      <c r="BC30" t="s">
        <v>22</v>
      </c>
      <c r="BD30" t="str">
        <f t="shared" si="84"/>
        <v>AB_RACKx_SLOTa</v>
      </c>
      <c r="BG30" t="str">
        <f>Prep!$C$2&amp;":"</f>
        <v>Sxx_SIOy:</v>
      </c>
      <c r="BT30" t="str">
        <f t="shared" si="87"/>
        <v/>
      </c>
      <c r="BV30" s="30" t="s">
        <v>298</v>
      </c>
      <c r="BY30" s="42"/>
      <c r="CB30" s="42"/>
      <c r="CE30" s="30"/>
      <c r="CH30" s="42" t="s">
        <v>66</v>
      </c>
      <c r="CI30" t="s">
        <v>96</v>
      </c>
      <c r="CJ30" t="str">
        <f t="shared" si="85"/>
        <v>Sxx_SIOy:I.</v>
      </c>
      <c r="CK30" t="s">
        <v>298</v>
      </c>
      <c r="CL30" t="s">
        <v>290</v>
      </c>
      <c r="CM30" t="s">
        <v>75</v>
      </c>
      <c r="CN30" s="30" t="str">
        <f t="shared" si="86"/>
        <v>Sxx_SIOy:I.</v>
      </c>
      <c r="CO30" t="s">
        <v>298</v>
      </c>
      <c r="CP30" t="s">
        <v>12</v>
      </c>
      <c r="CQ30" s="40"/>
      <c r="CR30" s="30"/>
    </row>
    <row r="31" spans="2:96" x14ac:dyDescent="0.35">
      <c r="B31" s="4" t="str">
        <f t="shared" si="55"/>
        <v>SAFE_IO_BLOCK_Sxx_SIOy</v>
      </c>
      <c r="C31" s="4"/>
      <c r="D31" s="4" t="str">
        <f t="shared" si="56"/>
        <v>To_PSF_Pt06InputStatus</v>
      </c>
      <c r="E31" s="4" t="str">
        <f t="shared" si="57"/>
        <v>_VC_Sxx_SIOy_I.Pt06InputStatus</v>
      </c>
      <c r="F31" s="4" t="str">
        <f t="shared" si="58"/>
        <v>I</v>
      </c>
      <c r="G31" s="4" t="str">
        <f t="shared" si="59"/>
        <v/>
      </c>
      <c r="H31" s="4" t="str">
        <f t="shared" si="60"/>
        <v xml:space="preserve">Controller: &lt;Sxx_SIOy:I.Pt06InputStatus&gt; - </v>
      </c>
      <c r="I31" s="4" t="str">
        <f t="shared" si="61"/>
        <v>AB_RACKx_SLOTa</v>
      </c>
      <c r="J31" s="4"/>
      <c r="K31" s="56" t="str">
        <f t="shared" si="62"/>
        <v>BOOL</v>
      </c>
      <c r="L31" s="56" t="str">
        <f t="shared" si="4"/>
        <v>SYSTEM\SAFE_IO_BLOCKS</v>
      </c>
      <c r="M31" s="56" t="str">
        <f t="shared" si="5"/>
        <v>STELLANTIS\Common\ToolPrototype\Devices</v>
      </c>
      <c r="N31" s="56" t="str">
        <f t="shared" si="6"/>
        <v>STELLANTIS_EIP_AB_SAFE_IO_BLOCK_12IN4OUT_ENET_Sxx_SIOy.v00</v>
      </c>
      <c r="O31" s="56" t="str">
        <f t="shared" si="63"/>
        <v/>
      </c>
      <c r="P31" s="56" t="str">
        <f t="shared" si="64"/>
        <v/>
      </c>
      <c r="Q31" s="56" t="str">
        <f t="shared" si="65"/>
        <v>Sxx_SIOy:</v>
      </c>
      <c r="R31" s="56" t="str">
        <f t="shared" si="66"/>
        <v/>
      </c>
      <c r="S31" s="56" t="str">
        <f t="shared" si="67"/>
        <v/>
      </c>
      <c r="T31" s="56" t="str">
        <f t="shared" si="68"/>
        <v>Sxx_SIOy:I.Pt06InputStatus</v>
      </c>
      <c r="U31" s="56" t="str">
        <f t="shared" si="69"/>
        <v/>
      </c>
      <c r="V31" s="56" t="str">
        <f t="shared" si="70"/>
        <v/>
      </c>
      <c r="W31" s="56"/>
      <c r="X31" s="56"/>
      <c r="Y31" s="56"/>
      <c r="Z31" s="56" t="str">
        <f t="shared" si="71"/>
        <v/>
      </c>
      <c r="AA31" s="56" t="str">
        <f t="shared" si="72"/>
        <v/>
      </c>
      <c r="AB31" s="56" t="str">
        <f t="shared" si="9"/>
        <v>ToolPrototype</v>
      </c>
      <c r="AC31" s="56" t="str">
        <f t="shared" si="73"/>
        <v>Optional</v>
      </c>
      <c r="AD31" s="56" t="str">
        <f t="shared" si="10"/>
        <v xml:space="preserve"> &lt;device&gt;
    &lt;name&gt;Sxx_SIOy&lt;/name&gt;
    &lt;type&gt;AB_SBK_ENET_12I_4O&lt;/type&gt;
  &lt;/device&gt;
</v>
      </c>
      <c r="AE31" s="56" t="str">
        <f t="shared" si="11"/>
        <v/>
      </c>
      <c r="AF31"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1" s="56" t="str">
        <f t="shared" si="13"/>
        <v/>
      </c>
      <c r="AH31" s="56" t="str">
        <f t="shared" si="14"/>
        <v/>
      </c>
      <c r="AI31" s="56" t="str">
        <f t="shared" si="15"/>
        <v/>
      </c>
      <c r="AJ31" s="56" t="str">
        <f t="shared" si="16"/>
        <v/>
      </c>
      <c r="AK31" s="56" t="str">
        <f t="shared" si="17"/>
        <v/>
      </c>
      <c r="AL31" s="56" t="str">
        <f t="shared" si="18"/>
        <v/>
      </c>
      <c r="AM31" s="56" t="str">
        <f t="shared" si="19"/>
        <v/>
      </c>
      <c r="AN31" s="56" t="str">
        <f t="shared" si="74"/>
        <v/>
      </c>
      <c r="AO31" s="56" t="str">
        <f t="shared" si="75"/>
        <v/>
      </c>
      <c r="AP31" s="56" t="str">
        <f t="shared" si="76"/>
        <v>PSF</v>
      </c>
      <c r="AQ31" s="56" t="str">
        <f t="shared" si="77"/>
        <v>EXIT</v>
      </c>
      <c r="AR31" s="39" t="s">
        <v>131</v>
      </c>
      <c r="AT31" s="44" t="str">
        <f t="shared" si="78"/>
        <v>BOOL</v>
      </c>
      <c r="AU31" s="23">
        <f t="shared" si="79"/>
        <v>0</v>
      </c>
      <c r="AV31" s="23" t="str">
        <f t="shared" si="80"/>
        <v>I</v>
      </c>
      <c r="AW31" s="23" t="str">
        <f t="shared" si="81"/>
        <v xml:space="preserve">I.: </v>
      </c>
      <c r="AX31" s="23" t="str">
        <f t="shared" si="82"/>
        <v>_VC_Sxx_SIOy_I.Pt06InputStatus</v>
      </c>
      <c r="AY31" s="36" t="str">
        <f t="shared" si="83"/>
        <v xml:space="preserve">Controller: &lt;Sxx_SIOy:I.Pt06InputStatus&gt; - </v>
      </c>
      <c r="BB31" s="42" t="s">
        <v>17</v>
      </c>
      <c r="BC31" t="s">
        <v>22</v>
      </c>
      <c r="BD31" t="str">
        <f t="shared" si="84"/>
        <v>AB_RACKx_SLOTa</v>
      </c>
      <c r="BG31" t="str">
        <f>Prep!$C$2&amp;":"</f>
        <v>Sxx_SIOy:</v>
      </c>
      <c r="BT31" t="str">
        <f t="shared" si="87"/>
        <v/>
      </c>
      <c r="BV31" s="30" t="s">
        <v>299</v>
      </c>
      <c r="BY31" s="42"/>
      <c r="CB31" s="42"/>
      <c r="CE31" s="30"/>
      <c r="CH31" s="42" t="s">
        <v>66</v>
      </c>
      <c r="CI31" t="s">
        <v>96</v>
      </c>
      <c r="CJ31" t="str">
        <f t="shared" si="85"/>
        <v>Sxx_SIOy:I.</v>
      </c>
      <c r="CK31" t="s">
        <v>299</v>
      </c>
      <c r="CL31" t="s">
        <v>290</v>
      </c>
      <c r="CM31" t="s">
        <v>75</v>
      </c>
      <c r="CN31" s="30" t="str">
        <f t="shared" si="86"/>
        <v>Sxx_SIOy:I.</v>
      </c>
      <c r="CO31" t="s">
        <v>299</v>
      </c>
      <c r="CP31" t="s">
        <v>12</v>
      </c>
      <c r="CQ31" s="40"/>
      <c r="CR31" s="30"/>
    </row>
    <row r="32" spans="2:96" x14ac:dyDescent="0.35">
      <c r="B32" s="4" t="str">
        <f t="shared" si="55"/>
        <v>SAFE_IO_BLOCK_Sxx_SIOy</v>
      </c>
      <c r="C32" s="4"/>
      <c r="D32" s="4" t="str">
        <f t="shared" si="56"/>
        <v>To_PSF_Pt07InputStatus</v>
      </c>
      <c r="E32" s="4" t="str">
        <f t="shared" si="57"/>
        <v>_VC_Sxx_SIOy_I.Pt07InputStatus</v>
      </c>
      <c r="F32" s="4" t="str">
        <f t="shared" si="58"/>
        <v>I</v>
      </c>
      <c r="G32" s="4" t="str">
        <f t="shared" si="59"/>
        <v/>
      </c>
      <c r="H32" s="4" t="str">
        <f t="shared" si="60"/>
        <v xml:space="preserve">Controller: &lt;Sxx_SIOy:I.Pt07InputStatus&gt; - </v>
      </c>
      <c r="I32" s="4" t="str">
        <f t="shared" si="61"/>
        <v>AB_RACKx_SLOTa</v>
      </c>
      <c r="J32" s="4"/>
      <c r="K32" s="56" t="str">
        <f t="shared" si="62"/>
        <v>BOOL</v>
      </c>
      <c r="L32" s="56" t="str">
        <f t="shared" si="4"/>
        <v>SYSTEM\SAFE_IO_BLOCKS</v>
      </c>
      <c r="M32" s="56" t="str">
        <f t="shared" si="5"/>
        <v>STELLANTIS\Common\ToolPrototype\Devices</v>
      </c>
      <c r="N32" s="56" t="str">
        <f t="shared" si="6"/>
        <v>STELLANTIS_EIP_AB_SAFE_IO_BLOCK_12IN4OUT_ENET_Sxx_SIOy.v00</v>
      </c>
      <c r="O32" s="56" t="str">
        <f t="shared" si="63"/>
        <v/>
      </c>
      <c r="P32" s="56" t="str">
        <f t="shared" si="64"/>
        <v/>
      </c>
      <c r="Q32" s="56" t="str">
        <f t="shared" si="65"/>
        <v>Sxx_SIOy:</v>
      </c>
      <c r="R32" s="56" t="str">
        <f t="shared" si="66"/>
        <v/>
      </c>
      <c r="S32" s="56" t="str">
        <f t="shared" si="67"/>
        <v/>
      </c>
      <c r="T32" s="56" t="str">
        <f t="shared" si="68"/>
        <v>Sxx_SIOy:I.Pt07InputStatus</v>
      </c>
      <c r="U32" s="56" t="str">
        <f t="shared" si="69"/>
        <v/>
      </c>
      <c r="V32" s="56" t="str">
        <f t="shared" si="70"/>
        <v/>
      </c>
      <c r="W32" s="56"/>
      <c r="X32" s="56"/>
      <c r="Y32" s="56"/>
      <c r="Z32" s="56" t="str">
        <f t="shared" si="71"/>
        <v/>
      </c>
      <c r="AA32" s="56" t="str">
        <f t="shared" si="72"/>
        <v/>
      </c>
      <c r="AB32" s="56" t="str">
        <f t="shared" si="9"/>
        <v>ToolPrototype</v>
      </c>
      <c r="AC32" s="56" t="str">
        <f t="shared" si="73"/>
        <v>Optional</v>
      </c>
      <c r="AD32" s="56" t="str">
        <f t="shared" si="10"/>
        <v xml:space="preserve"> &lt;device&gt;
    &lt;name&gt;Sxx_SIOy&lt;/name&gt;
    &lt;type&gt;AB_SBK_ENET_12I_4O&lt;/type&gt;
  &lt;/device&gt;
</v>
      </c>
      <c r="AE32" s="56" t="str">
        <f t="shared" si="11"/>
        <v/>
      </c>
      <c r="AF32"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2" s="56" t="str">
        <f t="shared" si="13"/>
        <v/>
      </c>
      <c r="AH32" s="56" t="str">
        <f t="shared" si="14"/>
        <v/>
      </c>
      <c r="AI32" s="56" t="str">
        <f t="shared" si="15"/>
        <v/>
      </c>
      <c r="AJ32" s="56" t="str">
        <f t="shared" si="16"/>
        <v/>
      </c>
      <c r="AK32" s="56" t="str">
        <f t="shared" si="17"/>
        <v/>
      </c>
      <c r="AL32" s="56" t="str">
        <f t="shared" si="18"/>
        <v/>
      </c>
      <c r="AM32" s="56" t="str">
        <f t="shared" si="19"/>
        <v/>
      </c>
      <c r="AN32" s="56" t="str">
        <f t="shared" si="74"/>
        <v/>
      </c>
      <c r="AO32" s="56" t="str">
        <f t="shared" si="75"/>
        <v/>
      </c>
      <c r="AP32" s="56" t="str">
        <f t="shared" si="76"/>
        <v>PSF</v>
      </c>
      <c r="AQ32" s="56" t="str">
        <f t="shared" si="77"/>
        <v>EXIT</v>
      </c>
      <c r="AR32" s="39" t="s">
        <v>131</v>
      </c>
      <c r="AT32" s="44" t="str">
        <f t="shared" si="78"/>
        <v>BOOL</v>
      </c>
      <c r="AU32" s="23">
        <f t="shared" si="79"/>
        <v>0</v>
      </c>
      <c r="AV32" s="23" t="str">
        <f t="shared" si="80"/>
        <v>I</v>
      </c>
      <c r="AW32" s="23" t="str">
        <f t="shared" si="81"/>
        <v xml:space="preserve">I.: </v>
      </c>
      <c r="AX32" s="23" t="str">
        <f t="shared" si="82"/>
        <v>_VC_Sxx_SIOy_I.Pt07InputStatus</v>
      </c>
      <c r="AY32" s="36" t="str">
        <f t="shared" si="83"/>
        <v xml:space="preserve">Controller: &lt;Sxx_SIOy:I.Pt07InputStatus&gt; - </v>
      </c>
      <c r="BB32" s="42" t="s">
        <v>17</v>
      </c>
      <c r="BC32" t="s">
        <v>22</v>
      </c>
      <c r="BD32" t="str">
        <f t="shared" si="84"/>
        <v>AB_RACKx_SLOTa</v>
      </c>
      <c r="BG32" t="str">
        <f>Prep!$C$2&amp;":"</f>
        <v>Sxx_SIOy:</v>
      </c>
      <c r="BT32" t="str">
        <f t="shared" si="87"/>
        <v/>
      </c>
      <c r="BV32" s="30" t="s">
        <v>300</v>
      </c>
      <c r="BY32" s="42"/>
      <c r="CB32" s="42"/>
      <c r="CE32" s="30"/>
      <c r="CH32" s="42" t="s">
        <v>66</v>
      </c>
      <c r="CI32" t="s">
        <v>96</v>
      </c>
      <c r="CJ32" t="str">
        <f t="shared" si="85"/>
        <v>Sxx_SIOy:I.</v>
      </c>
      <c r="CK32" t="s">
        <v>300</v>
      </c>
      <c r="CL32" t="s">
        <v>290</v>
      </c>
      <c r="CM32" t="s">
        <v>75</v>
      </c>
      <c r="CN32" s="30" t="str">
        <f t="shared" si="86"/>
        <v>Sxx_SIOy:I.</v>
      </c>
      <c r="CO32" t="s">
        <v>300</v>
      </c>
      <c r="CP32" t="s">
        <v>12</v>
      </c>
      <c r="CQ32" s="40"/>
      <c r="CR32" s="30"/>
    </row>
    <row r="33" spans="2:96" x14ac:dyDescent="0.35">
      <c r="B33" s="4" t="str">
        <f t="shared" si="55"/>
        <v>SAFE_IO_BLOCK_Sxx_SIOy</v>
      </c>
      <c r="C33" s="4"/>
      <c r="D33" s="4" t="str">
        <f t="shared" si="56"/>
        <v>To_PSF_Pt08InputStatus</v>
      </c>
      <c r="E33" s="4" t="str">
        <f t="shared" si="57"/>
        <v>_VC_Sxx_SIOy_I.Pt08InputStatus</v>
      </c>
      <c r="F33" s="4" t="str">
        <f t="shared" si="58"/>
        <v>I</v>
      </c>
      <c r="G33" s="4" t="str">
        <f t="shared" si="59"/>
        <v/>
      </c>
      <c r="H33" s="4" t="str">
        <f t="shared" si="60"/>
        <v xml:space="preserve">Controller: &lt;Sxx_SIOy:I.Pt08InputStatus&gt; - </v>
      </c>
      <c r="I33" s="4" t="str">
        <f t="shared" si="61"/>
        <v>AB_RACKx_SLOTa</v>
      </c>
      <c r="J33" s="4"/>
      <c r="K33" s="56" t="str">
        <f t="shared" si="62"/>
        <v>BOOL</v>
      </c>
      <c r="L33" s="56" t="str">
        <f t="shared" si="4"/>
        <v>SYSTEM\SAFE_IO_BLOCKS</v>
      </c>
      <c r="M33" s="56" t="str">
        <f t="shared" si="5"/>
        <v>STELLANTIS\Common\ToolPrototype\Devices</v>
      </c>
      <c r="N33" s="56" t="str">
        <f t="shared" si="6"/>
        <v>STELLANTIS_EIP_AB_SAFE_IO_BLOCK_12IN4OUT_ENET_Sxx_SIOy.v00</v>
      </c>
      <c r="O33" s="56" t="str">
        <f t="shared" si="63"/>
        <v/>
      </c>
      <c r="P33" s="56" t="str">
        <f t="shared" si="64"/>
        <v/>
      </c>
      <c r="Q33" s="56" t="str">
        <f t="shared" si="65"/>
        <v>Sxx_SIOy:</v>
      </c>
      <c r="R33" s="56" t="str">
        <f t="shared" si="66"/>
        <v/>
      </c>
      <c r="S33" s="56" t="str">
        <f t="shared" si="67"/>
        <v/>
      </c>
      <c r="T33" s="56" t="str">
        <f t="shared" si="68"/>
        <v>Sxx_SIOy:I.Pt08InputStatus</v>
      </c>
      <c r="U33" s="56" t="str">
        <f t="shared" si="69"/>
        <v/>
      </c>
      <c r="V33" s="56" t="str">
        <f t="shared" si="70"/>
        <v/>
      </c>
      <c r="W33" s="56"/>
      <c r="X33" s="56"/>
      <c r="Y33" s="56"/>
      <c r="Z33" s="56" t="str">
        <f t="shared" si="71"/>
        <v/>
      </c>
      <c r="AA33" s="56" t="str">
        <f t="shared" si="72"/>
        <v/>
      </c>
      <c r="AB33" s="56" t="str">
        <f t="shared" si="9"/>
        <v>ToolPrototype</v>
      </c>
      <c r="AC33" s="56" t="str">
        <f t="shared" si="73"/>
        <v>Optional</v>
      </c>
      <c r="AD33" s="56" t="str">
        <f t="shared" si="10"/>
        <v xml:space="preserve"> &lt;device&gt;
    &lt;name&gt;Sxx_SIOy&lt;/name&gt;
    &lt;type&gt;AB_SBK_ENET_12I_4O&lt;/type&gt;
  &lt;/device&gt;
</v>
      </c>
      <c r="AE33" s="56" t="str">
        <f t="shared" si="11"/>
        <v/>
      </c>
      <c r="AF33"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3" s="56" t="str">
        <f t="shared" si="13"/>
        <v/>
      </c>
      <c r="AH33" s="56" t="str">
        <f t="shared" si="14"/>
        <v/>
      </c>
      <c r="AI33" s="56" t="str">
        <f t="shared" si="15"/>
        <v/>
      </c>
      <c r="AJ33" s="56" t="str">
        <f t="shared" si="16"/>
        <v/>
      </c>
      <c r="AK33" s="56" t="str">
        <f t="shared" si="17"/>
        <v/>
      </c>
      <c r="AL33" s="56" t="str">
        <f t="shared" si="18"/>
        <v/>
      </c>
      <c r="AM33" s="56" t="str">
        <f t="shared" si="19"/>
        <v/>
      </c>
      <c r="AN33" s="56" t="str">
        <f t="shared" si="74"/>
        <v/>
      </c>
      <c r="AO33" s="56" t="str">
        <f t="shared" si="75"/>
        <v/>
      </c>
      <c r="AP33" s="56" t="str">
        <f t="shared" si="76"/>
        <v>PSF</v>
      </c>
      <c r="AQ33" s="56" t="str">
        <f t="shared" si="77"/>
        <v>EXIT</v>
      </c>
      <c r="AR33" s="39" t="s">
        <v>131</v>
      </c>
      <c r="AT33" s="44" t="str">
        <f t="shared" si="78"/>
        <v>BOOL</v>
      </c>
      <c r="AU33" s="23">
        <f t="shared" si="79"/>
        <v>0</v>
      </c>
      <c r="AV33" s="23" t="str">
        <f t="shared" si="80"/>
        <v>I</v>
      </c>
      <c r="AW33" s="23" t="str">
        <f t="shared" si="81"/>
        <v xml:space="preserve">I.: </v>
      </c>
      <c r="AX33" s="23" t="str">
        <f t="shared" si="82"/>
        <v>_VC_Sxx_SIOy_I.Pt08InputStatus</v>
      </c>
      <c r="AY33" s="36" t="str">
        <f t="shared" si="83"/>
        <v xml:space="preserve">Controller: &lt;Sxx_SIOy:I.Pt08InputStatus&gt; - </v>
      </c>
      <c r="BB33" s="42" t="s">
        <v>17</v>
      </c>
      <c r="BC33" t="s">
        <v>22</v>
      </c>
      <c r="BD33" t="str">
        <f t="shared" si="84"/>
        <v>AB_RACKx_SLOTa</v>
      </c>
      <c r="BG33" t="str">
        <f>Prep!$C$2&amp;":"</f>
        <v>Sxx_SIOy:</v>
      </c>
      <c r="BT33" t="str">
        <f t="shared" si="87"/>
        <v/>
      </c>
      <c r="BV33" s="30" t="s">
        <v>301</v>
      </c>
      <c r="BY33" s="42"/>
      <c r="CB33" s="42"/>
      <c r="CE33" s="30"/>
      <c r="CH33" s="42" t="s">
        <v>66</v>
      </c>
      <c r="CI33" t="s">
        <v>96</v>
      </c>
      <c r="CJ33" t="str">
        <f t="shared" si="85"/>
        <v>Sxx_SIOy:I.</v>
      </c>
      <c r="CK33" t="s">
        <v>301</v>
      </c>
      <c r="CL33" t="s">
        <v>290</v>
      </c>
      <c r="CM33" t="s">
        <v>75</v>
      </c>
      <c r="CN33" s="30" t="str">
        <f t="shared" si="86"/>
        <v>Sxx_SIOy:I.</v>
      </c>
      <c r="CO33" t="s">
        <v>301</v>
      </c>
      <c r="CP33" t="s">
        <v>12</v>
      </c>
      <c r="CQ33" s="40"/>
      <c r="CR33" s="30"/>
    </row>
    <row r="34" spans="2:96" x14ac:dyDescent="0.35">
      <c r="B34" s="4" t="str">
        <f t="shared" si="55"/>
        <v>SAFE_IO_BLOCK_Sxx_SIOy</v>
      </c>
      <c r="C34" s="4"/>
      <c r="D34" s="4" t="str">
        <f t="shared" si="56"/>
        <v>To_PSF_Pt09InputStatus</v>
      </c>
      <c r="E34" s="4" t="str">
        <f t="shared" si="57"/>
        <v>_VC_Sxx_SIOy_I.Pt09InputStatus</v>
      </c>
      <c r="F34" s="4" t="str">
        <f t="shared" si="58"/>
        <v>I</v>
      </c>
      <c r="G34" s="4" t="str">
        <f t="shared" si="59"/>
        <v/>
      </c>
      <c r="H34" s="4" t="str">
        <f t="shared" si="60"/>
        <v xml:space="preserve">Controller: &lt;Sxx_SIOy:I.Pt09InputStatus&gt; - </v>
      </c>
      <c r="I34" s="4" t="str">
        <f t="shared" si="61"/>
        <v>AB_RACKx_SLOTa</v>
      </c>
      <c r="J34" s="4"/>
      <c r="K34" s="56" t="str">
        <f t="shared" si="62"/>
        <v>BOOL</v>
      </c>
      <c r="L34" s="56" t="str">
        <f t="shared" si="4"/>
        <v>SYSTEM\SAFE_IO_BLOCKS</v>
      </c>
      <c r="M34" s="56" t="str">
        <f t="shared" si="5"/>
        <v>STELLANTIS\Common\ToolPrototype\Devices</v>
      </c>
      <c r="N34" s="56" t="str">
        <f t="shared" si="6"/>
        <v>STELLANTIS_EIP_AB_SAFE_IO_BLOCK_12IN4OUT_ENET_Sxx_SIOy.v00</v>
      </c>
      <c r="O34" s="56" t="str">
        <f t="shared" si="63"/>
        <v/>
      </c>
      <c r="P34" s="56" t="str">
        <f t="shared" si="64"/>
        <v/>
      </c>
      <c r="Q34" s="56" t="str">
        <f t="shared" si="65"/>
        <v>Sxx_SIOy:</v>
      </c>
      <c r="R34" s="56" t="str">
        <f t="shared" si="66"/>
        <v/>
      </c>
      <c r="S34" s="56" t="str">
        <f t="shared" si="67"/>
        <v/>
      </c>
      <c r="T34" s="56" t="str">
        <f t="shared" si="68"/>
        <v>Sxx_SIOy:I.Pt09InputStatus</v>
      </c>
      <c r="U34" s="56" t="str">
        <f t="shared" si="69"/>
        <v/>
      </c>
      <c r="V34" s="56" t="str">
        <f t="shared" si="70"/>
        <v/>
      </c>
      <c r="W34" s="56"/>
      <c r="X34" s="56"/>
      <c r="Y34" s="56"/>
      <c r="Z34" s="56" t="str">
        <f t="shared" si="71"/>
        <v/>
      </c>
      <c r="AA34" s="56" t="str">
        <f t="shared" si="72"/>
        <v/>
      </c>
      <c r="AB34" s="56" t="str">
        <f t="shared" si="9"/>
        <v>ToolPrototype</v>
      </c>
      <c r="AC34" s="56" t="str">
        <f t="shared" si="73"/>
        <v>Optional</v>
      </c>
      <c r="AD34" s="56" t="str">
        <f t="shared" si="10"/>
        <v xml:space="preserve"> &lt;device&gt;
    &lt;name&gt;Sxx_SIOy&lt;/name&gt;
    &lt;type&gt;AB_SBK_ENET_12I_4O&lt;/type&gt;
  &lt;/device&gt;
</v>
      </c>
      <c r="AE34" s="56" t="str">
        <f t="shared" si="11"/>
        <v/>
      </c>
      <c r="AF34"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4" s="56" t="str">
        <f t="shared" si="13"/>
        <v/>
      </c>
      <c r="AH34" s="56" t="str">
        <f t="shared" si="14"/>
        <v/>
      </c>
      <c r="AI34" s="56" t="str">
        <f t="shared" si="15"/>
        <v/>
      </c>
      <c r="AJ34" s="56" t="str">
        <f t="shared" si="16"/>
        <v/>
      </c>
      <c r="AK34" s="56" t="str">
        <f t="shared" si="17"/>
        <v/>
      </c>
      <c r="AL34" s="56" t="str">
        <f t="shared" si="18"/>
        <v/>
      </c>
      <c r="AM34" s="56" t="str">
        <f t="shared" si="19"/>
        <v/>
      </c>
      <c r="AN34" s="56" t="str">
        <f t="shared" si="74"/>
        <v/>
      </c>
      <c r="AO34" s="56" t="str">
        <f t="shared" si="75"/>
        <v/>
      </c>
      <c r="AP34" s="56" t="str">
        <f t="shared" si="76"/>
        <v>PSF</v>
      </c>
      <c r="AQ34" s="56" t="str">
        <f t="shared" si="77"/>
        <v>EXIT</v>
      </c>
      <c r="AR34" s="39" t="s">
        <v>131</v>
      </c>
      <c r="AT34" s="44" t="str">
        <f t="shared" si="78"/>
        <v>BOOL</v>
      </c>
      <c r="AU34" s="23">
        <f t="shared" si="79"/>
        <v>0</v>
      </c>
      <c r="AV34" s="23" t="str">
        <f t="shared" si="80"/>
        <v>I</v>
      </c>
      <c r="AW34" s="23" t="str">
        <f t="shared" si="81"/>
        <v xml:space="preserve">I.: </v>
      </c>
      <c r="AX34" s="23" t="str">
        <f t="shared" si="82"/>
        <v>_VC_Sxx_SIOy_I.Pt09InputStatus</v>
      </c>
      <c r="AY34" s="36" t="str">
        <f t="shared" si="83"/>
        <v xml:space="preserve">Controller: &lt;Sxx_SIOy:I.Pt09InputStatus&gt; - </v>
      </c>
      <c r="BB34" s="42" t="s">
        <v>17</v>
      </c>
      <c r="BC34" t="s">
        <v>22</v>
      </c>
      <c r="BD34" t="str">
        <f t="shared" si="84"/>
        <v>AB_RACKx_SLOTa</v>
      </c>
      <c r="BG34" t="str">
        <f>Prep!$C$2&amp;":"</f>
        <v>Sxx_SIOy:</v>
      </c>
      <c r="BT34" t="str">
        <f t="shared" si="87"/>
        <v/>
      </c>
      <c r="BV34" s="30" t="s">
        <v>302</v>
      </c>
      <c r="BY34" s="42"/>
      <c r="CB34" s="42"/>
      <c r="CE34" s="30"/>
      <c r="CH34" s="42" t="s">
        <v>66</v>
      </c>
      <c r="CI34" t="s">
        <v>96</v>
      </c>
      <c r="CJ34" t="str">
        <f t="shared" si="85"/>
        <v>Sxx_SIOy:I.</v>
      </c>
      <c r="CK34" t="s">
        <v>302</v>
      </c>
      <c r="CL34" t="s">
        <v>290</v>
      </c>
      <c r="CM34" t="s">
        <v>75</v>
      </c>
      <c r="CN34" s="30" t="str">
        <f t="shared" si="86"/>
        <v>Sxx_SIOy:I.</v>
      </c>
      <c r="CO34" t="s">
        <v>302</v>
      </c>
      <c r="CP34" t="s">
        <v>12</v>
      </c>
      <c r="CQ34" s="40"/>
      <c r="CR34" s="30"/>
    </row>
    <row r="35" spans="2:96" x14ac:dyDescent="0.35">
      <c r="B35" s="4" t="str">
        <f t="shared" si="55"/>
        <v>SAFE_IO_BLOCK_Sxx_SIOy</v>
      </c>
      <c r="C35" s="4"/>
      <c r="D35" s="4" t="str">
        <f t="shared" si="56"/>
        <v>To_PSF_Pt10InputStatus</v>
      </c>
      <c r="E35" s="4" t="str">
        <f t="shared" si="57"/>
        <v>_VC_Sxx_SIOy_I.Pt10InputStatus</v>
      </c>
      <c r="F35" s="4" t="str">
        <f t="shared" si="58"/>
        <v>I</v>
      </c>
      <c r="G35" s="4" t="str">
        <f t="shared" si="59"/>
        <v/>
      </c>
      <c r="H35" s="4" t="str">
        <f t="shared" si="60"/>
        <v xml:space="preserve">Controller: &lt;Sxx_SIOy:I.Pt10InputStatus&gt; - </v>
      </c>
      <c r="I35" s="4" t="str">
        <f t="shared" si="61"/>
        <v>AB_RACKx_SLOTa</v>
      </c>
      <c r="J35" s="4"/>
      <c r="K35" s="56" t="str">
        <f t="shared" si="62"/>
        <v>BOOL</v>
      </c>
      <c r="L35" s="56" t="str">
        <f t="shared" si="4"/>
        <v>SYSTEM\SAFE_IO_BLOCKS</v>
      </c>
      <c r="M35" s="56" t="str">
        <f t="shared" si="5"/>
        <v>STELLANTIS\Common\ToolPrototype\Devices</v>
      </c>
      <c r="N35" s="56" t="str">
        <f t="shared" si="6"/>
        <v>STELLANTIS_EIP_AB_SAFE_IO_BLOCK_12IN4OUT_ENET_Sxx_SIOy.v00</v>
      </c>
      <c r="O35" s="56" t="str">
        <f t="shared" si="63"/>
        <v/>
      </c>
      <c r="P35" s="56" t="str">
        <f t="shared" si="64"/>
        <v/>
      </c>
      <c r="Q35" s="56" t="str">
        <f t="shared" si="65"/>
        <v>Sxx_SIOy:</v>
      </c>
      <c r="R35" s="56" t="str">
        <f t="shared" si="66"/>
        <v/>
      </c>
      <c r="S35" s="56" t="str">
        <f t="shared" si="67"/>
        <v/>
      </c>
      <c r="T35" s="56" t="str">
        <f t="shared" si="68"/>
        <v>Sxx_SIOy:I.Pt10InputStatus</v>
      </c>
      <c r="U35" s="56" t="str">
        <f t="shared" si="69"/>
        <v/>
      </c>
      <c r="V35" s="56" t="str">
        <f t="shared" si="70"/>
        <v/>
      </c>
      <c r="W35" s="56"/>
      <c r="X35" s="56"/>
      <c r="Y35" s="56"/>
      <c r="Z35" s="56" t="str">
        <f t="shared" si="71"/>
        <v/>
      </c>
      <c r="AA35" s="56" t="str">
        <f t="shared" si="72"/>
        <v/>
      </c>
      <c r="AB35" s="56" t="str">
        <f t="shared" si="9"/>
        <v>ToolPrototype</v>
      </c>
      <c r="AC35" s="56" t="str">
        <f t="shared" si="73"/>
        <v>Optional</v>
      </c>
      <c r="AD35" s="56" t="str">
        <f t="shared" si="10"/>
        <v xml:space="preserve"> &lt;device&gt;
    &lt;name&gt;Sxx_SIOy&lt;/name&gt;
    &lt;type&gt;AB_SBK_ENET_12I_4O&lt;/type&gt;
  &lt;/device&gt;
</v>
      </c>
      <c r="AE35" s="56" t="str">
        <f t="shared" si="11"/>
        <v/>
      </c>
      <c r="AF35"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5" s="56" t="str">
        <f t="shared" si="13"/>
        <v/>
      </c>
      <c r="AH35" s="56" t="str">
        <f t="shared" si="14"/>
        <v/>
      </c>
      <c r="AI35" s="56" t="str">
        <f t="shared" si="15"/>
        <v/>
      </c>
      <c r="AJ35" s="56" t="str">
        <f t="shared" si="16"/>
        <v/>
      </c>
      <c r="AK35" s="56" t="str">
        <f t="shared" si="17"/>
        <v/>
      </c>
      <c r="AL35" s="56" t="str">
        <f t="shared" si="18"/>
        <v/>
      </c>
      <c r="AM35" s="56" t="str">
        <f t="shared" si="19"/>
        <v/>
      </c>
      <c r="AN35" s="56" t="str">
        <f t="shared" si="74"/>
        <v/>
      </c>
      <c r="AO35" s="56" t="str">
        <f t="shared" si="75"/>
        <v/>
      </c>
      <c r="AP35" s="56" t="str">
        <f t="shared" si="76"/>
        <v>PSF</v>
      </c>
      <c r="AQ35" s="56" t="str">
        <f t="shared" si="77"/>
        <v>EXIT</v>
      </c>
      <c r="AR35" s="39" t="s">
        <v>131</v>
      </c>
      <c r="AT35" s="44" t="str">
        <f t="shared" si="78"/>
        <v>BOOL</v>
      </c>
      <c r="AU35" s="23">
        <f t="shared" si="79"/>
        <v>0</v>
      </c>
      <c r="AV35" s="23" t="str">
        <f t="shared" si="80"/>
        <v>I</v>
      </c>
      <c r="AW35" s="23" t="str">
        <f t="shared" si="81"/>
        <v xml:space="preserve">I.: </v>
      </c>
      <c r="AX35" s="23" t="str">
        <f t="shared" si="82"/>
        <v>_VC_Sxx_SIOy_I.Pt10InputStatus</v>
      </c>
      <c r="AY35" s="36" t="str">
        <f t="shared" si="83"/>
        <v xml:space="preserve">Controller: &lt;Sxx_SIOy:I.Pt10InputStatus&gt; - </v>
      </c>
      <c r="BB35" s="42" t="s">
        <v>17</v>
      </c>
      <c r="BC35" t="s">
        <v>22</v>
      </c>
      <c r="BD35" t="str">
        <f t="shared" si="84"/>
        <v>AB_RACKx_SLOTa</v>
      </c>
      <c r="BG35" t="str">
        <f>Prep!$C$2&amp;":"</f>
        <v>Sxx_SIOy:</v>
      </c>
      <c r="BT35" t="str">
        <f t="shared" si="87"/>
        <v/>
      </c>
      <c r="BV35" s="30" t="s">
        <v>303</v>
      </c>
      <c r="BY35" s="42"/>
      <c r="CB35" s="42"/>
      <c r="CE35" s="30"/>
      <c r="CH35" s="42" t="s">
        <v>66</v>
      </c>
      <c r="CI35" t="s">
        <v>96</v>
      </c>
      <c r="CJ35" t="str">
        <f t="shared" si="85"/>
        <v>Sxx_SIOy:I.</v>
      </c>
      <c r="CK35" t="s">
        <v>303</v>
      </c>
      <c r="CL35" t="s">
        <v>290</v>
      </c>
      <c r="CM35" t="s">
        <v>75</v>
      </c>
      <c r="CN35" s="30" t="str">
        <f t="shared" si="86"/>
        <v>Sxx_SIOy:I.</v>
      </c>
      <c r="CO35" t="s">
        <v>303</v>
      </c>
      <c r="CP35" t="s">
        <v>12</v>
      </c>
      <c r="CQ35" s="40"/>
      <c r="CR35" s="30"/>
    </row>
    <row r="36" spans="2:96" x14ac:dyDescent="0.35">
      <c r="B36" s="4" t="str">
        <f t="shared" si="55"/>
        <v>SAFE_IO_BLOCK_Sxx_SIOy</v>
      </c>
      <c r="C36" s="4"/>
      <c r="D36" s="4" t="str">
        <f t="shared" si="56"/>
        <v>To_PSF_Pt11InputStatus</v>
      </c>
      <c r="E36" s="4" t="str">
        <f t="shared" si="57"/>
        <v>_VC_Sxx_SIOy_I.Pt11InputStatus</v>
      </c>
      <c r="F36" s="4" t="str">
        <f t="shared" si="58"/>
        <v>I</v>
      </c>
      <c r="G36" s="4" t="str">
        <f t="shared" si="59"/>
        <v/>
      </c>
      <c r="H36" s="4" t="str">
        <f t="shared" si="60"/>
        <v xml:space="preserve">Controller: &lt;Sxx_SIOy:I.Pt11InputStatus&gt; - </v>
      </c>
      <c r="I36" s="4" t="str">
        <f t="shared" si="61"/>
        <v>AB_RACKx_SLOTa</v>
      </c>
      <c r="J36" s="4"/>
      <c r="K36" s="56" t="str">
        <f t="shared" si="62"/>
        <v>BOOL</v>
      </c>
      <c r="L36" s="56" t="str">
        <f t="shared" si="4"/>
        <v>SYSTEM\SAFE_IO_BLOCKS</v>
      </c>
      <c r="M36" s="56" t="str">
        <f t="shared" si="5"/>
        <v>STELLANTIS\Common\ToolPrototype\Devices</v>
      </c>
      <c r="N36" s="56" t="str">
        <f t="shared" si="6"/>
        <v>STELLANTIS_EIP_AB_SAFE_IO_BLOCK_12IN4OUT_ENET_Sxx_SIOy.v00</v>
      </c>
      <c r="O36" s="56" t="str">
        <f t="shared" si="63"/>
        <v/>
      </c>
      <c r="P36" s="56" t="str">
        <f t="shared" si="64"/>
        <v/>
      </c>
      <c r="Q36" s="56" t="str">
        <f t="shared" si="65"/>
        <v>Sxx_SIOy:</v>
      </c>
      <c r="R36" s="56" t="str">
        <f t="shared" si="66"/>
        <v/>
      </c>
      <c r="S36" s="56" t="str">
        <f t="shared" si="67"/>
        <v/>
      </c>
      <c r="T36" s="56" t="str">
        <f t="shared" si="68"/>
        <v>Sxx_SIOy:I.Pt11InputStatus</v>
      </c>
      <c r="U36" s="56" t="str">
        <f t="shared" si="69"/>
        <v/>
      </c>
      <c r="V36" s="56" t="str">
        <f t="shared" si="70"/>
        <v/>
      </c>
      <c r="W36" s="56"/>
      <c r="X36" s="56"/>
      <c r="Y36" s="56"/>
      <c r="Z36" s="56" t="str">
        <f t="shared" si="71"/>
        <v/>
      </c>
      <c r="AA36" s="56" t="str">
        <f t="shared" si="72"/>
        <v/>
      </c>
      <c r="AB36" s="56" t="str">
        <f t="shared" si="9"/>
        <v>ToolPrototype</v>
      </c>
      <c r="AC36" s="56" t="str">
        <f t="shared" si="73"/>
        <v>Optional</v>
      </c>
      <c r="AD36" s="56" t="str">
        <f t="shared" si="10"/>
        <v xml:space="preserve"> &lt;device&gt;
    &lt;name&gt;Sxx_SIOy&lt;/name&gt;
    &lt;type&gt;AB_SBK_ENET_12I_4O&lt;/type&gt;
  &lt;/device&gt;
</v>
      </c>
      <c r="AE36" s="56" t="str">
        <f t="shared" si="11"/>
        <v/>
      </c>
      <c r="AF36"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6" s="56" t="str">
        <f t="shared" si="13"/>
        <v/>
      </c>
      <c r="AH36" s="56" t="str">
        <f t="shared" si="14"/>
        <v/>
      </c>
      <c r="AI36" s="56" t="str">
        <f t="shared" si="15"/>
        <v/>
      </c>
      <c r="AJ36" s="56" t="str">
        <f t="shared" si="16"/>
        <v/>
      </c>
      <c r="AK36" s="56" t="str">
        <f t="shared" si="17"/>
        <v/>
      </c>
      <c r="AL36" s="56" t="str">
        <f t="shared" si="18"/>
        <v/>
      </c>
      <c r="AM36" s="56" t="str">
        <f t="shared" si="19"/>
        <v/>
      </c>
      <c r="AN36" s="56" t="str">
        <f t="shared" si="74"/>
        <v/>
      </c>
      <c r="AO36" s="56" t="str">
        <f t="shared" si="75"/>
        <v/>
      </c>
      <c r="AP36" s="56" t="str">
        <f t="shared" si="76"/>
        <v>PSF</v>
      </c>
      <c r="AQ36" s="56" t="str">
        <f t="shared" si="77"/>
        <v>EXIT</v>
      </c>
      <c r="AR36" s="39" t="s">
        <v>131</v>
      </c>
      <c r="AT36" s="44" t="str">
        <f t="shared" si="78"/>
        <v>BOOL</v>
      </c>
      <c r="AU36" s="23">
        <f t="shared" si="79"/>
        <v>0</v>
      </c>
      <c r="AV36" s="23" t="str">
        <f t="shared" si="80"/>
        <v>I</v>
      </c>
      <c r="AW36" s="23" t="str">
        <f t="shared" si="81"/>
        <v xml:space="preserve">I.: </v>
      </c>
      <c r="AX36" s="23" t="str">
        <f t="shared" si="82"/>
        <v>_VC_Sxx_SIOy_I.Pt11InputStatus</v>
      </c>
      <c r="AY36" s="36" t="str">
        <f t="shared" si="83"/>
        <v xml:space="preserve">Controller: &lt;Sxx_SIOy:I.Pt11InputStatus&gt; - </v>
      </c>
      <c r="BB36" s="42" t="s">
        <v>17</v>
      </c>
      <c r="BC36" t="s">
        <v>22</v>
      </c>
      <c r="BD36" t="str">
        <f t="shared" si="84"/>
        <v>AB_RACKx_SLOTa</v>
      </c>
      <c r="BG36" t="str">
        <f>Prep!$C$2&amp;":"</f>
        <v>Sxx_SIOy:</v>
      </c>
      <c r="BT36" t="str">
        <f t="shared" si="87"/>
        <v/>
      </c>
      <c r="BV36" s="30" t="s">
        <v>304</v>
      </c>
      <c r="BY36" s="42"/>
      <c r="CB36" s="42"/>
      <c r="CE36" s="30"/>
      <c r="CH36" s="42" t="s">
        <v>66</v>
      </c>
      <c r="CI36" t="s">
        <v>96</v>
      </c>
      <c r="CJ36" t="str">
        <f t="shared" si="85"/>
        <v>Sxx_SIOy:I.</v>
      </c>
      <c r="CK36" t="s">
        <v>304</v>
      </c>
      <c r="CL36" t="s">
        <v>290</v>
      </c>
      <c r="CM36" t="s">
        <v>75</v>
      </c>
      <c r="CN36" s="30" t="str">
        <f t="shared" si="86"/>
        <v>Sxx_SIOy:I.</v>
      </c>
      <c r="CO36" t="s">
        <v>304</v>
      </c>
      <c r="CP36" t="s">
        <v>12</v>
      </c>
      <c r="CQ36" s="40"/>
      <c r="CR36" s="30"/>
    </row>
    <row r="37" spans="2:96" x14ac:dyDescent="0.35">
      <c r="B37" s="4" t="str">
        <f t="shared" si="55"/>
        <v>SAFE_IO_BLOCK_Sxx_SIOy</v>
      </c>
      <c r="C37" s="4"/>
      <c r="D37" s="4" t="str">
        <f t="shared" si="56"/>
        <v>To_PSF_Pt00OutputStatus</v>
      </c>
      <c r="E37" s="4" t="str">
        <f t="shared" si="57"/>
        <v>_VC_Sxx_SIOy_I.Pt00OutputStatus</v>
      </c>
      <c r="F37" s="4" t="str">
        <f t="shared" si="58"/>
        <v>I</v>
      </c>
      <c r="G37" s="4" t="str">
        <f t="shared" si="59"/>
        <v/>
      </c>
      <c r="H37" s="4" t="str">
        <f t="shared" si="60"/>
        <v xml:space="preserve">Controller: &lt;Sxx_SIOy:I.Pt00OutputStatus&gt; - </v>
      </c>
      <c r="I37" s="4" t="str">
        <f t="shared" si="61"/>
        <v>AB_RACKx_SLOTa</v>
      </c>
      <c r="J37" s="4"/>
      <c r="K37" s="56" t="str">
        <f t="shared" si="62"/>
        <v>BOOL</v>
      </c>
      <c r="L37" s="56" t="str">
        <f t="shared" si="4"/>
        <v>SYSTEM\SAFE_IO_BLOCKS</v>
      </c>
      <c r="M37" s="56" t="str">
        <f t="shared" si="5"/>
        <v>STELLANTIS\Common\ToolPrototype\Devices</v>
      </c>
      <c r="N37" s="56" t="str">
        <f t="shared" si="6"/>
        <v>STELLANTIS_EIP_AB_SAFE_IO_BLOCK_12IN4OUT_ENET_Sxx_SIOy.v00</v>
      </c>
      <c r="O37" s="56" t="str">
        <f t="shared" si="63"/>
        <v/>
      </c>
      <c r="P37" s="56" t="str">
        <f t="shared" si="64"/>
        <v/>
      </c>
      <c r="Q37" s="56" t="str">
        <f t="shared" si="65"/>
        <v>Sxx_SIOy:</v>
      </c>
      <c r="R37" s="56" t="str">
        <f t="shared" si="66"/>
        <v/>
      </c>
      <c r="S37" s="56" t="str">
        <f t="shared" si="67"/>
        <v/>
      </c>
      <c r="T37" s="56" t="str">
        <f t="shared" si="68"/>
        <v>Sxx_SIOy:I.Pt00OutputStatus</v>
      </c>
      <c r="U37" s="56" t="str">
        <f t="shared" si="69"/>
        <v/>
      </c>
      <c r="V37" s="56" t="str">
        <f t="shared" si="70"/>
        <v/>
      </c>
      <c r="W37" s="56"/>
      <c r="X37" s="56"/>
      <c r="Y37" s="56"/>
      <c r="Z37" s="56" t="str">
        <f t="shared" si="71"/>
        <v/>
      </c>
      <c r="AA37" s="56" t="str">
        <f t="shared" si="72"/>
        <v/>
      </c>
      <c r="AB37" s="56" t="str">
        <f t="shared" si="9"/>
        <v>ToolPrototype</v>
      </c>
      <c r="AC37" s="56" t="str">
        <f t="shared" si="73"/>
        <v>Optional</v>
      </c>
      <c r="AD37" s="56" t="str">
        <f t="shared" si="10"/>
        <v xml:space="preserve"> &lt;device&gt;
    &lt;name&gt;Sxx_SIOy&lt;/name&gt;
    &lt;type&gt;AB_SBK_ENET_12I_4O&lt;/type&gt;
  &lt;/device&gt;
</v>
      </c>
      <c r="AE37" s="56" t="str">
        <f t="shared" si="11"/>
        <v/>
      </c>
      <c r="AF37"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7" s="56" t="str">
        <f t="shared" si="13"/>
        <v/>
      </c>
      <c r="AH37" s="56" t="str">
        <f t="shared" si="14"/>
        <v/>
      </c>
      <c r="AI37" s="56" t="str">
        <f t="shared" si="15"/>
        <v/>
      </c>
      <c r="AJ37" s="56" t="str">
        <f t="shared" si="16"/>
        <v/>
      </c>
      <c r="AK37" s="56" t="str">
        <f t="shared" si="17"/>
        <v/>
      </c>
      <c r="AL37" s="56" t="str">
        <f t="shared" si="18"/>
        <v/>
      </c>
      <c r="AM37" s="56" t="str">
        <f t="shared" si="19"/>
        <v/>
      </c>
      <c r="AN37" s="56" t="str">
        <f t="shared" si="74"/>
        <v/>
      </c>
      <c r="AO37" s="56" t="str">
        <f t="shared" si="75"/>
        <v/>
      </c>
      <c r="AP37" s="56" t="str">
        <f t="shared" si="76"/>
        <v>PSF</v>
      </c>
      <c r="AQ37" s="56" t="str">
        <f t="shared" si="77"/>
        <v>EXIT</v>
      </c>
      <c r="AR37" s="39" t="s">
        <v>131</v>
      </c>
      <c r="AT37" s="44" t="str">
        <f t="shared" si="78"/>
        <v>BOOL</v>
      </c>
      <c r="AU37" s="23">
        <f t="shared" si="79"/>
        <v>0</v>
      </c>
      <c r="AV37" s="23" t="str">
        <f t="shared" si="80"/>
        <v>I</v>
      </c>
      <c r="AW37" s="23" t="str">
        <f t="shared" si="81"/>
        <v xml:space="preserve">I.: </v>
      </c>
      <c r="AX37" s="23" t="str">
        <f t="shared" si="82"/>
        <v>_VC_Sxx_SIOy_I.Pt00OutputStatus</v>
      </c>
      <c r="AY37" s="36" t="str">
        <f t="shared" si="83"/>
        <v xml:space="preserve">Controller: &lt;Sxx_SIOy:I.Pt00OutputStatus&gt; - </v>
      </c>
      <c r="BB37" s="42" t="s">
        <v>17</v>
      </c>
      <c r="BC37" t="s">
        <v>22</v>
      </c>
      <c r="BD37" t="str">
        <f t="shared" si="84"/>
        <v>AB_RACKx_SLOTa</v>
      </c>
      <c r="BG37" t="str">
        <f>Prep!$C$2&amp;":"</f>
        <v>Sxx_SIOy:</v>
      </c>
      <c r="BT37" t="str">
        <f t="shared" si="87"/>
        <v/>
      </c>
      <c r="BV37" s="30" t="s">
        <v>279</v>
      </c>
      <c r="BY37" s="42"/>
      <c r="CB37" s="42"/>
      <c r="CE37" s="30"/>
      <c r="CH37" s="42" t="s">
        <v>66</v>
      </c>
      <c r="CI37" t="s">
        <v>96</v>
      </c>
      <c r="CJ37" t="str">
        <f t="shared" si="85"/>
        <v>Sxx_SIOy:I.</v>
      </c>
      <c r="CK37" t="s">
        <v>279</v>
      </c>
      <c r="CL37" t="s">
        <v>290</v>
      </c>
      <c r="CM37" t="s">
        <v>75</v>
      </c>
      <c r="CN37" s="30" t="str">
        <f t="shared" si="86"/>
        <v>Sxx_SIOy:I.</v>
      </c>
      <c r="CO37" t="s">
        <v>279</v>
      </c>
      <c r="CP37" t="s">
        <v>12</v>
      </c>
      <c r="CQ37" s="40"/>
      <c r="CR37" s="30"/>
    </row>
    <row r="38" spans="2:96" x14ac:dyDescent="0.35">
      <c r="B38" s="4" t="str">
        <f t="shared" si="55"/>
        <v>SAFE_IO_BLOCK_Sxx_SIOy</v>
      </c>
      <c r="C38" s="4"/>
      <c r="D38" s="4" t="str">
        <f t="shared" si="56"/>
        <v>To_PSF_Pt01OutputStatus</v>
      </c>
      <c r="E38" s="4" t="str">
        <f t="shared" si="57"/>
        <v>_VC_Sxx_SIOy_I.Pt01OutputStatus</v>
      </c>
      <c r="F38" s="4" t="str">
        <f t="shared" si="58"/>
        <v>I</v>
      </c>
      <c r="G38" s="4" t="str">
        <f t="shared" si="59"/>
        <v/>
      </c>
      <c r="H38" s="4" t="str">
        <f t="shared" si="60"/>
        <v xml:space="preserve">Controller: &lt;Sxx_SIOy:I.Pt01OutputStatus&gt; - </v>
      </c>
      <c r="I38" s="4" t="str">
        <f t="shared" si="61"/>
        <v>AB_RACKx_SLOTa</v>
      </c>
      <c r="J38" s="4"/>
      <c r="K38" s="56" t="str">
        <f t="shared" si="62"/>
        <v>BOOL</v>
      </c>
      <c r="L38" s="56" t="str">
        <f t="shared" si="4"/>
        <v>SYSTEM\SAFE_IO_BLOCKS</v>
      </c>
      <c r="M38" s="56" t="str">
        <f t="shared" si="5"/>
        <v>STELLANTIS\Common\ToolPrototype\Devices</v>
      </c>
      <c r="N38" s="56" t="str">
        <f t="shared" si="6"/>
        <v>STELLANTIS_EIP_AB_SAFE_IO_BLOCK_12IN4OUT_ENET_Sxx_SIOy.v00</v>
      </c>
      <c r="O38" s="56" t="str">
        <f t="shared" si="63"/>
        <v/>
      </c>
      <c r="P38" s="56" t="str">
        <f t="shared" si="64"/>
        <v/>
      </c>
      <c r="Q38" s="56" t="str">
        <f t="shared" si="65"/>
        <v>Sxx_SIOy:</v>
      </c>
      <c r="R38" s="56" t="str">
        <f t="shared" si="66"/>
        <v/>
      </c>
      <c r="S38" s="56" t="str">
        <f t="shared" si="67"/>
        <v/>
      </c>
      <c r="T38" s="56" t="str">
        <f t="shared" si="68"/>
        <v>Sxx_SIOy:I.Pt01OutputStatus</v>
      </c>
      <c r="U38" s="56" t="str">
        <f t="shared" si="69"/>
        <v/>
      </c>
      <c r="V38" s="56" t="str">
        <f t="shared" si="70"/>
        <v/>
      </c>
      <c r="W38" s="56"/>
      <c r="X38" s="56"/>
      <c r="Y38" s="56"/>
      <c r="Z38" s="56" t="str">
        <f t="shared" si="71"/>
        <v/>
      </c>
      <c r="AA38" s="56" t="str">
        <f t="shared" si="72"/>
        <v/>
      </c>
      <c r="AB38" s="56" t="str">
        <f t="shared" si="9"/>
        <v>ToolPrototype</v>
      </c>
      <c r="AC38" s="56" t="str">
        <f t="shared" si="73"/>
        <v>Optional</v>
      </c>
      <c r="AD38" s="56" t="str">
        <f t="shared" si="10"/>
        <v xml:space="preserve"> &lt;device&gt;
    &lt;name&gt;Sxx_SIOy&lt;/name&gt;
    &lt;type&gt;AB_SBK_ENET_12I_4O&lt;/type&gt;
  &lt;/device&gt;
</v>
      </c>
      <c r="AE38" s="56" t="str">
        <f t="shared" si="11"/>
        <v/>
      </c>
      <c r="AF38"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8" s="56" t="str">
        <f t="shared" si="13"/>
        <v/>
      </c>
      <c r="AH38" s="56" t="str">
        <f t="shared" si="14"/>
        <v/>
      </c>
      <c r="AI38" s="56" t="str">
        <f t="shared" si="15"/>
        <v/>
      </c>
      <c r="AJ38" s="56" t="str">
        <f t="shared" si="16"/>
        <v/>
      </c>
      <c r="AK38" s="56" t="str">
        <f t="shared" si="17"/>
        <v/>
      </c>
      <c r="AL38" s="56" t="str">
        <f t="shared" si="18"/>
        <v/>
      </c>
      <c r="AM38" s="56" t="str">
        <f t="shared" si="19"/>
        <v/>
      </c>
      <c r="AN38" s="56" t="str">
        <f t="shared" si="74"/>
        <v/>
      </c>
      <c r="AO38" s="56" t="str">
        <f t="shared" si="75"/>
        <v/>
      </c>
      <c r="AP38" s="56" t="str">
        <f t="shared" si="76"/>
        <v>PSF</v>
      </c>
      <c r="AQ38" s="56" t="str">
        <f t="shared" si="77"/>
        <v>EXIT</v>
      </c>
      <c r="AR38" s="39" t="s">
        <v>131</v>
      </c>
      <c r="AT38" s="44" t="str">
        <f t="shared" si="78"/>
        <v>BOOL</v>
      </c>
      <c r="AU38" s="23">
        <f t="shared" si="79"/>
        <v>0</v>
      </c>
      <c r="AV38" s="23" t="str">
        <f t="shared" si="80"/>
        <v>I</v>
      </c>
      <c r="AW38" s="23" t="str">
        <f t="shared" si="81"/>
        <v xml:space="preserve">I.: </v>
      </c>
      <c r="AX38" s="23" t="str">
        <f t="shared" si="82"/>
        <v>_VC_Sxx_SIOy_I.Pt01OutputStatus</v>
      </c>
      <c r="AY38" s="36" t="str">
        <f t="shared" si="83"/>
        <v xml:space="preserve">Controller: &lt;Sxx_SIOy:I.Pt01OutputStatus&gt; - </v>
      </c>
      <c r="BB38" s="42" t="s">
        <v>17</v>
      </c>
      <c r="BC38" t="s">
        <v>22</v>
      </c>
      <c r="BD38" t="str">
        <f t="shared" si="84"/>
        <v>AB_RACKx_SLOTa</v>
      </c>
      <c r="BG38" t="str">
        <f>Prep!$C$2&amp;":"</f>
        <v>Sxx_SIOy:</v>
      </c>
      <c r="BT38" t="str">
        <f t="shared" si="87"/>
        <v/>
      </c>
      <c r="BV38" s="30" t="s">
        <v>280</v>
      </c>
      <c r="BY38" s="42"/>
      <c r="CB38" s="42"/>
      <c r="CE38" s="30"/>
      <c r="CH38" s="42" t="s">
        <v>66</v>
      </c>
      <c r="CI38" t="s">
        <v>96</v>
      </c>
      <c r="CJ38" t="str">
        <f t="shared" si="85"/>
        <v>Sxx_SIOy:I.</v>
      </c>
      <c r="CK38" t="s">
        <v>280</v>
      </c>
      <c r="CL38" t="s">
        <v>290</v>
      </c>
      <c r="CM38" t="s">
        <v>75</v>
      </c>
      <c r="CN38" s="30" t="str">
        <f t="shared" si="86"/>
        <v>Sxx_SIOy:I.</v>
      </c>
      <c r="CO38" t="s">
        <v>280</v>
      </c>
      <c r="CP38" t="s">
        <v>12</v>
      </c>
      <c r="CQ38" s="40"/>
      <c r="CR38" s="30"/>
    </row>
    <row r="39" spans="2:96" x14ac:dyDescent="0.35">
      <c r="B39" s="4" t="str">
        <f t="shared" si="55"/>
        <v>SAFE_IO_BLOCK_Sxx_SIOy</v>
      </c>
      <c r="C39" s="4"/>
      <c r="D39" s="4" t="str">
        <f t="shared" si="56"/>
        <v>To_PSF_Pt02OutputStatus</v>
      </c>
      <c r="E39" s="4" t="str">
        <f t="shared" si="57"/>
        <v>_VC_Sxx_SIOy_I.Pt02OutputStatus</v>
      </c>
      <c r="F39" s="4" t="str">
        <f t="shared" si="58"/>
        <v>I</v>
      </c>
      <c r="G39" s="4" t="str">
        <f t="shared" si="59"/>
        <v/>
      </c>
      <c r="H39" s="4" t="str">
        <f t="shared" si="60"/>
        <v xml:space="preserve">Controller: &lt;Sxx_SIOy:I.Pt02OutputStatus&gt; - </v>
      </c>
      <c r="I39" s="4" t="str">
        <f t="shared" si="61"/>
        <v>AB_RACKx_SLOTa</v>
      </c>
      <c r="J39" s="4"/>
      <c r="K39" s="56" t="str">
        <f t="shared" si="62"/>
        <v>BOOL</v>
      </c>
      <c r="L39" s="56" t="str">
        <f t="shared" si="4"/>
        <v>SYSTEM\SAFE_IO_BLOCKS</v>
      </c>
      <c r="M39" s="56" t="str">
        <f t="shared" si="5"/>
        <v>STELLANTIS\Common\ToolPrototype\Devices</v>
      </c>
      <c r="N39" s="56" t="str">
        <f t="shared" si="6"/>
        <v>STELLANTIS_EIP_AB_SAFE_IO_BLOCK_12IN4OUT_ENET_Sxx_SIOy.v00</v>
      </c>
      <c r="O39" s="56" t="str">
        <f t="shared" si="63"/>
        <v/>
      </c>
      <c r="P39" s="56" t="str">
        <f t="shared" si="64"/>
        <v/>
      </c>
      <c r="Q39" s="56" t="str">
        <f t="shared" si="65"/>
        <v>Sxx_SIOy:</v>
      </c>
      <c r="R39" s="56" t="str">
        <f t="shared" si="66"/>
        <v/>
      </c>
      <c r="S39" s="56" t="str">
        <f t="shared" si="67"/>
        <v/>
      </c>
      <c r="T39" s="56" t="str">
        <f t="shared" si="68"/>
        <v>Sxx_SIOy:I.Pt02OutputStatus</v>
      </c>
      <c r="U39" s="56" t="str">
        <f t="shared" si="69"/>
        <v/>
      </c>
      <c r="V39" s="56" t="str">
        <f t="shared" si="70"/>
        <v/>
      </c>
      <c r="W39" s="56"/>
      <c r="X39" s="56"/>
      <c r="Y39" s="56"/>
      <c r="Z39" s="56" t="str">
        <f t="shared" si="71"/>
        <v/>
      </c>
      <c r="AA39" s="56" t="str">
        <f t="shared" si="72"/>
        <v/>
      </c>
      <c r="AB39" s="56" t="str">
        <f t="shared" si="9"/>
        <v>ToolPrototype</v>
      </c>
      <c r="AC39" s="56" t="str">
        <f t="shared" si="73"/>
        <v>Optional</v>
      </c>
      <c r="AD39" s="56" t="str">
        <f t="shared" si="10"/>
        <v xml:space="preserve"> &lt;device&gt;
    &lt;name&gt;Sxx_SIOy&lt;/name&gt;
    &lt;type&gt;AB_SBK_ENET_12I_4O&lt;/type&gt;
  &lt;/device&gt;
</v>
      </c>
      <c r="AE39" s="56" t="str">
        <f t="shared" si="11"/>
        <v/>
      </c>
      <c r="AF39"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39" s="56" t="str">
        <f t="shared" si="13"/>
        <v/>
      </c>
      <c r="AH39" s="56" t="str">
        <f t="shared" si="14"/>
        <v/>
      </c>
      <c r="AI39" s="56" t="str">
        <f t="shared" si="15"/>
        <v/>
      </c>
      <c r="AJ39" s="56" t="str">
        <f t="shared" si="16"/>
        <v/>
      </c>
      <c r="AK39" s="56" t="str">
        <f t="shared" si="17"/>
        <v/>
      </c>
      <c r="AL39" s="56" t="str">
        <f t="shared" si="18"/>
        <v/>
      </c>
      <c r="AM39" s="56" t="str">
        <f t="shared" si="19"/>
        <v/>
      </c>
      <c r="AN39" s="56" t="str">
        <f t="shared" si="74"/>
        <v/>
      </c>
      <c r="AO39" s="56" t="str">
        <f t="shared" si="75"/>
        <v/>
      </c>
      <c r="AP39" s="56" t="str">
        <f t="shared" si="76"/>
        <v>PSF</v>
      </c>
      <c r="AQ39" s="56" t="str">
        <f t="shared" si="77"/>
        <v>EXIT</v>
      </c>
      <c r="AR39" s="39" t="s">
        <v>131</v>
      </c>
      <c r="AT39" s="44" t="str">
        <f t="shared" si="78"/>
        <v>BOOL</v>
      </c>
      <c r="AU39" s="23">
        <f t="shared" si="79"/>
        <v>0</v>
      </c>
      <c r="AV39" s="23" t="str">
        <f t="shared" si="80"/>
        <v>I</v>
      </c>
      <c r="AW39" s="23" t="str">
        <f t="shared" si="81"/>
        <v xml:space="preserve">I.: </v>
      </c>
      <c r="AX39" s="23" t="str">
        <f t="shared" si="82"/>
        <v>_VC_Sxx_SIOy_I.Pt02OutputStatus</v>
      </c>
      <c r="AY39" s="36" t="str">
        <f t="shared" si="83"/>
        <v xml:space="preserve">Controller: &lt;Sxx_SIOy:I.Pt02OutputStatus&gt; - </v>
      </c>
      <c r="BB39" s="42" t="s">
        <v>17</v>
      </c>
      <c r="BC39" t="s">
        <v>22</v>
      </c>
      <c r="BD39" t="str">
        <f t="shared" si="84"/>
        <v>AB_RACKx_SLOTa</v>
      </c>
      <c r="BG39" t="str">
        <f>Prep!$C$2&amp;":"</f>
        <v>Sxx_SIOy:</v>
      </c>
      <c r="BT39" t="str">
        <f t="shared" si="87"/>
        <v/>
      </c>
      <c r="BV39" s="30" t="s">
        <v>281</v>
      </c>
      <c r="BY39" s="42"/>
      <c r="CB39" s="42"/>
      <c r="CE39" s="30"/>
      <c r="CH39" s="42" t="s">
        <v>66</v>
      </c>
      <c r="CI39" t="s">
        <v>96</v>
      </c>
      <c r="CJ39" t="str">
        <f t="shared" si="85"/>
        <v>Sxx_SIOy:I.</v>
      </c>
      <c r="CK39" t="s">
        <v>281</v>
      </c>
      <c r="CL39" t="s">
        <v>290</v>
      </c>
      <c r="CM39" t="s">
        <v>75</v>
      </c>
      <c r="CN39" s="30" t="str">
        <f t="shared" si="86"/>
        <v>Sxx_SIOy:I.</v>
      </c>
      <c r="CO39" t="s">
        <v>281</v>
      </c>
      <c r="CP39" t="s">
        <v>12</v>
      </c>
      <c r="CQ39" s="40"/>
      <c r="CR39" s="30"/>
    </row>
    <row r="40" spans="2:96" x14ac:dyDescent="0.35">
      <c r="B40" s="4" t="str">
        <f t="shared" si="55"/>
        <v>SAFE_IO_BLOCK_Sxx_SIOy</v>
      </c>
      <c r="C40" s="4"/>
      <c r="D40" s="4" t="str">
        <f t="shared" si="56"/>
        <v>To_PSF_Pt03OutputStatus</v>
      </c>
      <c r="E40" s="4" t="str">
        <f t="shared" si="57"/>
        <v>_VC_Sxx_SIOy_I.Pt03OutputStatus</v>
      </c>
      <c r="F40" s="4" t="str">
        <f t="shared" si="58"/>
        <v>I</v>
      </c>
      <c r="G40" s="4" t="str">
        <f t="shared" si="59"/>
        <v/>
      </c>
      <c r="H40" s="4" t="str">
        <f t="shared" si="60"/>
        <v xml:space="preserve">Controller: &lt;Sxx_SIOy:I.Pt03OutputStatus&gt; - </v>
      </c>
      <c r="I40" s="4" t="str">
        <f t="shared" si="61"/>
        <v>AB_RACKx_SLOTa</v>
      </c>
      <c r="J40" s="4"/>
      <c r="K40" s="56" t="str">
        <f t="shared" si="62"/>
        <v>BOOL</v>
      </c>
      <c r="L40" s="56" t="str">
        <f t="shared" si="4"/>
        <v>SYSTEM\SAFE_IO_BLOCKS</v>
      </c>
      <c r="M40" s="56" t="str">
        <f t="shared" si="5"/>
        <v>STELLANTIS\Common\ToolPrototype\Devices</v>
      </c>
      <c r="N40" s="56" t="str">
        <f t="shared" si="6"/>
        <v>STELLANTIS_EIP_AB_SAFE_IO_BLOCK_12IN4OUT_ENET_Sxx_SIOy.v00</v>
      </c>
      <c r="O40" s="56" t="str">
        <f t="shared" si="63"/>
        <v/>
      </c>
      <c r="P40" s="56" t="str">
        <f t="shared" si="64"/>
        <v/>
      </c>
      <c r="Q40" s="56" t="str">
        <f t="shared" si="65"/>
        <v>Sxx_SIOy:</v>
      </c>
      <c r="R40" s="56" t="str">
        <f t="shared" si="66"/>
        <v/>
      </c>
      <c r="S40" s="56" t="str">
        <f t="shared" si="67"/>
        <v/>
      </c>
      <c r="T40" s="56" t="str">
        <f t="shared" si="68"/>
        <v>Sxx_SIOy:I.Pt03OutputStatus</v>
      </c>
      <c r="U40" s="56" t="str">
        <f t="shared" si="69"/>
        <v/>
      </c>
      <c r="V40" s="56" t="str">
        <f t="shared" si="70"/>
        <v/>
      </c>
      <c r="W40" s="56"/>
      <c r="X40" s="56"/>
      <c r="Y40" s="56"/>
      <c r="Z40" s="56" t="str">
        <f t="shared" si="71"/>
        <v/>
      </c>
      <c r="AA40" s="56" t="str">
        <f t="shared" si="72"/>
        <v/>
      </c>
      <c r="AB40" s="56" t="str">
        <f t="shared" si="9"/>
        <v>ToolPrototype</v>
      </c>
      <c r="AC40" s="56" t="str">
        <f t="shared" si="73"/>
        <v>Optional</v>
      </c>
      <c r="AD40" s="56" t="str">
        <f t="shared" si="10"/>
        <v xml:space="preserve"> &lt;device&gt;
    &lt;name&gt;Sxx_SIOy&lt;/name&gt;
    &lt;type&gt;AB_SBK_ENET_12I_4O&lt;/type&gt;
  &lt;/device&gt;
</v>
      </c>
      <c r="AE40" s="56" t="str">
        <f t="shared" si="11"/>
        <v/>
      </c>
      <c r="AF40"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0" s="56" t="str">
        <f t="shared" si="13"/>
        <v/>
      </c>
      <c r="AH40" s="56" t="str">
        <f t="shared" si="14"/>
        <v/>
      </c>
      <c r="AI40" s="56" t="str">
        <f t="shared" si="15"/>
        <v/>
      </c>
      <c r="AJ40" s="56" t="str">
        <f t="shared" si="16"/>
        <v/>
      </c>
      <c r="AK40" s="56" t="str">
        <f t="shared" si="17"/>
        <v/>
      </c>
      <c r="AL40" s="56" t="str">
        <f t="shared" si="18"/>
        <v/>
      </c>
      <c r="AM40" s="56" t="str">
        <f t="shared" si="19"/>
        <v/>
      </c>
      <c r="AN40" s="56" t="str">
        <f t="shared" si="74"/>
        <v/>
      </c>
      <c r="AO40" s="56" t="str">
        <f t="shared" si="75"/>
        <v/>
      </c>
      <c r="AP40" s="56" t="str">
        <f t="shared" si="76"/>
        <v>PSF</v>
      </c>
      <c r="AQ40" s="56" t="str">
        <f t="shared" si="77"/>
        <v>EXIT</v>
      </c>
      <c r="AR40" s="39" t="s">
        <v>131</v>
      </c>
      <c r="AT40" s="44" t="str">
        <f t="shared" si="78"/>
        <v>BOOL</v>
      </c>
      <c r="AU40" s="23">
        <f t="shared" si="79"/>
        <v>0</v>
      </c>
      <c r="AV40" s="23" t="str">
        <f t="shared" si="80"/>
        <v>I</v>
      </c>
      <c r="AW40" s="23" t="str">
        <f t="shared" si="81"/>
        <v xml:space="preserve">I.: </v>
      </c>
      <c r="AX40" s="23" t="str">
        <f t="shared" si="82"/>
        <v>_VC_Sxx_SIOy_I.Pt03OutputStatus</v>
      </c>
      <c r="AY40" s="36" t="str">
        <f t="shared" si="83"/>
        <v xml:space="preserve">Controller: &lt;Sxx_SIOy:I.Pt03OutputStatus&gt; - </v>
      </c>
      <c r="BB40" s="42" t="s">
        <v>17</v>
      </c>
      <c r="BC40" t="s">
        <v>22</v>
      </c>
      <c r="BD40" t="str">
        <f t="shared" si="84"/>
        <v>AB_RACKx_SLOTa</v>
      </c>
      <c r="BG40" t="str">
        <f>Prep!$C$2&amp;":"</f>
        <v>Sxx_SIOy:</v>
      </c>
      <c r="BT40" t="str">
        <f t="shared" si="87"/>
        <v/>
      </c>
      <c r="BV40" s="30" t="s">
        <v>282</v>
      </c>
      <c r="BY40" s="42"/>
      <c r="CB40" s="42"/>
      <c r="CE40" s="30"/>
      <c r="CH40" s="42" t="s">
        <v>66</v>
      </c>
      <c r="CI40" t="s">
        <v>96</v>
      </c>
      <c r="CJ40" t="str">
        <f t="shared" si="85"/>
        <v>Sxx_SIOy:I.</v>
      </c>
      <c r="CK40" t="s">
        <v>282</v>
      </c>
      <c r="CL40" t="s">
        <v>290</v>
      </c>
      <c r="CM40" t="s">
        <v>75</v>
      </c>
      <c r="CN40" s="30" t="str">
        <f t="shared" si="86"/>
        <v>Sxx_SIOy:I.</v>
      </c>
      <c r="CO40" t="s">
        <v>282</v>
      </c>
      <c r="CP40" t="s">
        <v>12</v>
      </c>
      <c r="CQ40" s="40"/>
      <c r="CR40" s="30"/>
    </row>
    <row r="41" spans="2:96" x14ac:dyDescent="0.35">
      <c r="B41" s="4" t="str">
        <f t="shared" si="55"/>
        <v>SAFE_IO_BLOCK_Sxx_SIOy</v>
      </c>
      <c r="C41" s="4"/>
      <c r="D41" s="4" t="str">
        <f t="shared" si="56"/>
        <v>To_PSF_Muting03Status</v>
      </c>
      <c r="E41" s="4" t="str">
        <f t="shared" si="57"/>
        <v>_VC_Sxx_SIOy_I.Muting03Status</v>
      </c>
      <c r="F41" s="4" t="str">
        <f t="shared" si="58"/>
        <v>I</v>
      </c>
      <c r="G41" s="4" t="str">
        <f t="shared" si="59"/>
        <v/>
      </c>
      <c r="H41" s="4" t="str">
        <f t="shared" si="60"/>
        <v>Controller: &lt;Sxx_SIOy:I.Muting03Status&gt; - Muting Lamp 3 Ok</v>
      </c>
      <c r="I41" s="4" t="str">
        <f t="shared" si="61"/>
        <v>AB_RACKx_SLOTa</v>
      </c>
      <c r="J41" s="4"/>
      <c r="K41" s="56" t="str">
        <f t="shared" si="62"/>
        <v>BOOL</v>
      </c>
      <c r="L41" s="56" t="str">
        <f t="shared" si="4"/>
        <v>SYSTEM\SAFE_IO_BLOCKS</v>
      </c>
      <c r="M41" s="56" t="str">
        <f t="shared" si="5"/>
        <v>STELLANTIS\Common\ToolPrototype\Devices</v>
      </c>
      <c r="N41" s="56" t="str">
        <f t="shared" si="6"/>
        <v>STELLANTIS_EIP_AB_SAFE_IO_BLOCK_12IN4OUT_ENET_Sxx_SIOy.v00</v>
      </c>
      <c r="O41" s="56" t="str">
        <f t="shared" si="63"/>
        <v/>
      </c>
      <c r="P41" s="56" t="str">
        <f t="shared" si="64"/>
        <v/>
      </c>
      <c r="Q41" s="56" t="str">
        <f t="shared" si="65"/>
        <v>Sxx_SIOy:</v>
      </c>
      <c r="R41" s="56" t="str">
        <f t="shared" si="66"/>
        <v/>
      </c>
      <c r="S41" s="56" t="str">
        <f t="shared" si="67"/>
        <v/>
      </c>
      <c r="T41" s="56" t="str">
        <f t="shared" si="68"/>
        <v>Sxx_SIOy:I.Muting03Status</v>
      </c>
      <c r="U41" s="56" t="str">
        <f t="shared" si="69"/>
        <v/>
      </c>
      <c r="V41" s="56" t="str">
        <f t="shared" si="70"/>
        <v/>
      </c>
      <c r="W41" s="56"/>
      <c r="X41" s="56"/>
      <c r="Y41" s="56"/>
      <c r="Z41" s="56" t="str">
        <f t="shared" si="71"/>
        <v/>
      </c>
      <c r="AA41" s="56" t="str">
        <f t="shared" si="72"/>
        <v/>
      </c>
      <c r="AB41" s="56" t="str">
        <f t="shared" si="9"/>
        <v>ToolPrototype</v>
      </c>
      <c r="AC41" s="56" t="str">
        <f t="shared" si="73"/>
        <v>Optional</v>
      </c>
      <c r="AD41" s="56" t="str">
        <f t="shared" si="10"/>
        <v xml:space="preserve"> &lt;device&gt;
    &lt;name&gt;Sxx_SIOy&lt;/name&gt;
    &lt;type&gt;AB_SBK_ENET_12I_4O&lt;/type&gt;
  &lt;/device&gt;
</v>
      </c>
      <c r="AE41" s="56" t="str">
        <f t="shared" si="11"/>
        <v/>
      </c>
      <c r="AF41"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1" s="56" t="str">
        <f t="shared" si="13"/>
        <v/>
      </c>
      <c r="AH41" s="56" t="str">
        <f t="shared" si="14"/>
        <v/>
      </c>
      <c r="AI41" s="56" t="str">
        <f t="shared" si="15"/>
        <v/>
      </c>
      <c r="AJ41" s="56" t="str">
        <f t="shared" si="16"/>
        <v/>
      </c>
      <c r="AK41" s="56" t="str">
        <f t="shared" si="17"/>
        <v/>
      </c>
      <c r="AL41" s="56" t="str">
        <f t="shared" si="18"/>
        <v/>
      </c>
      <c r="AM41" s="56" t="str">
        <f t="shared" si="19"/>
        <v/>
      </c>
      <c r="AN41" s="56" t="str">
        <f t="shared" si="74"/>
        <v/>
      </c>
      <c r="AO41" s="56" t="str">
        <f t="shared" si="75"/>
        <v/>
      </c>
      <c r="AP41" s="56" t="str">
        <f t="shared" si="76"/>
        <v>PSF</v>
      </c>
      <c r="AQ41" s="56" t="str">
        <f t="shared" si="77"/>
        <v>EXIT</v>
      </c>
      <c r="AR41" s="39" t="s">
        <v>131</v>
      </c>
      <c r="AT41" s="44" t="str">
        <f t="shared" si="78"/>
        <v>BOOL</v>
      </c>
      <c r="AU41" s="23">
        <f t="shared" si="79"/>
        <v>0</v>
      </c>
      <c r="AV41" s="23" t="str">
        <f t="shared" si="80"/>
        <v>I</v>
      </c>
      <c r="AW41" s="23" t="str">
        <f t="shared" si="81"/>
        <v xml:space="preserve">I.: </v>
      </c>
      <c r="AX41" s="23" t="str">
        <f t="shared" si="82"/>
        <v>_VC_Sxx_SIOy_I.Muting03Status</v>
      </c>
      <c r="AY41" s="36" t="str">
        <f t="shared" si="83"/>
        <v xml:space="preserve">Controller: &lt;Sxx_SIOy:I.Muting03Status&gt; - </v>
      </c>
      <c r="BB41" s="42" t="s">
        <v>17</v>
      </c>
      <c r="BC41" t="s">
        <v>22</v>
      </c>
      <c r="BD41" t="str">
        <f t="shared" si="84"/>
        <v>AB_RACKx_SLOTa</v>
      </c>
      <c r="BG41" t="str">
        <f>Prep!$C$2&amp;":"</f>
        <v>Sxx_SIOy:</v>
      </c>
      <c r="BT41" t="str">
        <f t="shared" si="87"/>
        <v/>
      </c>
      <c r="BV41" s="30" t="s">
        <v>258</v>
      </c>
      <c r="BY41" s="42"/>
      <c r="CB41" s="42"/>
      <c r="CE41" s="30"/>
      <c r="CH41" s="42" t="s">
        <v>66</v>
      </c>
      <c r="CI41" t="s">
        <v>96</v>
      </c>
      <c r="CJ41" t="str">
        <f t="shared" si="85"/>
        <v>Sxx_SIOy:I.</v>
      </c>
      <c r="CK41" t="s">
        <v>258</v>
      </c>
      <c r="CL41" t="s">
        <v>290</v>
      </c>
      <c r="CM41" t="s">
        <v>75</v>
      </c>
      <c r="CN41" s="30" t="str">
        <f t="shared" si="86"/>
        <v>Sxx_SIOy:I.</v>
      </c>
      <c r="CO41" t="s">
        <v>258</v>
      </c>
      <c r="CP41" t="s">
        <v>12</v>
      </c>
      <c r="CQ41" s="40"/>
      <c r="CR41" s="30" t="s">
        <v>305</v>
      </c>
    </row>
    <row r="42" spans="2:96" x14ac:dyDescent="0.35">
      <c r="B42" s="4" t="str">
        <f t="shared" si="55"/>
        <v>SAFE_IO_BLOCK_Sxx_SIOy</v>
      </c>
      <c r="C42" s="4"/>
      <c r="D42" s="4" t="str">
        <f t="shared" si="56"/>
        <v>To_PSF_Muting07Status</v>
      </c>
      <c r="E42" s="4" t="str">
        <f t="shared" si="57"/>
        <v>_VC_Sxx_SIOy_I.Muting07Status</v>
      </c>
      <c r="F42" s="4" t="str">
        <f t="shared" si="58"/>
        <v>I</v>
      </c>
      <c r="G42" s="4" t="str">
        <f t="shared" si="59"/>
        <v/>
      </c>
      <c r="H42" s="4" t="str">
        <f t="shared" si="60"/>
        <v>Controller: &lt;Sxx_SIOy:I.Muting07Status&gt; - Muting Lamp 7 Ok</v>
      </c>
      <c r="I42" s="4" t="str">
        <f t="shared" si="61"/>
        <v>AB_RACKx_SLOTa</v>
      </c>
      <c r="J42" s="4"/>
      <c r="K42" s="56" t="str">
        <f t="shared" si="62"/>
        <v>BOOL</v>
      </c>
      <c r="L42" s="56" t="str">
        <f t="shared" si="4"/>
        <v>SYSTEM\SAFE_IO_BLOCKS</v>
      </c>
      <c r="M42" s="56" t="str">
        <f t="shared" si="5"/>
        <v>STELLANTIS\Common\ToolPrototype\Devices</v>
      </c>
      <c r="N42" s="56" t="str">
        <f t="shared" si="6"/>
        <v>STELLANTIS_EIP_AB_SAFE_IO_BLOCK_12IN4OUT_ENET_Sxx_SIOy.v00</v>
      </c>
      <c r="O42" s="56" t="str">
        <f t="shared" si="63"/>
        <v/>
      </c>
      <c r="P42" s="56" t="str">
        <f t="shared" si="64"/>
        <v/>
      </c>
      <c r="Q42" s="56" t="str">
        <f t="shared" si="65"/>
        <v>Sxx_SIOy:</v>
      </c>
      <c r="R42" s="56" t="str">
        <f t="shared" si="66"/>
        <v/>
      </c>
      <c r="S42" s="56" t="str">
        <f t="shared" si="67"/>
        <v/>
      </c>
      <c r="T42" s="56" t="str">
        <f t="shared" si="68"/>
        <v>Sxx_SIOy:I.Muting07Status</v>
      </c>
      <c r="U42" s="56" t="str">
        <f t="shared" si="69"/>
        <v/>
      </c>
      <c r="V42" s="56" t="str">
        <f t="shared" si="70"/>
        <v/>
      </c>
      <c r="W42" s="56"/>
      <c r="X42" s="56"/>
      <c r="Y42" s="56"/>
      <c r="Z42" s="56" t="str">
        <f t="shared" si="71"/>
        <v/>
      </c>
      <c r="AA42" s="56" t="str">
        <f t="shared" si="72"/>
        <v/>
      </c>
      <c r="AB42" s="56" t="str">
        <f t="shared" si="9"/>
        <v>ToolPrototype</v>
      </c>
      <c r="AC42" s="56" t="str">
        <f t="shared" si="73"/>
        <v>Optional</v>
      </c>
      <c r="AD42" s="56" t="str">
        <f t="shared" si="10"/>
        <v xml:space="preserve"> &lt;device&gt;
    &lt;name&gt;Sxx_SIOy&lt;/name&gt;
    &lt;type&gt;AB_SBK_ENET_12I_4O&lt;/type&gt;
  &lt;/device&gt;
</v>
      </c>
      <c r="AE42" s="56" t="str">
        <f t="shared" si="11"/>
        <v/>
      </c>
      <c r="AF42"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2" s="56" t="str">
        <f t="shared" si="13"/>
        <v/>
      </c>
      <c r="AH42" s="56" t="str">
        <f t="shared" si="14"/>
        <v/>
      </c>
      <c r="AI42" s="56" t="str">
        <f t="shared" si="15"/>
        <v/>
      </c>
      <c r="AJ42" s="56" t="str">
        <f t="shared" si="16"/>
        <v/>
      </c>
      <c r="AK42" s="56" t="str">
        <f t="shared" si="17"/>
        <v/>
      </c>
      <c r="AL42" s="56" t="str">
        <f t="shared" si="18"/>
        <v/>
      </c>
      <c r="AM42" s="56" t="str">
        <f t="shared" si="19"/>
        <v/>
      </c>
      <c r="AN42" s="56" t="str">
        <f t="shared" si="74"/>
        <v/>
      </c>
      <c r="AO42" s="56" t="str">
        <f t="shared" si="75"/>
        <v/>
      </c>
      <c r="AP42" s="56" t="str">
        <f t="shared" si="76"/>
        <v>PSF</v>
      </c>
      <c r="AQ42" s="56" t="str">
        <f t="shared" si="77"/>
        <v>EXIT</v>
      </c>
      <c r="AR42" s="39" t="s">
        <v>131</v>
      </c>
      <c r="AT42" s="44" t="str">
        <f t="shared" si="78"/>
        <v>BOOL</v>
      </c>
      <c r="AU42" s="23">
        <f t="shared" si="79"/>
        <v>0</v>
      </c>
      <c r="AV42" s="23" t="str">
        <f t="shared" si="80"/>
        <v>I</v>
      </c>
      <c r="AW42" s="23" t="str">
        <f t="shared" si="81"/>
        <v xml:space="preserve">I.: </v>
      </c>
      <c r="AX42" s="23" t="str">
        <f t="shared" si="82"/>
        <v>_VC_Sxx_SIOy_I.Muting07Status</v>
      </c>
      <c r="AY42" s="36" t="str">
        <f t="shared" si="83"/>
        <v xml:space="preserve">Controller: &lt;Sxx_SIOy:I.Muting07Status&gt; - </v>
      </c>
      <c r="BB42" s="42" t="s">
        <v>17</v>
      </c>
      <c r="BC42" t="s">
        <v>22</v>
      </c>
      <c r="BD42" t="str">
        <f t="shared" si="84"/>
        <v>AB_RACKx_SLOTa</v>
      </c>
      <c r="BG42" t="str">
        <f>Prep!$C$2&amp;":"</f>
        <v>Sxx_SIOy:</v>
      </c>
      <c r="BT42" t="str">
        <f t="shared" si="87"/>
        <v/>
      </c>
      <c r="BV42" s="30" t="s">
        <v>259</v>
      </c>
      <c r="BY42" s="42"/>
      <c r="CB42" s="42"/>
      <c r="CE42" s="30"/>
      <c r="CH42" s="42" t="s">
        <v>66</v>
      </c>
      <c r="CI42" t="s">
        <v>96</v>
      </c>
      <c r="CJ42" t="str">
        <f t="shared" si="85"/>
        <v>Sxx_SIOy:I.</v>
      </c>
      <c r="CK42" t="s">
        <v>259</v>
      </c>
      <c r="CL42" t="s">
        <v>290</v>
      </c>
      <c r="CM42" t="s">
        <v>75</v>
      </c>
      <c r="CN42" s="30" t="str">
        <f t="shared" si="86"/>
        <v>Sxx_SIOy:I.</v>
      </c>
      <c r="CO42" t="s">
        <v>259</v>
      </c>
      <c r="CP42" t="s">
        <v>12</v>
      </c>
      <c r="CQ42" s="40"/>
      <c r="CR42" s="30" t="s">
        <v>306</v>
      </c>
    </row>
    <row r="43" spans="2:96" x14ac:dyDescent="0.35">
      <c r="B43" s="4" t="str">
        <f t="shared" si="55"/>
        <v>SAFE_IO_BLOCK_Sxx_SIOy</v>
      </c>
      <c r="C43" s="4"/>
      <c r="D43" s="4" t="str">
        <f t="shared" si="56"/>
        <v>To_PSF_Muting11Status</v>
      </c>
      <c r="E43" s="4" t="str">
        <f t="shared" si="57"/>
        <v>_VC_Sxx_SIOy_I.Muting11Status</v>
      </c>
      <c r="F43" s="4" t="str">
        <f t="shared" si="58"/>
        <v>I</v>
      </c>
      <c r="G43" s="4" t="str">
        <f t="shared" si="59"/>
        <v/>
      </c>
      <c r="H43" s="4" t="str">
        <f t="shared" si="60"/>
        <v>Controller: &lt;Sxx_SIOy:I.Muting11Status&gt; - Muting Lamp 11 Ok</v>
      </c>
      <c r="I43" s="4" t="str">
        <f t="shared" si="61"/>
        <v>AB_RACKx_SLOTa</v>
      </c>
      <c r="J43" s="4"/>
      <c r="K43" s="56" t="str">
        <f t="shared" si="62"/>
        <v>BOOL</v>
      </c>
      <c r="L43" s="56" t="str">
        <f t="shared" si="4"/>
        <v>SYSTEM\SAFE_IO_BLOCKS</v>
      </c>
      <c r="M43" s="56" t="str">
        <f t="shared" si="5"/>
        <v>STELLANTIS\Common\ToolPrototype\Devices</v>
      </c>
      <c r="N43" s="56" t="str">
        <f t="shared" si="6"/>
        <v>STELLANTIS_EIP_AB_SAFE_IO_BLOCK_12IN4OUT_ENET_Sxx_SIOy.v00</v>
      </c>
      <c r="O43" s="56" t="str">
        <f t="shared" si="63"/>
        <v/>
      </c>
      <c r="P43" s="56" t="str">
        <f t="shared" si="64"/>
        <v/>
      </c>
      <c r="Q43" s="56" t="str">
        <f t="shared" si="65"/>
        <v>Sxx_SIOy:</v>
      </c>
      <c r="R43" s="56" t="str">
        <f t="shared" si="66"/>
        <v/>
      </c>
      <c r="S43" s="56" t="str">
        <f t="shared" si="67"/>
        <v/>
      </c>
      <c r="T43" s="56" t="str">
        <f t="shared" si="68"/>
        <v>Sxx_SIOy:I.Muting11Status</v>
      </c>
      <c r="U43" s="56" t="str">
        <f t="shared" si="69"/>
        <v/>
      </c>
      <c r="V43" s="56" t="str">
        <f t="shared" si="70"/>
        <v/>
      </c>
      <c r="W43" s="56"/>
      <c r="X43" s="56"/>
      <c r="Y43" s="56"/>
      <c r="Z43" s="56" t="str">
        <f t="shared" si="71"/>
        <v/>
      </c>
      <c r="AA43" s="56" t="str">
        <f t="shared" si="72"/>
        <v/>
      </c>
      <c r="AB43" s="56" t="str">
        <f t="shared" si="9"/>
        <v>ToolPrototype</v>
      </c>
      <c r="AC43" s="56" t="str">
        <f t="shared" si="73"/>
        <v>Optional</v>
      </c>
      <c r="AD43" s="56" t="str">
        <f t="shared" si="10"/>
        <v xml:space="preserve"> &lt;device&gt;
    &lt;name&gt;Sxx_SIOy&lt;/name&gt;
    &lt;type&gt;AB_SBK_ENET_12I_4O&lt;/type&gt;
  &lt;/device&gt;
</v>
      </c>
      <c r="AE43" s="56" t="str">
        <f t="shared" si="11"/>
        <v/>
      </c>
      <c r="AF43"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3" s="56" t="str">
        <f t="shared" si="13"/>
        <v/>
      </c>
      <c r="AH43" s="56" t="str">
        <f t="shared" si="14"/>
        <v/>
      </c>
      <c r="AI43" s="56" t="str">
        <f t="shared" si="15"/>
        <v/>
      </c>
      <c r="AJ43" s="56" t="str">
        <f t="shared" si="16"/>
        <v/>
      </c>
      <c r="AK43" s="56" t="str">
        <f t="shared" si="17"/>
        <v/>
      </c>
      <c r="AL43" s="56" t="str">
        <f t="shared" si="18"/>
        <v/>
      </c>
      <c r="AM43" s="56" t="str">
        <f t="shared" si="19"/>
        <v/>
      </c>
      <c r="AN43" s="56" t="str">
        <f t="shared" si="74"/>
        <v/>
      </c>
      <c r="AO43" s="56" t="str">
        <f t="shared" si="75"/>
        <v/>
      </c>
      <c r="AP43" s="56" t="str">
        <f t="shared" si="76"/>
        <v>PSF</v>
      </c>
      <c r="AQ43" s="56" t="str">
        <f t="shared" si="77"/>
        <v>EXIT</v>
      </c>
      <c r="AR43" s="39" t="s">
        <v>131</v>
      </c>
      <c r="AT43" s="44" t="str">
        <f t="shared" si="78"/>
        <v>BOOL</v>
      </c>
      <c r="AU43" s="23">
        <f t="shared" si="79"/>
        <v>0</v>
      </c>
      <c r="AV43" s="23" t="str">
        <f t="shared" si="80"/>
        <v>I</v>
      </c>
      <c r="AW43" s="23" t="str">
        <f t="shared" si="81"/>
        <v xml:space="preserve">I.: </v>
      </c>
      <c r="AX43" s="23" t="str">
        <f t="shared" si="82"/>
        <v>_VC_Sxx_SIOy_I.Muting11Status</v>
      </c>
      <c r="AY43" s="36" t="str">
        <f t="shared" si="83"/>
        <v xml:space="preserve">Controller: &lt;Sxx_SIOy:I.Muting11Status&gt; - </v>
      </c>
      <c r="BB43" s="42" t="s">
        <v>17</v>
      </c>
      <c r="BC43" t="s">
        <v>22</v>
      </c>
      <c r="BD43" t="str">
        <f t="shared" si="84"/>
        <v>AB_RACKx_SLOTa</v>
      </c>
      <c r="BG43" t="str">
        <f>Prep!$C$2&amp;":"</f>
        <v>Sxx_SIOy:</v>
      </c>
      <c r="BT43" t="str">
        <f t="shared" si="87"/>
        <v/>
      </c>
      <c r="BV43" s="30" t="s">
        <v>307</v>
      </c>
      <c r="BY43" s="42"/>
      <c r="CB43" s="42"/>
      <c r="CE43" s="30"/>
      <c r="CH43" s="42" t="s">
        <v>66</v>
      </c>
      <c r="CI43" t="s">
        <v>96</v>
      </c>
      <c r="CJ43" t="str">
        <f t="shared" si="85"/>
        <v>Sxx_SIOy:I.</v>
      </c>
      <c r="CK43" t="s">
        <v>307</v>
      </c>
      <c r="CL43" t="s">
        <v>290</v>
      </c>
      <c r="CM43" t="s">
        <v>75</v>
      </c>
      <c r="CN43" s="30" t="str">
        <f t="shared" si="86"/>
        <v>Sxx_SIOy:I.</v>
      </c>
      <c r="CO43" t="s">
        <v>307</v>
      </c>
      <c r="CP43" t="s">
        <v>12</v>
      </c>
      <c r="CQ43" s="40"/>
      <c r="CR43" s="30" t="s">
        <v>308</v>
      </c>
    </row>
    <row r="44" spans="2:96" x14ac:dyDescent="0.35">
      <c r="B44" s="4" t="str">
        <f t="shared" si="55"/>
        <v>SAFE_IO_BLOCK_Sxx_SIOy</v>
      </c>
      <c r="C44" s="4"/>
      <c r="D44" s="4" t="str">
        <f t="shared" si="56"/>
        <v>To_PSF_OutputPowerStatus</v>
      </c>
      <c r="E44" s="4" t="str">
        <f t="shared" si="57"/>
        <v>_VC_Sxx_SIOy_I.OutputPowerStatus</v>
      </c>
      <c r="F44" s="4" t="str">
        <f t="shared" si="58"/>
        <v>I</v>
      </c>
      <c r="G44" s="4" t="str">
        <f t="shared" si="59"/>
        <v/>
      </c>
      <c r="H44" s="4" t="str">
        <f t="shared" si="60"/>
        <v>Controller: &lt;Sxx_SIOy:I.OutputPowerStatus&gt; - All Outputs Ok</v>
      </c>
      <c r="I44" s="4" t="str">
        <f t="shared" si="61"/>
        <v>AB_RACKx_SLOTa</v>
      </c>
      <c r="J44" s="4"/>
      <c r="K44" s="56" t="str">
        <f t="shared" si="62"/>
        <v>BOOL</v>
      </c>
      <c r="L44" s="56" t="str">
        <f t="shared" si="4"/>
        <v>SYSTEM\SAFE_IO_BLOCKS</v>
      </c>
      <c r="M44" s="56" t="str">
        <f t="shared" si="5"/>
        <v>STELLANTIS\Common\ToolPrototype\Devices</v>
      </c>
      <c r="N44" s="56" t="str">
        <f t="shared" si="6"/>
        <v>STELLANTIS_EIP_AB_SAFE_IO_BLOCK_12IN4OUT_ENET_Sxx_SIOy.v00</v>
      </c>
      <c r="O44" s="56" t="str">
        <f t="shared" si="63"/>
        <v/>
      </c>
      <c r="P44" s="56" t="str">
        <f t="shared" si="64"/>
        <v/>
      </c>
      <c r="Q44" s="56" t="str">
        <f t="shared" si="65"/>
        <v>Sxx_SIOy:</v>
      </c>
      <c r="R44" s="56" t="str">
        <f t="shared" si="66"/>
        <v/>
      </c>
      <c r="S44" s="56" t="str">
        <f t="shared" si="67"/>
        <v/>
      </c>
      <c r="T44" s="56" t="str">
        <f t="shared" si="68"/>
        <v>Sxx_SIOy:I.OutputPowerStatus</v>
      </c>
      <c r="U44" s="56" t="str">
        <f t="shared" si="69"/>
        <v/>
      </c>
      <c r="V44" s="56" t="str">
        <f t="shared" si="70"/>
        <v/>
      </c>
      <c r="W44" s="56"/>
      <c r="X44" s="56"/>
      <c r="Y44" s="56"/>
      <c r="Z44" s="56" t="str">
        <f t="shared" si="71"/>
        <v/>
      </c>
      <c r="AA44" s="56" t="str">
        <f t="shared" si="72"/>
        <v/>
      </c>
      <c r="AB44" s="56" t="str">
        <f t="shared" si="9"/>
        <v>ToolPrototype</v>
      </c>
      <c r="AC44" s="56" t="str">
        <f t="shared" si="73"/>
        <v>Optional</v>
      </c>
      <c r="AD44" s="56" t="str">
        <f t="shared" si="10"/>
        <v xml:space="preserve"> &lt;device&gt;
    &lt;name&gt;Sxx_SIOy&lt;/name&gt;
    &lt;type&gt;AB_SBK_ENET_12I_4O&lt;/type&gt;
  &lt;/device&gt;
</v>
      </c>
      <c r="AE44" s="56" t="str">
        <f t="shared" si="11"/>
        <v/>
      </c>
      <c r="AF44"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4" s="56" t="str">
        <f t="shared" si="13"/>
        <v/>
      </c>
      <c r="AH44" s="56" t="str">
        <f t="shared" si="14"/>
        <v/>
      </c>
      <c r="AI44" s="56" t="str">
        <f t="shared" si="15"/>
        <v/>
      </c>
      <c r="AJ44" s="56" t="str">
        <f t="shared" si="16"/>
        <v/>
      </c>
      <c r="AK44" s="56" t="str">
        <f t="shared" si="17"/>
        <v/>
      </c>
      <c r="AL44" s="56" t="str">
        <f t="shared" si="18"/>
        <v/>
      </c>
      <c r="AM44" s="56" t="str">
        <f t="shared" si="19"/>
        <v/>
      </c>
      <c r="AN44" s="56" t="str">
        <f t="shared" si="74"/>
        <v/>
      </c>
      <c r="AO44" s="56" t="str">
        <f t="shared" si="75"/>
        <v/>
      </c>
      <c r="AP44" s="56" t="str">
        <f t="shared" si="76"/>
        <v>PSF</v>
      </c>
      <c r="AQ44" s="56" t="str">
        <f t="shared" si="77"/>
        <v>EXIT</v>
      </c>
      <c r="AR44" s="39" t="s">
        <v>131</v>
      </c>
      <c r="AT44" s="44" t="str">
        <f t="shared" si="78"/>
        <v>BOOL</v>
      </c>
      <c r="AU44" s="23">
        <f t="shared" si="79"/>
        <v>0</v>
      </c>
      <c r="AV44" s="23" t="str">
        <f t="shared" si="80"/>
        <v>I</v>
      </c>
      <c r="AW44" s="23" t="str">
        <f t="shared" si="81"/>
        <v xml:space="preserve">I.: </v>
      </c>
      <c r="AX44" s="23" t="str">
        <f t="shared" si="82"/>
        <v>_VC_Sxx_SIOy_I.OutputPowerStatus</v>
      </c>
      <c r="AY44" s="36" t="str">
        <f t="shared" si="83"/>
        <v xml:space="preserve">Controller: &lt;Sxx_SIOy:I.OutputPowerStatus&gt; - </v>
      </c>
      <c r="BB44" s="42" t="s">
        <v>17</v>
      </c>
      <c r="BC44" t="s">
        <v>22</v>
      </c>
      <c r="BD44" t="str">
        <f t="shared" si="84"/>
        <v>AB_RACKx_SLOTa</v>
      </c>
      <c r="BG44" t="str">
        <f>Prep!$C$2&amp;":"</f>
        <v>Sxx_SIOy:</v>
      </c>
      <c r="BT44" t="str">
        <f t="shared" si="87"/>
        <v/>
      </c>
      <c r="BV44" s="30" t="s">
        <v>309</v>
      </c>
      <c r="BY44" s="42"/>
      <c r="CB44" s="42"/>
      <c r="CE44" s="30"/>
      <c r="CH44" s="42" t="s">
        <v>66</v>
      </c>
      <c r="CI44" t="s">
        <v>96</v>
      </c>
      <c r="CJ44" t="str">
        <f t="shared" si="85"/>
        <v>Sxx_SIOy:I.</v>
      </c>
      <c r="CK44" t="s">
        <v>309</v>
      </c>
      <c r="CL44" t="s">
        <v>290</v>
      </c>
      <c r="CM44" t="s">
        <v>75</v>
      </c>
      <c r="CN44" s="30" t="str">
        <f t="shared" si="86"/>
        <v>Sxx_SIOy:I.</v>
      </c>
      <c r="CO44" t="s">
        <v>309</v>
      </c>
      <c r="CP44" t="s">
        <v>12</v>
      </c>
      <c r="CQ44" s="40"/>
      <c r="CR44" s="30" t="s">
        <v>310</v>
      </c>
    </row>
    <row r="45" spans="2:96" x14ac:dyDescent="0.35">
      <c r="B45" s="4" t="str">
        <f t="shared" ref="B45" si="88">IF(LEN(BT45)=0,Header_LB_Name,"&lt;BLANK&gt;")</f>
        <v>SAFE_IO_BLOCK_Sxx_SIOy</v>
      </c>
      <c r="C45" s="4"/>
      <c r="D45" s="4" t="str">
        <f t="shared" ref="D45" si="89">IF(BC45="CUSTOM",BV45,IF(BB45="ENTRY","From_",IF(BB45="EXIT","To_","&lt;invalid&gt;"))&amp;IF(OR(BC45="RBT",BC45="KEY",BC45="SNS"),IF(BE45="",BC45,BC45&amp;"_"&amp;BE45),IF(BC45="OPR",IF(BE45="",BC45&amp;"_"&amp;BD45,BC45&amp;"_"&amp;BE45),IF(BC45="LBS",IF(BE45="",BD45,BE45),BC45)))&amp;"_"&amp;IF(BC45="OPR",IF(BB45="ENTRY","end",IF(BB45="EXIT","start","&lt;invalid&gt;")),BV45))</f>
        <v>To_PSF_InputPowerStatus</v>
      </c>
      <c r="E45" s="4" t="str">
        <f t="shared" ref="E45" si="90">IF(OR(BC45="PLC",BC45="PSF"),IF(Header_PLC_Type="CLX",AX45,IF(LEFT(Header_PLC_Type,2)="S7",AU45,"&lt;invalid PLC type&gt;")),IF(BB45="ENTRY",IF(BC45="LBS",IF(BD45&lt;&gt;"",IF(BF45="",BC45&amp;"_"&amp;BD45&amp;"_To_"&amp;B45&amp;"_"&amp;BV45,BC45&amp;"_"&amp;BD45&amp;"_To_"&amp;BF45&amp;"_"&amp;BV45),"&lt;missing other LB/group name&gt;"),IF(OR(BC45="SNS",BC45="KEY"),IF(BD45&lt;&gt;"",BC45&amp;"_"&amp;BD45&amp;"_"&amp;BV45,"&lt;missing unique identifier&gt;"),IF(OR(BC45="RBT",BC45="OPR"),IF(BD45&lt;&gt;"",BD45&amp;"_"&amp;IF(BC45="OPR","end",IF(BG45&lt;&gt;"",BG45,BV45)),"&lt;missing unique identifier&gt;"),IF(BC45="CUSTOM",BD45,"&lt;invalid connection&gt;")))),IF(BB45="EXIT",IF(BC45="LBS",IF(BD45&lt;&gt;"",BC45&amp;"_"&amp;B45&amp;"_To_"&amp;BD45&amp;"_"&amp;BV45,"&lt;missing other LB/group name&gt;"),IF(OR(BC45="RBT",BC45="OPR"),IF(BD45&lt;&gt;"",BD45&amp;"_"&amp;IF(BC45="OPR","start",IF(BG45&lt;&gt;"",BG45,BV45)),"&lt;missing unique identifier&gt;"),IF(BC45="CUSTOM",BD45,"&lt;invalid connection (sensor or key signal can't be exit)&gt;"))),"&lt;invalid entry/exit&gt;")))</f>
        <v>_VC_Sxx_SIOy_I.InputPowerStatus</v>
      </c>
      <c r="F45" s="4" t="str">
        <f t="shared" ref="F45" si="91">IF(BC45="CUSTOM",BE45,IF(OR(AND(BB45="ENTRY",OR(BC45="PLC",BC45="PSF")),AND(BB45="EXIT",OR(BC45="RBT",BC45="OPR"))),"Q","I"))</f>
        <v>I</v>
      </c>
      <c r="G45" s="4" t="str">
        <f t="shared" ref="G45" si="92">IF(Header_PLC_Type="S7-ADD",IF(OR(BC45="PSF",BC45="PLC"),IF(BY45&lt;&gt;"",IF(AT45="BOOL",BY45&amp;"."&amp;BZ45,BY45),"&lt;missing&gt;"),""),"")</f>
        <v/>
      </c>
      <c r="H45" s="4" t="str">
        <f t="shared" ref="H45" si="93">IF(OR(BC45="PLC",BC45="PSF"),IF(Header_PLC_Type="CLX",AY45&amp;CR45,IF(LEFT(Header_PLC_Type,2)="S7",AW45&amp;CE45,"&lt;invalid PLC type&gt;")),IF(Header_PLC_Type="CLX",IF(CR45&lt;&gt;"",CR45,""),IF(LEFT(Header_PLC_Type,2)="S7",IF(CE45&lt;&gt;"",CE45,""),"&lt;invalid PLC type&gt;")))</f>
        <v>Controller: &lt;Sxx_SIOy:I.InputPowerStatus&gt; - All Inputs Ok</v>
      </c>
      <c r="I45" s="4" t="str">
        <f t="shared" ref="I45" si="94">IF(OR(BC45="PLC",BC45="PSF"),BD45,IF(AND(BC45="CUSTOM",BF45&lt;&gt;""),BF45,""))</f>
        <v>AB_RACKx_SLOTa</v>
      </c>
      <c r="J45" s="4"/>
      <c r="K45" s="56" t="str">
        <f t="shared" ref="K45" si="95">AT45</f>
        <v>BOOL</v>
      </c>
      <c r="L45" s="56" t="str">
        <f t="shared" si="4"/>
        <v>SYSTEM\SAFE_IO_BLOCKS</v>
      </c>
      <c r="M45" s="56" t="str">
        <f t="shared" si="5"/>
        <v>STELLANTIS\Common\ToolPrototype\Devices</v>
      </c>
      <c r="N45" s="56" t="str">
        <f t="shared" si="6"/>
        <v>STELLANTIS_EIP_AB_SAFE_IO_BLOCK_12IN4OUT_ENET_Sxx_SIOy.v00</v>
      </c>
      <c r="O45" s="56" t="str">
        <f t="shared" ref="O45" si="96">IF(AND(OR(BC45="SNS",BC45="OPR",BC45="RBT"),BF45&lt;&gt;""),BF45,IF(OR(BC45="PSF",BC45="PLC"),IF(BB45="ENTRY",IF(OR(ISLOGICAL(BF45),ISNUMBER(BF45)),LOWER(TEXT(BF45,"General")),IF((ISTEXT(BF45)),"CEE_To_VC_"&amp;BE45&amp;"_"&amp;BF45,"")),IF((ISTEXT(BF45)),"CEE_From_VC_"&amp;BE45&amp;"_"&amp;BF45,"")),IF(BC45="CUSTOM",IF(BH45&lt;&gt;"",BH45,""),"")))</f>
        <v/>
      </c>
      <c r="P45" s="56" t="str">
        <f t="shared" ref="P45" si="97">IF(OR(BC45="SNS",BC45="OPR"),IF(BG45&lt;&gt;"",BG45,""),IF(BC45="RBT",BD45,IF(BC45="CUSTOM",IF(BG45&lt;&gt;"",BG45,""),"")))</f>
        <v/>
      </c>
      <c r="Q45" s="56" t="str">
        <f t="shared" ref="Q45" si="98">IF(BC45="OPR",IF(BV45&lt;&gt;"",BV45,"NONSIM"),IF(BC45="RBT",IF(BH45&lt;&gt;"",BH45,""),IF(BC45="SNS",IF(BH45&lt;&gt;"",BH45,L45),IF(OR(BC45="PLC",BC45="PSF"),IF(BG45&lt;&gt;"",BG45,""),""))))</f>
        <v>Sxx_SIOy:</v>
      </c>
      <c r="R45" s="56" t="str">
        <f t="shared" ref="R45" si="99">IF(OR(BC45="PLC",BC45="PSF",BC45="OPR"),IF(BH45&lt;&gt;"",BH45,""),IF(BC45="RBT",IF(BI45&lt;&gt;"",BI45,""),IF(BC45="SNS",IF(BI45&lt;&gt;"",BI45,"PHOTOELECTRIC"),"")))</f>
        <v/>
      </c>
      <c r="S45" s="56" t="str">
        <f t="shared" ref="S45" si="100">IF(OR(BC45="PLC",BC45="PSF",BC45="OPR",AND(BC45="CUSTOM",OR(BU45="PLC",BU45="PSF"))),IF(BI45&lt;&gt;"",BI45,""),IF(BC45="SNS",IF(BJ45&lt;&gt;"",BJ45,""),""))</f>
        <v/>
      </c>
      <c r="T45" s="56" t="str">
        <f t="shared" ref="T45" si="101">IF(AND(Header_PLC_Type="CLX",BC45="PSF",BB45="EXIT"),CJ45&amp;CK45,IF(BC45="OPR",IF(BJ45&lt;&gt;"",BJ45,""),""))</f>
        <v>Sxx_SIOy:I.InputPowerStatus</v>
      </c>
      <c r="U45" s="56" t="str">
        <f t="shared" ref="U45" si="102">IF(OR(BC45="SNS",BC45="OPR"),IF(BK45&lt;&gt;"",BK45,""),"")</f>
        <v/>
      </c>
      <c r="V45" s="56" t="str">
        <f t="shared" ref="V45" si="103">IF(OR(BC45="SNS",BC45="OPR"),IF(BL45&lt;&gt;"",BL45,""),"")</f>
        <v/>
      </c>
      <c r="W45" s="56"/>
      <c r="X45" s="56"/>
      <c r="Y45" s="56"/>
      <c r="Z45" s="56" t="str">
        <f t="shared" ref="Z45" si="104">IF(BP45="","",BP45)</f>
        <v/>
      </c>
      <c r="AA45" s="56" t="str">
        <f t="shared" ref="AA45" si="105">IF($BQ45="","",$BQ45)</f>
        <v/>
      </c>
      <c r="AB45" s="56" t="str">
        <f t="shared" si="9"/>
        <v>ToolPrototype</v>
      </c>
      <c r="AC45" s="56" t="str">
        <f t="shared" ref="AC45" si="106">IF(ISBLANK(BT45),"","Optional")</f>
        <v>Optional</v>
      </c>
      <c r="AD45" s="56" t="str">
        <f t="shared" si="10"/>
        <v xml:space="preserve"> &lt;device&gt;
    &lt;name&gt;Sxx_SIOy&lt;/name&gt;
    &lt;type&gt;AB_SBK_ENET_12I_4O&lt;/type&gt;
  &lt;/device&gt;
</v>
      </c>
      <c r="AE45" s="56" t="str">
        <f t="shared" si="11"/>
        <v/>
      </c>
      <c r="AF45" s="56" t="str">
        <f t="shared" si="1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5" s="56" t="str">
        <f t="shared" si="13"/>
        <v/>
      </c>
      <c r="AH45" s="56" t="str">
        <f t="shared" si="14"/>
        <v/>
      </c>
      <c r="AI45" s="56" t="str">
        <f t="shared" si="15"/>
        <v/>
      </c>
      <c r="AJ45" s="56" t="str">
        <f t="shared" si="16"/>
        <v/>
      </c>
      <c r="AK45" s="56" t="str">
        <f t="shared" si="17"/>
        <v/>
      </c>
      <c r="AL45" s="56" t="str">
        <f t="shared" si="18"/>
        <v/>
      </c>
      <c r="AM45" s="56" t="str">
        <f t="shared" si="19"/>
        <v/>
      </c>
      <c r="AN45" s="56" t="str">
        <f t="shared" ref="AN45" si="107">IF(BR45&lt;&gt;"",BR45,"")</f>
        <v/>
      </c>
      <c r="AO45" s="56" t="str">
        <f t="shared" ref="AO45" si="108">IF(BS45&lt;&gt;"",BS45,"")</f>
        <v/>
      </c>
      <c r="AP45" s="56" t="str">
        <f t="shared" ref="AP45" si="109">IF(BC45&lt;&gt;"CUSTOM",BC45,BU45)</f>
        <v>PSF</v>
      </c>
      <c r="AQ45" s="56" t="str">
        <f t="shared" ref="AQ45" si="110">BB45</f>
        <v>EXIT</v>
      </c>
      <c r="AR45" s="39" t="s">
        <v>131</v>
      </c>
      <c r="AT45" s="44" t="str">
        <f t="shared" ref="AT45" si="111">IF(Header_PLC_Type="CLX",IF(CP45&lt;&gt;"",CP45,"&lt;noType&gt;"),IF(LEFT(Header_PLC_Type,2)="S7",IF(CD45&lt;&gt;"",CD45,"&lt;noType&gt;"),"&lt;noPLC&gt;"))</f>
        <v>BOOL</v>
      </c>
      <c r="AU45" s="23">
        <f t="shared" ref="AU45" si="112">IF(OR(BC45="PLC",BC45="PSF"),CA45,"")</f>
        <v>0</v>
      </c>
      <c r="AV45" s="23" t="str">
        <f t="shared" ref="AV45" si="113">IF(OR(BC45="PLC",BC45="PSF"),IF(AT45="BOOL",F45,IF(AT45="BYTE",F45&amp;"B",IF(OR(AT45="WORD",AT45="INT"),F45&amp;"W",IF(OR(AT45="DWORD",AT45="DINT",AT45="REAL"),F45&amp;"D","&lt;invalid&gt;")))),"")</f>
        <v>I</v>
      </c>
      <c r="AW45" s="23" t="str">
        <f t="shared" ref="AW45" si="114">IF(OR(BC45="PLC",BC45="PSF"),""&amp;AV45&amp;IF(AT45="BOOL",BY45&amp;"."&amp;BZ45,BY45)&amp; IF(CA45&lt;&gt;"",": &lt;"&amp;CA45&amp;"&gt; - ",": "),"")</f>
        <v xml:space="preserve">I.: </v>
      </c>
      <c r="AX45" s="23" t="str">
        <f t="shared" ref="AX45" si="115">IF(OR(BC45="PLC",BC45="PSF"),IF(AND(BB45="EXIT",BC45="PSF"),CH45&amp;SUBSTITUTE(CJ45,":","_")&amp;CK45,CJ45&amp;CK45),"")</f>
        <v>_VC_Sxx_SIOy_I.InputPowerStatus</v>
      </c>
      <c r="AY45" s="36" t="str">
        <f t="shared" ref="AY45" si="116">IF(OR(BC45="PLC",BC45="PSF"),IF(CM45&lt;&gt;"",CM45 &amp; ": &lt;" &amp; CN45&amp;CO45 &amp; "&gt; - ","Controller: &lt;"&amp;CJ45&amp;CK45&amp;"&gt; - "),"")</f>
        <v xml:space="preserve">Controller: &lt;Sxx_SIOy:I.InputPowerStatus&gt; - </v>
      </c>
      <c r="BB45" s="42" t="s">
        <v>17</v>
      </c>
      <c r="BC45" t="s">
        <v>22</v>
      </c>
      <c r="BD45" t="str">
        <f t="shared" si="84"/>
        <v>AB_RACKx_SLOTa</v>
      </c>
      <c r="BG45" t="str">
        <f>Prep!$C$2&amp;":"</f>
        <v>Sxx_SIOy:</v>
      </c>
      <c r="BT45" t="str">
        <f t="shared" si="87"/>
        <v/>
      </c>
      <c r="BV45" s="30" t="s">
        <v>311</v>
      </c>
      <c r="BY45" s="42"/>
      <c r="CB45" s="42"/>
      <c r="CE45" s="30"/>
      <c r="CH45" s="42" t="s">
        <v>66</v>
      </c>
      <c r="CI45" t="s">
        <v>96</v>
      </c>
      <c r="CJ45" t="str">
        <f t="shared" si="85"/>
        <v>Sxx_SIOy:I.</v>
      </c>
      <c r="CK45" t="s">
        <v>311</v>
      </c>
      <c r="CL45" t="s">
        <v>290</v>
      </c>
      <c r="CM45" t="s">
        <v>75</v>
      </c>
      <c r="CN45" s="30" t="str">
        <f t="shared" si="86"/>
        <v>Sxx_SIOy:I.</v>
      </c>
      <c r="CO45" t="s">
        <v>311</v>
      </c>
      <c r="CP45" t="s">
        <v>12</v>
      </c>
      <c r="CQ45" s="40"/>
      <c r="CR45" s="30" t="s">
        <v>312</v>
      </c>
    </row>
    <row r="46" spans="2:96" x14ac:dyDescent="0.35">
      <c r="B46" s="4" t="str">
        <f t="shared" ref="B46:B49" si="117">IF(LEN(BT46)=0,Header_LB_Name,"&lt;BLANK&gt;")</f>
        <v>SAFE_IO_BLOCK_Sxx_SIOy</v>
      </c>
      <c r="C46" s="4"/>
      <c r="D46" s="4" t="str">
        <f t="shared" ref="D46:D49" si="118">IF(BC46="CUSTOM",BV46,IF(BB46="ENTRY","From_",IF(BB46="EXIT","To_","&lt;invalid&gt;"))&amp;IF(OR(BC46="RBT",BC46="KEY",BC46="SNS"),IF(BE46="",BC46,BC46&amp;"_"&amp;BE46),IF(BC46="OPR",IF(BE46="",BC46&amp;"_"&amp;BD46,BC46&amp;"_"&amp;BE46),IF(BC46="LBS",IF(BE46="",BD46,BE46),BC46)))&amp;"_"&amp;IF(BC46="OPR",IF(BB46="ENTRY","end",IF(BB46="EXIT","start","&lt;invalid&gt;")),BV46))</f>
        <v>To_PLC_EntryStatus</v>
      </c>
      <c r="E46" s="4" t="str">
        <f t="shared" ref="E46:E49" si="119">IF(OR(BC46="PLC",BC46="PSF"),IF(Header_PLC_Type="CLX",AX46,IF(LEFT(Header_PLC_Type,2)="S7",AU46,"&lt;invalid PLC type&gt;")),IF(BB46="ENTRY",IF(BC46="LBS",IF(BD46&lt;&gt;"",IF(BF46="",BC46&amp;"_"&amp;BD46&amp;"_To_"&amp;B46&amp;"_"&amp;BV46,BC46&amp;"_"&amp;BD46&amp;"_To_"&amp;BF46&amp;"_"&amp;BV46),"&lt;missing other LB/group name&gt;"),IF(OR(BC46="SNS",BC46="KEY"),IF(BD46&lt;&gt;"",BC46&amp;"_"&amp;BD46&amp;"_"&amp;BV46,"&lt;missing unique identifier&gt;"),IF(OR(BC46="RBT",BC46="OPR"),IF(BD46&lt;&gt;"",BD46&amp;"_"&amp;IF(BC46="OPR","end",IF(BG46&lt;&gt;"",BG46,BV46)),"&lt;missing unique identifier&gt;"),IF(BC46="CUSTOM",BD46,"&lt;invalid connection&gt;")))),IF(BB46="EXIT",IF(BC46="LBS",IF(BD46&lt;&gt;"",BC46&amp;"_"&amp;B46&amp;"_To_"&amp;BD46&amp;"_"&amp;BV46,"&lt;missing other LB/group name&gt;"),IF(OR(BC46="RBT",BC46="OPR"),IF(BD46&lt;&gt;"",BD46&amp;"_"&amp;IF(BC46="OPR","start",IF(BG46&lt;&gt;"",BG46,BV46)),"&lt;missing unique identifier&gt;"),IF(BC46="CUSTOM",BD46,"&lt;invalid connection (sensor or key signal can't be exit)&gt;"))),"&lt;invalid entry/exit&gt;")))</f>
        <v>ENET_STAT_1stSYS_ID[126].EntryStatus</v>
      </c>
      <c r="F46" s="4" t="str">
        <f t="shared" ref="F46:F49" si="120">IF(BC46="CUSTOM",BE46,IF(OR(AND(BB46="ENTRY",OR(BC46="PLC",BC46="PSF")),AND(BB46="EXIT",OR(BC46="RBT",BC46="OPR"))),"Q","I"))</f>
        <v>I</v>
      </c>
      <c r="G46" s="4" t="str">
        <f t="shared" ref="G46:G49" si="121">IF(Header_PLC_Type="S7-ADD",IF(OR(BC46="PSF",BC46="PLC"),IF(BY46&lt;&gt;"",IF(AT46="BOOL",BY46&amp;"."&amp;BZ46,BY46),"&lt;missing&gt;"),""),"")</f>
        <v/>
      </c>
      <c r="H46" s="4" t="str">
        <f t="shared" ref="H46:H49" si="122">IF(OR(BC46="PLC",BC46="PSF"),IF(Header_PLC_Type="CLX",AY46&amp;CR46,IF(LEFT(Header_PLC_Type,2)="S7",AW46&amp;CE46,"&lt;invalid PLC type&gt;")),IF(Header_PLC_Type="CLX",IF(CR46&lt;&gt;"",CR46,""),IF(LEFT(Header_PLC_Type,2)="S7",IF(CE46&lt;&gt;"",CE46,""),"&lt;invalid PLC type&gt;")))</f>
        <v>Controller: &lt;ENET_STAT_1stSYS_ID[126].EntryStatus&gt; - Sxx_SIOy Module Entry Status</v>
      </c>
      <c r="I46" s="4" t="str">
        <f t="shared" ref="I46:I49" si="123">IF(OR(BC46="PLC",BC46="PSF"),BD46,IF(AND(BC46="CUSTOM",BF46&lt;&gt;""),BF46,""))</f>
        <v>AB_RACKx_SLOTa</v>
      </c>
      <c r="J46" s="4"/>
      <c r="K46" s="56" t="str">
        <f t="shared" ref="K46:K49" si="124">AT46</f>
        <v>INT</v>
      </c>
      <c r="L46" s="56" t="str">
        <f t="shared" ref="L46:L55" si="125">Header_Resource_Compound</f>
        <v>SYSTEM\SAFE_IO_BLOCKS</v>
      </c>
      <c r="M46" s="56" t="str">
        <f t="shared" ref="M46:M55" si="126">Header_Sysroot_Folder</f>
        <v>STELLANTIS\Common\ToolPrototype\Devices</v>
      </c>
      <c r="N46" s="56" t="str">
        <f t="shared" ref="N46:N55" si="127">Header_COJT_Full_Name</f>
        <v>STELLANTIS_EIP_AB_SAFE_IO_BLOCK_12IN4OUT_ENET_Sxx_SIOy.v00</v>
      </c>
      <c r="O46" s="56" t="str">
        <f t="shared" ref="O46:O49" si="128">IF(AND(OR(BC46="SNS",BC46="OPR",BC46="RBT"),BF46&lt;&gt;""),BF46,IF(OR(BC46="PSF",BC46="PLC"),IF(BB46="ENTRY",IF(OR(ISLOGICAL(BF46),ISNUMBER(BF46)),LOWER(TEXT(BF46,"General")),IF((ISTEXT(BF46)),"CEE_To_VC_"&amp;BE46&amp;"_"&amp;BF46,"")),IF((ISTEXT(BF46)),"CEE_From_VC_"&amp;BE46&amp;"_"&amp;BF46,"")),IF(BC46="CUSTOM",IF(BH46&lt;&gt;"",BH46,""),"")))</f>
        <v/>
      </c>
      <c r="P46" s="56" t="str">
        <f t="shared" ref="P46:P49" si="129">IF(OR(BC46="SNS",BC46="OPR"),IF(BG46&lt;&gt;"",BG46,""),IF(BC46="RBT",BD46,IF(BC46="CUSTOM",IF(BG46&lt;&gt;"",BG46,""),"")))</f>
        <v/>
      </c>
      <c r="Q46" s="56" t="str">
        <f t="shared" ref="Q46:Q49" si="130">IF(BC46="OPR",IF(BV46&lt;&gt;"",BV46,"NONSIM"),IF(BC46="RBT",IF(BH46&lt;&gt;"",BH46,""),IF(BC46="SNS",IF(BH46&lt;&gt;"",BH46,L46),IF(OR(BC46="PLC",BC46="PSF"),IF(BG46&lt;&gt;"",BG46,""),""))))</f>
        <v/>
      </c>
      <c r="R46" s="56" t="str">
        <f t="shared" ref="R46:R49" si="131">IF(OR(BC46="PLC",BC46="PSF",BC46="OPR"),IF(BH46&lt;&gt;"",BH46,""),IF(BC46="RBT",IF(BI46&lt;&gt;"",BI46,""),IF(BC46="SNS",IF(BI46&lt;&gt;"",BI46,"PHOTOELECTRIC"),"")))</f>
        <v/>
      </c>
      <c r="S46" s="56" t="str">
        <f t="shared" ref="S46:S49" si="132">IF(OR(BC46="PLC",BC46="PSF",BC46="OPR",AND(BC46="CUSTOM",OR(BU46="PLC",BU46="PSF"))),IF(BI46&lt;&gt;"",BI46,""),IF(BC46="SNS",IF(BJ46&lt;&gt;"",BJ46,""),""))</f>
        <v/>
      </c>
      <c r="T46" s="56" t="str">
        <f t="shared" ref="T46:T49" si="133">IF(AND(Header_PLC_Type="CLX",BC46="PSF",BB46="EXIT"),CJ46&amp;CK46,IF(BC46="OPR",IF(BJ46&lt;&gt;"",BJ46,""),""))</f>
        <v/>
      </c>
      <c r="U46" s="56" t="str">
        <f t="shared" ref="U46:U49" si="134">IF(OR(BC46="SNS",BC46="OPR"),IF(BK46&lt;&gt;"",BK46,""),"")</f>
        <v/>
      </c>
      <c r="V46" s="56" t="str">
        <f t="shared" ref="V46:V49" si="135">IF(OR(BC46="SNS",BC46="OPR"),IF(BL46&lt;&gt;"",BL46,""),"")</f>
        <v/>
      </c>
      <c r="W46" s="56"/>
      <c r="X46" s="56"/>
      <c r="Y46" s="56"/>
      <c r="Z46" s="56" t="str">
        <f t="shared" ref="Z46:Z49" si="136">IF(BP46="","",BP46)</f>
        <v/>
      </c>
      <c r="AA46" s="56" t="str">
        <f t="shared" ref="AA46:AA55" si="137">IF($BQ46="","",$BQ46)</f>
        <v/>
      </c>
      <c r="AB46" s="56" t="str">
        <f t="shared" ref="AB46:AB55" si="138">IF(Header_COJT_Type_Definition="","ToolPrototype",Header_COJT_Type_Definition)</f>
        <v>ToolPrototype</v>
      </c>
      <c r="AC46" s="56" t="str">
        <f t="shared" ref="AC46:AC49" si="139">IF(ISBLANK(BT46),"","Optional")</f>
        <v/>
      </c>
      <c r="AD46" s="56" t="str">
        <f t="shared" ref="AD46:AD55" si="140">IF(Export_VC_Forms="","",Export_VC_Forms)</f>
        <v xml:space="preserve"> &lt;device&gt;
    &lt;name&gt;Sxx_SIOy&lt;/name&gt;
    &lt;type&gt;AB_SBK_ENET_12I_4O&lt;/type&gt;
  &lt;/device&gt;
</v>
      </c>
      <c r="AE46" s="56" t="str">
        <f t="shared" ref="AE46:AE55" si="141">IF(Export_Setup_Tracker="","",Export_Setup_Tracker)</f>
        <v/>
      </c>
      <c r="AF46" s="56" t="str">
        <f t="shared" ref="AF46:AF55" si="142">IF(Export_Validation_Tracker="","",Export_Validation_Tracker)</f>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6" s="56" t="str">
        <f t="shared" ref="AG46:AG55" si="143">IF(Export_Spare_04="","",Export_Spare_04)</f>
        <v/>
      </c>
      <c r="AH46" s="56" t="str">
        <f t="shared" ref="AH46:AH55" si="144">IF(Export_Spare_05="","",Export_Spare_05)</f>
        <v/>
      </c>
      <c r="AI46" s="56" t="str">
        <f t="shared" ref="AI46:AI55" si="145">IF(Export_Spare_06="","",Export_Spare_06)</f>
        <v/>
      </c>
      <c r="AJ46" s="56" t="str">
        <f t="shared" ref="AJ46:AJ55" si="146">IF(Export_Spare_07="","",Export_Spare_07)</f>
        <v/>
      </c>
      <c r="AK46" s="56" t="str">
        <f t="shared" ref="AK46:AK55" si="147">IF(Export_Spare_08="","",Export_Spare_08)</f>
        <v/>
      </c>
      <c r="AL46" s="56" t="str">
        <f t="shared" ref="AL46:AL55" si="148">IF(Export_Spare_09="","",Export_Spare_09)</f>
        <v/>
      </c>
      <c r="AM46" s="56" t="str">
        <f t="shared" ref="AM46:AM55" si="149">IF(Export_Spare_10="","",Export_Spare_10)</f>
        <v/>
      </c>
      <c r="AN46" s="56" t="str">
        <f t="shared" ref="AN46:AN49" si="150">IF(BR46&lt;&gt;"",BR46,"")</f>
        <v/>
      </c>
      <c r="AO46" s="56" t="str">
        <f t="shared" ref="AO46:AO49" si="151">IF(BS46&lt;&gt;"",BS46,"")</f>
        <v/>
      </c>
      <c r="AP46" s="56" t="str">
        <f t="shared" ref="AP46:AP49" si="152">IF(BC46&lt;&gt;"CUSTOM",BC46,BU46)</f>
        <v>PLC</v>
      </c>
      <c r="AQ46" s="56" t="str">
        <f t="shared" ref="AQ46:AQ49" si="153">BB46</f>
        <v>EXIT</v>
      </c>
      <c r="AR46" s="39" t="s">
        <v>131</v>
      </c>
      <c r="AT46" s="44" t="str">
        <f t="shared" ref="AT46:AT49" si="154">IF(Header_PLC_Type="CLX",IF(CP46&lt;&gt;"",CP46,"&lt;noType&gt;"),IF(LEFT(Header_PLC_Type,2)="S7",IF(CD46&lt;&gt;"",CD46,"&lt;noType&gt;"),"&lt;noPLC&gt;"))</f>
        <v>INT</v>
      </c>
      <c r="AU46" s="23">
        <f t="shared" ref="AU46:AU49" si="155">IF(OR(BC46="PLC",BC46="PSF"),CA46,"")</f>
        <v>0</v>
      </c>
      <c r="AV46" s="23" t="str">
        <f t="shared" ref="AV46:AV49" si="156">IF(OR(BC46="PLC",BC46="PSF"),IF(AT46="BOOL",F46,IF(AT46="BYTE",F46&amp;"B",IF(OR(AT46="WORD",AT46="INT"),F46&amp;"W",IF(OR(AT46="DWORD",AT46="DINT",AT46="REAL"),F46&amp;"D","&lt;invalid&gt;")))),"")</f>
        <v>IW</v>
      </c>
      <c r="AW46" s="23" t="str">
        <f t="shared" ref="AW46:AW49" si="157">IF(OR(BC46="PLC",BC46="PSF"),""&amp;AV46&amp;IF(AT46="BOOL",BY46&amp;"."&amp;BZ46,BY46)&amp; IF(CA46&lt;&gt;"",": &lt;"&amp;CA46&amp;"&gt; - ",": "),"")</f>
        <v xml:space="preserve">IW: </v>
      </c>
      <c r="AX46" s="23" t="str">
        <f t="shared" ref="AX46:AX49" si="158">IF(OR(BC46="PLC",BC46="PSF"),IF(AND(BB46="EXIT",BC46="PSF"),CH46&amp;SUBSTITUTE(CJ46,":","_")&amp;CK46,CJ46&amp;CK46),"")</f>
        <v>ENET_STAT_1stSYS_ID[126].EntryStatus</v>
      </c>
      <c r="AY46" s="36" t="str">
        <f t="shared" ref="AY46:AY49" si="159">IF(OR(BC46="PLC",BC46="PSF"),IF(CM46&lt;&gt;"",CM46 &amp; ": &lt;" &amp; CN46&amp;CO46 &amp; "&gt; - ","Controller: &lt;"&amp;CJ46&amp;CK46&amp;"&gt; - "),"")</f>
        <v xml:space="preserve">Controller: &lt;ENET_STAT_1stSYS_ID[126].EntryStatus&gt; - </v>
      </c>
      <c r="BB46" s="42" t="s">
        <v>17</v>
      </c>
      <c r="BC46" t="s">
        <v>16</v>
      </c>
      <c r="BD46" t="str">
        <f t="shared" si="84"/>
        <v>AB_RACKx_SLOTa</v>
      </c>
      <c r="BV46" s="30" t="s">
        <v>271</v>
      </c>
      <c r="BY46" s="42"/>
      <c r="CB46" s="42"/>
      <c r="CE46" s="30"/>
      <c r="CH46" s="42"/>
      <c r="CJ46" t="str">
        <f>CN46</f>
        <v>ENET_STAT_1stSYS_ID[126].</v>
      </c>
      <c r="CK46" t="str">
        <f>CO46</f>
        <v>EntryStatus</v>
      </c>
      <c r="CM46" t="s">
        <v>75</v>
      </c>
      <c r="CN46" s="30" t="str">
        <f>IF(LEFT(BH46,3)="OPC","_"&amp;BH46&amp;"_","")&amp;"ENET_STAT_"&amp;LEFT(Header_Config02,FIND(":",Header_Config02)-1)&amp;"SYS_ID["&amp;MID(Header_Config02,FIND(":",Header_Config02)+1,3)&amp;"]."</f>
        <v>ENET_STAT_1stSYS_ID[126].</v>
      </c>
      <c r="CO46" t="s">
        <v>271</v>
      </c>
      <c r="CP46" t="s">
        <v>100</v>
      </c>
      <c r="CQ46" s="40"/>
      <c r="CR46" s="30" t="str">
        <f>Header_LB_Unique_ID&amp;" Module Entry Status"</f>
        <v>Sxx_SIOy Module Entry Status</v>
      </c>
    </row>
    <row r="47" spans="2:96" x14ac:dyDescent="0.35">
      <c r="B47" s="4" t="str">
        <f t="shared" si="117"/>
        <v>SAFE_IO_BLOCK_Sxx_SIOy</v>
      </c>
      <c r="C47" s="4"/>
      <c r="D47" s="4" t="str">
        <f t="shared" si="118"/>
        <v>To_PLC_SwitchPort</v>
      </c>
      <c r="E47" s="4" t="str">
        <f t="shared" si="119"/>
        <v>SxxESWy:I.Data[6].0</v>
      </c>
      <c r="F47" s="4" t="str">
        <f t="shared" si="120"/>
        <v>I</v>
      </c>
      <c r="G47" s="4" t="str">
        <f t="shared" si="121"/>
        <v/>
      </c>
      <c r="H47" s="4" t="str">
        <f t="shared" si="122"/>
        <v>Controller: &lt;SxxESWy.I1.16&gt; - Ethernet Switch SxxESWy Port 17 (Sxx_SIOy)</v>
      </c>
      <c r="I47" s="4" t="str">
        <f t="shared" si="123"/>
        <v>AB_RACKx_SLOTa</v>
      </c>
      <c r="J47" s="4"/>
      <c r="K47" s="56" t="str">
        <f t="shared" si="124"/>
        <v>BOOL</v>
      </c>
      <c r="L47" s="56" t="str">
        <f t="shared" si="125"/>
        <v>SYSTEM\SAFE_IO_BLOCKS</v>
      </c>
      <c r="M47" s="56" t="str">
        <f t="shared" si="126"/>
        <v>STELLANTIS\Common\ToolPrototype\Devices</v>
      </c>
      <c r="N47" s="56" t="str">
        <f t="shared" si="127"/>
        <v>STELLANTIS_EIP_AB_SAFE_IO_BLOCK_12IN4OUT_ENET_Sxx_SIOy.v00</v>
      </c>
      <c r="O47" s="56" t="str">
        <f t="shared" si="128"/>
        <v/>
      </c>
      <c r="P47" s="56" t="str">
        <f t="shared" si="129"/>
        <v/>
      </c>
      <c r="Q47" s="56" t="str">
        <f t="shared" si="130"/>
        <v/>
      </c>
      <c r="R47" s="56" t="str">
        <f t="shared" si="131"/>
        <v/>
      </c>
      <c r="S47" s="56" t="str">
        <f t="shared" si="132"/>
        <v/>
      </c>
      <c r="T47" s="56" t="str">
        <f t="shared" si="133"/>
        <v/>
      </c>
      <c r="U47" s="56" t="str">
        <f t="shared" si="134"/>
        <v/>
      </c>
      <c r="V47" s="56" t="str">
        <f t="shared" si="135"/>
        <v/>
      </c>
      <c r="W47" s="56"/>
      <c r="X47" s="56"/>
      <c r="Y47" s="56"/>
      <c r="Z47" s="56" t="str">
        <f t="shared" si="136"/>
        <v/>
      </c>
      <c r="AA47" s="56" t="str">
        <f t="shared" si="137"/>
        <v/>
      </c>
      <c r="AB47" s="56" t="str">
        <f t="shared" si="138"/>
        <v>ToolPrototype</v>
      </c>
      <c r="AC47" s="56" t="str">
        <f t="shared" si="139"/>
        <v>Optional</v>
      </c>
      <c r="AD47" s="56" t="str">
        <f t="shared" si="140"/>
        <v xml:space="preserve"> &lt;device&gt;
    &lt;name&gt;Sxx_SIOy&lt;/name&gt;
    &lt;type&gt;AB_SBK_ENET_12I_4O&lt;/type&gt;
  &lt;/device&gt;
</v>
      </c>
      <c r="AE47" s="56" t="str">
        <f t="shared" si="141"/>
        <v/>
      </c>
      <c r="AF47"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7" s="56" t="str">
        <f t="shared" si="143"/>
        <v/>
      </c>
      <c r="AH47" s="56" t="str">
        <f t="shared" si="144"/>
        <v/>
      </c>
      <c r="AI47" s="56" t="str">
        <f t="shared" si="145"/>
        <v/>
      </c>
      <c r="AJ47" s="56" t="str">
        <f t="shared" si="146"/>
        <v/>
      </c>
      <c r="AK47" s="56" t="str">
        <f t="shared" si="147"/>
        <v/>
      </c>
      <c r="AL47" s="56" t="str">
        <f t="shared" si="148"/>
        <v/>
      </c>
      <c r="AM47" s="56" t="str">
        <f t="shared" si="149"/>
        <v/>
      </c>
      <c r="AN47" s="56" t="str">
        <f t="shared" si="150"/>
        <v/>
      </c>
      <c r="AO47" s="56" t="str">
        <f t="shared" si="151"/>
        <v/>
      </c>
      <c r="AP47" s="56" t="str">
        <f t="shared" si="152"/>
        <v>PLC</v>
      </c>
      <c r="AQ47" s="56" t="str">
        <f t="shared" si="153"/>
        <v>EXIT</v>
      </c>
      <c r="AR47" s="39" t="s">
        <v>131</v>
      </c>
      <c r="AT47" s="44" t="str">
        <f t="shared" si="154"/>
        <v>BOOL</v>
      </c>
      <c r="AU47" s="23">
        <f t="shared" si="155"/>
        <v>0</v>
      </c>
      <c r="AV47" s="23" t="str">
        <f t="shared" si="156"/>
        <v>I</v>
      </c>
      <c r="AW47" s="23" t="str">
        <f t="shared" si="157"/>
        <v xml:space="preserve">I.: </v>
      </c>
      <c r="AX47" s="23" t="str">
        <f t="shared" si="158"/>
        <v>SxxESWy:I.Data[6].0</v>
      </c>
      <c r="AY47" s="36" t="str">
        <f t="shared" si="159"/>
        <v xml:space="preserve">Controller: &lt;SxxESWy.I1.16&gt; - </v>
      </c>
      <c r="BB47" s="42" t="s">
        <v>17</v>
      </c>
      <c r="BC47" t="s">
        <v>16</v>
      </c>
      <c r="BD47" t="str">
        <f t="shared" si="84"/>
        <v>AB_RACKx_SLOTa</v>
      </c>
      <c r="BT47" t="str">
        <f>IF(ISNUMBER(FIND(":",Header_Config03)),"","X")</f>
        <v/>
      </c>
      <c r="BV47" s="30" t="s">
        <v>272</v>
      </c>
      <c r="BY47" s="42"/>
      <c r="CB47" s="42"/>
      <c r="CE47" s="30"/>
      <c r="CH47" s="42"/>
      <c r="CJ47" t="str">
        <f>LEFT(Header_Config03,FIND(":",Header_Config03)-1)&amp;":I.Data["&amp;DEC2OCT(CO47/8)+4&amp;"]."</f>
        <v>SxxESWy:I.Data[6].</v>
      </c>
      <c r="CK47" t="str">
        <f>DEC2OCT(CO47-(DEC2OCT(CO47/8)*8))</f>
        <v>0</v>
      </c>
      <c r="CM47" t="s">
        <v>75</v>
      </c>
      <c r="CN47" s="30" t="str">
        <f>LEFT(Header_Config03,FIND(":",Header_Config03)-1)&amp;".I1."</f>
        <v>SxxESWy.I1.</v>
      </c>
      <c r="CO47">
        <f>IF(ISNUMBER(SEARCH(":P",Header_Config03)),MID(Header_Config03,SEARCH(":P",Header_Config03)+2,3)-1,MID(Header_Config03,FIND(":",Header_Config03)+1,3)-1)</f>
        <v>16</v>
      </c>
      <c r="CP47" t="s">
        <v>12</v>
      </c>
      <c r="CQ47" s="40"/>
      <c r="CR47" s="30" t="str">
        <f>"Ethernet Switch "&amp;LEFT(Header_Config03,FIND(":",Header_Config03)-1)&amp;" Port"&amp; " "&amp;CO47+1&amp;" ("&amp;Header_LB_Unique_ID&amp;")"</f>
        <v>Ethernet Switch SxxESWy Port 17 (Sxx_SIOy)</v>
      </c>
    </row>
    <row r="48" spans="2:96" x14ac:dyDescent="0.35">
      <c r="B48" s="4" t="str">
        <f t="shared" si="117"/>
        <v>SAFE_IO_BLOCK_Sxx_SIOy</v>
      </c>
      <c r="C48" s="4"/>
      <c r="D48" s="4" t="str">
        <f t="shared" si="118"/>
        <v>To_SIM_CommOk</v>
      </c>
      <c r="E48" s="4" t="str">
        <f t="shared" si="119"/>
        <v>LBS_Sxx_SIOy_CommOk</v>
      </c>
      <c r="F48" s="4" t="str">
        <f t="shared" si="120"/>
        <v>I</v>
      </c>
      <c r="G48" s="4" t="str">
        <f t="shared" si="121"/>
        <v/>
      </c>
      <c r="H48" s="4" t="str">
        <f t="shared" si="122"/>
        <v/>
      </c>
      <c r="I48" s="4" t="str">
        <f t="shared" si="123"/>
        <v/>
      </c>
      <c r="J48" s="4"/>
      <c r="K48" s="56" t="str">
        <f t="shared" si="124"/>
        <v>BOOL</v>
      </c>
      <c r="L48" s="56" t="str">
        <f t="shared" si="125"/>
        <v>SYSTEM\SAFE_IO_BLOCKS</v>
      </c>
      <c r="M48" s="56" t="str">
        <f t="shared" si="126"/>
        <v>STELLANTIS\Common\ToolPrototype\Devices</v>
      </c>
      <c r="N48" s="56" t="str">
        <f t="shared" si="127"/>
        <v>STELLANTIS_EIP_AB_SAFE_IO_BLOCK_12IN4OUT_ENET_Sxx_SIOy.v00</v>
      </c>
      <c r="O48" s="56" t="str">
        <f t="shared" si="128"/>
        <v/>
      </c>
      <c r="P48" s="56" t="str">
        <f t="shared" si="129"/>
        <v/>
      </c>
      <c r="Q48" s="56" t="str">
        <f t="shared" si="130"/>
        <v/>
      </c>
      <c r="R48" s="56" t="str">
        <f t="shared" si="131"/>
        <v/>
      </c>
      <c r="S48" s="56" t="str">
        <f t="shared" si="132"/>
        <v/>
      </c>
      <c r="T48" s="56" t="str">
        <f t="shared" si="133"/>
        <v/>
      </c>
      <c r="U48" s="56" t="str">
        <f t="shared" si="134"/>
        <v/>
      </c>
      <c r="V48" s="56" t="str">
        <f t="shared" si="135"/>
        <v/>
      </c>
      <c r="W48" s="56"/>
      <c r="X48" s="56"/>
      <c r="Y48" s="56"/>
      <c r="Z48" s="56" t="str">
        <f t="shared" si="136"/>
        <v/>
      </c>
      <c r="AA48" s="56" t="str">
        <f t="shared" si="137"/>
        <v/>
      </c>
      <c r="AB48" s="56" t="str">
        <f t="shared" si="138"/>
        <v>ToolPrototype</v>
      </c>
      <c r="AC48" s="56" t="str">
        <f t="shared" si="139"/>
        <v/>
      </c>
      <c r="AD48" s="56" t="str">
        <f t="shared" si="140"/>
        <v xml:space="preserve"> &lt;device&gt;
    &lt;name&gt;Sxx_SIOy&lt;/name&gt;
    &lt;type&gt;AB_SBK_ENET_12I_4O&lt;/type&gt;
  &lt;/device&gt;
</v>
      </c>
      <c r="AE48" s="56" t="str">
        <f t="shared" si="141"/>
        <v/>
      </c>
      <c r="AF48"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8" s="56" t="str">
        <f t="shared" si="143"/>
        <v/>
      </c>
      <c r="AH48" s="56" t="str">
        <f t="shared" si="144"/>
        <v/>
      </c>
      <c r="AI48" s="56" t="str">
        <f t="shared" si="145"/>
        <v/>
      </c>
      <c r="AJ48" s="56" t="str">
        <f t="shared" si="146"/>
        <v/>
      </c>
      <c r="AK48" s="56" t="str">
        <f t="shared" si="147"/>
        <v/>
      </c>
      <c r="AL48" s="56" t="str">
        <f t="shared" si="148"/>
        <v/>
      </c>
      <c r="AM48" s="56" t="str">
        <f t="shared" si="149"/>
        <v/>
      </c>
      <c r="AN48" s="56" t="str">
        <f t="shared" si="150"/>
        <v/>
      </c>
      <c r="AO48" s="56" t="str">
        <f t="shared" si="151"/>
        <v/>
      </c>
      <c r="AP48" s="56" t="str">
        <f t="shared" si="152"/>
        <v>LBS</v>
      </c>
      <c r="AQ48" s="56" t="str">
        <f t="shared" si="153"/>
        <v>EXIT</v>
      </c>
      <c r="AR48" s="39" t="s">
        <v>131</v>
      </c>
      <c r="AT48" s="44" t="str">
        <f t="shared" si="154"/>
        <v>BOOL</v>
      </c>
      <c r="AU48" s="23" t="str">
        <f t="shared" si="155"/>
        <v/>
      </c>
      <c r="AV48" s="23" t="str">
        <f t="shared" si="156"/>
        <v/>
      </c>
      <c r="AW48" s="23" t="str">
        <f t="shared" si="157"/>
        <v/>
      </c>
      <c r="AX48" s="23" t="str">
        <f t="shared" si="158"/>
        <v/>
      </c>
      <c r="AY48" s="36" t="str">
        <f t="shared" si="159"/>
        <v/>
      </c>
      <c r="BB48" s="42" t="s">
        <v>17</v>
      </c>
      <c r="BC48" t="s">
        <v>63</v>
      </c>
      <c r="BD48" t="str">
        <f>"LBS_"&amp;Header_LB_Unique_ID&amp;"_CommOk"</f>
        <v>LBS_Sxx_SIOy_CommOk</v>
      </c>
      <c r="BE48" t="s">
        <v>64</v>
      </c>
      <c r="BU48" t="s">
        <v>103</v>
      </c>
      <c r="BV48" s="30" t="s">
        <v>256</v>
      </c>
      <c r="BY48" s="42"/>
      <c r="CB48" s="42"/>
      <c r="CE48" s="30"/>
      <c r="CH48" s="42"/>
      <c r="CN48" s="30"/>
      <c r="CP48" t="s">
        <v>12</v>
      </c>
      <c r="CQ48" s="40"/>
      <c r="CR48" s="30"/>
    </row>
    <row r="49" spans="2:96" x14ac:dyDescent="0.35">
      <c r="B49" s="4" t="str">
        <f t="shared" si="117"/>
        <v>SAFE_IO_BLOCK_Sxx_SIOy</v>
      </c>
      <c r="C49" s="4"/>
      <c r="D49" s="4" t="str">
        <f t="shared" si="118"/>
        <v>To_SIM_OutputPwrOk</v>
      </c>
      <c r="E49" s="4" t="str">
        <f t="shared" si="119"/>
        <v>LBS_Sxx_SIOy_OutputPwrOk</v>
      </c>
      <c r="F49" s="4" t="str">
        <f t="shared" si="120"/>
        <v>I</v>
      </c>
      <c r="G49" s="4" t="str">
        <f t="shared" si="121"/>
        <v/>
      </c>
      <c r="H49" s="4" t="str">
        <f t="shared" si="122"/>
        <v/>
      </c>
      <c r="I49" s="4" t="str">
        <f t="shared" si="123"/>
        <v/>
      </c>
      <c r="J49" s="4"/>
      <c r="K49" s="56" t="str">
        <f t="shared" si="124"/>
        <v>BOOL</v>
      </c>
      <c r="L49" s="56" t="str">
        <f t="shared" si="125"/>
        <v>SYSTEM\SAFE_IO_BLOCKS</v>
      </c>
      <c r="M49" s="56" t="str">
        <f t="shared" si="126"/>
        <v>STELLANTIS\Common\ToolPrototype\Devices</v>
      </c>
      <c r="N49" s="56" t="str">
        <f t="shared" si="127"/>
        <v>STELLANTIS_EIP_AB_SAFE_IO_BLOCK_12IN4OUT_ENET_Sxx_SIOy.v00</v>
      </c>
      <c r="O49" s="56" t="str">
        <f t="shared" si="128"/>
        <v/>
      </c>
      <c r="P49" s="56" t="str">
        <f t="shared" si="129"/>
        <v/>
      </c>
      <c r="Q49" s="56" t="str">
        <f t="shared" si="130"/>
        <v/>
      </c>
      <c r="R49" s="56" t="str">
        <f t="shared" si="131"/>
        <v/>
      </c>
      <c r="S49" s="56" t="str">
        <f t="shared" si="132"/>
        <v/>
      </c>
      <c r="T49" s="56" t="str">
        <f t="shared" si="133"/>
        <v/>
      </c>
      <c r="U49" s="56" t="str">
        <f t="shared" si="134"/>
        <v/>
      </c>
      <c r="V49" s="56" t="str">
        <f t="shared" si="135"/>
        <v/>
      </c>
      <c r="W49" s="56"/>
      <c r="X49" s="56"/>
      <c r="Y49" s="56"/>
      <c r="Z49" s="56" t="str">
        <f t="shared" si="136"/>
        <v/>
      </c>
      <c r="AA49" s="56" t="str">
        <f t="shared" si="137"/>
        <v/>
      </c>
      <c r="AB49" s="56" t="str">
        <f t="shared" si="138"/>
        <v>ToolPrototype</v>
      </c>
      <c r="AC49" s="56" t="str">
        <f t="shared" si="139"/>
        <v/>
      </c>
      <c r="AD49" s="56" t="str">
        <f t="shared" si="140"/>
        <v xml:space="preserve"> &lt;device&gt;
    &lt;name&gt;Sxx_SIOy&lt;/name&gt;
    &lt;type&gt;AB_SBK_ENET_12I_4O&lt;/type&gt;
  &lt;/device&gt;
</v>
      </c>
      <c r="AE49" s="56" t="str">
        <f t="shared" si="141"/>
        <v/>
      </c>
      <c r="AF49"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49" s="56" t="str">
        <f t="shared" si="143"/>
        <v/>
      </c>
      <c r="AH49" s="56" t="str">
        <f t="shared" si="144"/>
        <v/>
      </c>
      <c r="AI49" s="56" t="str">
        <f t="shared" si="145"/>
        <v/>
      </c>
      <c r="AJ49" s="56" t="str">
        <f t="shared" si="146"/>
        <v/>
      </c>
      <c r="AK49" s="56" t="str">
        <f t="shared" si="147"/>
        <v/>
      </c>
      <c r="AL49" s="56" t="str">
        <f t="shared" si="148"/>
        <v/>
      </c>
      <c r="AM49" s="56" t="str">
        <f t="shared" si="149"/>
        <v/>
      </c>
      <c r="AN49" s="56" t="str">
        <f t="shared" si="150"/>
        <v/>
      </c>
      <c r="AO49" s="56" t="str">
        <f t="shared" si="151"/>
        <v/>
      </c>
      <c r="AP49" s="56" t="str">
        <f t="shared" si="152"/>
        <v>LBS</v>
      </c>
      <c r="AQ49" s="56" t="str">
        <f t="shared" si="153"/>
        <v>EXIT</v>
      </c>
      <c r="AR49" s="39" t="s">
        <v>131</v>
      </c>
      <c r="AT49" s="44" t="str">
        <f t="shared" si="154"/>
        <v>BOOL</v>
      </c>
      <c r="AU49" s="23" t="str">
        <f t="shared" si="155"/>
        <v/>
      </c>
      <c r="AV49" s="23" t="str">
        <f t="shared" si="156"/>
        <v/>
      </c>
      <c r="AW49" s="23" t="str">
        <f t="shared" si="157"/>
        <v/>
      </c>
      <c r="AX49" s="23" t="str">
        <f t="shared" si="158"/>
        <v/>
      </c>
      <c r="AY49" s="36" t="str">
        <f t="shared" si="159"/>
        <v/>
      </c>
      <c r="BB49" s="42" t="s">
        <v>17</v>
      </c>
      <c r="BC49" t="s">
        <v>63</v>
      </c>
      <c r="BD49" t="str">
        <f>"LBS_"&amp;SUBSTITUTE(Header_LB_Unique_ID,":","")&amp;"_OutputPwrOk"</f>
        <v>LBS_Sxx_SIOy_OutputPwrOk</v>
      </c>
      <c r="BE49" t="s">
        <v>64</v>
      </c>
      <c r="BU49" t="s">
        <v>103</v>
      </c>
      <c r="BV49" s="30" t="s">
        <v>255</v>
      </c>
      <c r="BY49" s="42"/>
      <c r="CB49" s="42"/>
      <c r="CE49" s="30"/>
      <c r="CH49" s="42"/>
      <c r="CN49" s="30"/>
      <c r="CP49" t="s">
        <v>12</v>
      </c>
      <c r="CQ49" s="40"/>
      <c r="CR49" s="30"/>
    </row>
    <row r="50" spans="2:96" x14ac:dyDescent="0.35">
      <c r="B50" s="4" t="str">
        <f t="shared" ref="B50:B55" si="160">IF(LEN(BT50)=0,Header_LB_Name,"&lt;BLANK&gt;")</f>
        <v>SAFE_IO_BLOCK_Sxx_SIOy</v>
      </c>
      <c r="C50" s="4"/>
      <c r="D50" s="4" t="str">
        <f t="shared" ref="D50:D55" si="161">IF(BC50="CUSTOM",BV50,IF(BB50="ENTRY","From_",IF(BB50="EXIT","To_","&lt;invalid&gt;"))&amp;IF(OR(BC50="RBT",BC50="KEY",BC50="SNS"),IF(BE50="",BC50,BC50&amp;"_"&amp;BE50),IF(BC50="OPR",IF(BE50="",BC50&amp;"_"&amp;BD50,BC50&amp;"_"&amp;BE50),IF(BC50="LBS",IF(BE50="",BD50,BE50),BC50)))&amp;"_"&amp;IF(BC50="OPR",IF(BB50="ENTRY","end",IF(BB50="EXIT","start","&lt;invalid&gt;")),BV50))</f>
        <v>To_SIM_DCOUT_1_4</v>
      </c>
      <c r="E50" s="4" t="str">
        <f t="shared" ref="E50:E55" si="162">IF(OR(BC50="PLC",BC50="PSF"),IF(Header_PLC_Type="CLX",AX50,IF(LEFT(Header_PLC_Type,2)="S7",AU50,"&lt;invalid PLC type&gt;")),IF(BB50="ENTRY",IF(BC50="LBS",IF(BD50&lt;&gt;"",IF(BF50="",BC50&amp;"_"&amp;BD50&amp;"_To_"&amp;B50&amp;"_"&amp;BV50,BC50&amp;"_"&amp;BD50&amp;"_To_"&amp;BF50&amp;"_"&amp;BV50),"&lt;missing other LB/group name&gt;"),IF(OR(BC50="SNS",BC50="KEY"),IF(BD50&lt;&gt;"",BC50&amp;"_"&amp;BD50&amp;"_"&amp;BV50,"&lt;missing unique identifier&gt;"),IF(OR(BC50="RBT",BC50="OPR"),IF(BD50&lt;&gt;"",BD50&amp;"_"&amp;IF(BC50="OPR","end",IF(BG50&lt;&gt;"",BG50,BV50)),"&lt;missing unique identifier&gt;"),IF(BC50="CUSTOM",BD50,"&lt;invalid connection&gt;")))),IF(BB50="EXIT",IF(BC50="LBS",IF(BD50&lt;&gt;"",BC50&amp;"_"&amp;B50&amp;"_To_"&amp;BD50&amp;"_"&amp;BV50,"&lt;missing other LB/group name&gt;"),IF(OR(BC50="RBT",BC50="OPR"),IF(BD50&lt;&gt;"",BD50&amp;"_"&amp;IF(BC50="OPR","start",IF(BG50&lt;&gt;"",BG50,BV50)),"&lt;missing unique identifier&gt;"),IF(BC50="CUSTOM",BD50,"&lt;invalid connection (sensor or key signal can't be exit)&gt;"))),"&lt;invalid entry/exit&gt;")))</f>
        <v>LBS_Sxx_SIOy_MP</v>
      </c>
      <c r="F50" s="4" t="str">
        <f t="shared" ref="F50:F55" si="163">IF(BC50="CUSTOM",BE50,IF(OR(AND(BB50="ENTRY",OR(BC50="PLC",BC50="PSF")),AND(BB50="EXIT",OR(BC50="RBT",BC50="OPR"))),"Q","I"))</f>
        <v>I</v>
      </c>
      <c r="G50" s="4" t="str">
        <f t="shared" ref="G50:G55" si="164">IF(Header_PLC_Type="S7-ADD",IF(OR(BC50="PSF",BC50="PLC"),IF(BY50&lt;&gt;"",IF(AT50="BOOL",BY50&amp;"."&amp;BZ50,BY50),"&lt;missing&gt;"),""),"")</f>
        <v/>
      </c>
      <c r="H50" s="4" t="str">
        <f t="shared" ref="H50:H55" si="165">IF(OR(BC50="PLC",BC50="PSF"),IF(Header_PLC_Type="CLX",AY50&amp;CR50,IF(LEFT(Header_PLC_Type,2)="S7",AW50&amp;CE50,"&lt;invalid PLC type&gt;")),IF(Header_PLC_Type="CLX",IF(CR50&lt;&gt;"",CR50,""),IF(LEFT(Header_PLC_Type,2)="S7",IF(CE50&lt;&gt;"",CE50,""),"&lt;invalid PLC type&gt;")))</f>
        <v/>
      </c>
      <c r="I50" s="4" t="str">
        <f t="shared" ref="I50:I55" si="166">IF(OR(BC50="PLC",BC50="PSF"),BD50,IF(AND(BC50="CUSTOM",BF50&lt;&gt;""),BF50,""))</f>
        <v/>
      </c>
      <c r="J50" s="4"/>
      <c r="K50" s="56" t="str">
        <f t="shared" ref="K50:K55" si="167">AT50</f>
        <v>BOOL</v>
      </c>
      <c r="L50" s="56" t="str">
        <f t="shared" si="125"/>
        <v>SYSTEM\SAFE_IO_BLOCKS</v>
      </c>
      <c r="M50" s="56" t="str">
        <f t="shared" si="126"/>
        <v>STELLANTIS\Common\ToolPrototype\Devices</v>
      </c>
      <c r="N50" s="56" t="str">
        <f t="shared" si="127"/>
        <v>STELLANTIS_EIP_AB_SAFE_IO_BLOCK_12IN4OUT_ENET_Sxx_SIOy.v00</v>
      </c>
      <c r="O50" s="56" t="str">
        <f t="shared" ref="O50:O55" si="168">IF(AND(OR(BC50="SNS",BC50="OPR",BC50="RBT"),BF50&lt;&gt;""),BF50,IF(OR(BC50="PSF",BC50="PLC"),IF(BB50="ENTRY",IF(OR(ISLOGICAL(BF50),ISNUMBER(BF50)),LOWER(TEXT(BF50,"General")),IF((ISTEXT(BF50)),"CEE_To_VC_"&amp;BE50&amp;"_"&amp;BF50,"")),IF((ISTEXT(BF50)),"CEE_From_VC_"&amp;BE50&amp;"_"&amp;BF50,"")),IF(BC50="CUSTOM",IF(BH50&lt;&gt;"",BH50,""),"")))</f>
        <v/>
      </c>
      <c r="P50" s="56" t="str">
        <f t="shared" ref="P50:P55" si="169">IF(OR(BC50="SNS",BC50="OPR"),IF(BG50&lt;&gt;"",BG50,""),IF(BC50="RBT",BD50,IF(BC50="CUSTOM",IF(BG50&lt;&gt;"",BG50,""),"")))</f>
        <v/>
      </c>
      <c r="Q50" s="56" t="str">
        <f t="shared" ref="Q50:Q55" si="170">IF(BC50="OPR",IF(BV50&lt;&gt;"",BV50,"NONSIM"),IF(BC50="RBT",IF(BH50&lt;&gt;"",BH50,""),IF(BC50="SNS",IF(BH50&lt;&gt;"",BH50,L50),IF(OR(BC50="PLC",BC50="PSF"),IF(BG50&lt;&gt;"",BG50,""),""))))</f>
        <v/>
      </c>
      <c r="R50" s="56" t="str">
        <f t="shared" ref="R50:R55" si="171">IF(OR(BC50="PLC",BC50="PSF",BC50="OPR"),IF(BH50&lt;&gt;"",BH50,""),IF(BC50="RBT",IF(BI50&lt;&gt;"",BI50,""),IF(BC50="SNS",IF(BI50&lt;&gt;"",BI50,"PHOTOELECTRIC"),"")))</f>
        <v/>
      </c>
      <c r="S50" s="56" t="str">
        <f t="shared" ref="S50:S55" si="172">IF(OR(BC50="PLC",BC50="PSF",BC50="OPR",AND(BC50="CUSTOM",OR(BU50="PLC",BU50="PSF"))),IF(BI50&lt;&gt;"",BI50,""),IF(BC50="SNS",IF(BJ50&lt;&gt;"",BJ50,""),""))</f>
        <v/>
      </c>
      <c r="T50" s="56" t="str">
        <f t="shared" ref="T50:T55" si="173">IF(AND(Header_PLC_Type="CLX",BC50="PSF",BB50="EXIT"),CJ50&amp;CK50,IF(BC50="OPR",IF(BJ50&lt;&gt;"",BJ50,""),""))</f>
        <v/>
      </c>
      <c r="U50" s="56" t="str">
        <f t="shared" ref="U50:U55" si="174">IF(OR(BC50="SNS",BC50="OPR"),IF(BK50&lt;&gt;"",BK50,""),"")</f>
        <v/>
      </c>
      <c r="V50" s="56" t="str">
        <f t="shared" ref="V50:V55" si="175">IF(OR(BC50="SNS",BC50="OPR"),IF(BL50&lt;&gt;"",BL50,""),"")</f>
        <v/>
      </c>
      <c r="W50" s="56"/>
      <c r="X50" s="56"/>
      <c r="Y50" s="56"/>
      <c r="Z50" s="56" t="str">
        <f t="shared" ref="Z50:Z55" si="176">IF(BP50="","",BP50)</f>
        <v/>
      </c>
      <c r="AA50" s="56" t="str">
        <f t="shared" si="137"/>
        <v/>
      </c>
      <c r="AB50" s="56" t="str">
        <f t="shared" si="138"/>
        <v>ToolPrototype</v>
      </c>
      <c r="AC50" s="56" t="str">
        <f t="shared" ref="AC50:AC55" si="177">IF(ISBLANK(BT50),"","Optional")</f>
        <v/>
      </c>
      <c r="AD50" s="56" t="str">
        <f t="shared" si="140"/>
        <v xml:space="preserve"> &lt;device&gt;
    &lt;name&gt;Sxx_SIOy&lt;/name&gt;
    &lt;type&gt;AB_SBK_ENET_12I_4O&lt;/type&gt;
  &lt;/device&gt;
</v>
      </c>
      <c r="AE50" s="56" t="str">
        <f t="shared" si="141"/>
        <v/>
      </c>
      <c r="AF50"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50" s="56" t="str">
        <f t="shared" si="143"/>
        <v/>
      </c>
      <c r="AH50" s="56" t="str">
        <f t="shared" si="144"/>
        <v/>
      </c>
      <c r="AI50" s="56" t="str">
        <f t="shared" si="145"/>
        <v/>
      </c>
      <c r="AJ50" s="56" t="str">
        <f t="shared" si="146"/>
        <v/>
      </c>
      <c r="AK50" s="56" t="str">
        <f t="shared" si="147"/>
        <v/>
      </c>
      <c r="AL50" s="56" t="str">
        <f t="shared" si="148"/>
        <v/>
      </c>
      <c r="AM50" s="56" t="str">
        <f t="shared" si="149"/>
        <v/>
      </c>
      <c r="AN50" s="56" t="str">
        <f t="shared" ref="AN50:AN55" si="178">IF(BR50&lt;&gt;"",BR50,"")</f>
        <v/>
      </c>
      <c r="AO50" s="56" t="str">
        <f t="shared" ref="AO50:AO55" si="179">IF(BS50&lt;&gt;"",BS50,"")</f>
        <v/>
      </c>
      <c r="AP50" s="56" t="str">
        <f t="shared" ref="AP50:AP55" si="180">IF(BC50&lt;&gt;"CUSTOM",BC50,BU50)</f>
        <v>LBS</v>
      </c>
      <c r="AQ50" s="56" t="str">
        <f t="shared" ref="AQ50:AQ55" si="181">BB50</f>
        <v>EXIT</v>
      </c>
      <c r="AR50" s="39" t="s">
        <v>131</v>
      </c>
      <c r="AT50" s="44" t="str">
        <f t="shared" ref="AT50:AT55" si="182">IF(Header_PLC_Type="CLX",IF(CP50&lt;&gt;"",CP50,"&lt;noType&gt;"),IF(LEFT(Header_PLC_Type,2)="S7",IF(CD50&lt;&gt;"",CD50,"&lt;noType&gt;"),"&lt;noPLC&gt;"))</f>
        <v>BOOL</v>
      </c>
      <c r="AU50" s="23" t="str">
        <f t="shared" ref="AU50:AU55" si="183">IF(OR(BC50="PLC",BC50="PSF"),CA50,"")</f>
        <v/>
      </c>
      <c r="AV50" s="23" t="str">
        <f t="shared" ref="AV50:AV55" si="184">IF(OR(BC50="PLC",BC50="PSF"),IF(AT50="BOOL",F50,IF(AT50="BYTE",F50&amp;"B",IF(OR(AT50="WORD",AT50="INT"),F50&amp;"W",IF(OR(AT50="DWORD",AT50="DINT",AT50="REAL"),F50&amp;"D","&lt;invalid&gt;")))),"")</f>
        <v/>
      </c>
      <c r="AW50" s="23" t="str">
        <f t="shared" ref="AW50:AW55" si="185">IF(OR(BC50="PLC",BC50="PSF"),""&amp;AV50&amp;IF(AT50="BOOL",BY50&amp;"."&amp;BZ50,BY50)&amp; IF(CA50&lt;&gt;"",": &lt;"&amp;CA50&amp;"&gt; - ",": "),"")</f>
        <v/>
      </c>
      <c r="AX50" s="23" t="str">
        <f t="shared" ref="AX50:AX55" si="186">IF(OR(BC50="PLC",BC50="PSF"),IF(AND(BB50="EXIT",BC50="PSF"),CH50&amp;SUBSTITUTE(CJ50,":","_")&amp;CK50,CJ50&amp;CK50),"")</f>
        <v/>
      </c>
      <c r="AY50" s="36" t="str">
        <f t="shared" ref="AY50:AY55" si="187">IF(OR(BC50="PLC",BC50="PSF"),IF(CM50&lt;&gt;"",CM50 &amp; ": &lt;" &amp; CN50&amp;CO50 &amp; "&gt; - ","Controller: &lt;"&amp;CJ50&amp;CK50&amp;"&gt; - "),"")</f>
        <v/>
      </c>
      <c r="BB50" s="42" t="s">
        <v>17</v>
      </c>
      <c r="BC50" t="s">
        <v>63</v>
      </c>
      <c r="BD50" t="str">
        <f>"LBS_"&amp;Header_LB_Unique_ID&amp;"_MP"</f>
        <v>LBS_Sxx_SIOy_MP</v>
      </c>
      <c r="BE50" t="s">
        <v>64</v>
      </c>
      <c r="BU50" t="s">
        <v>103</v>
      </c>
      <c r="BV50" s="30" t="s">
        <v>375</v>
      </c>
      <c r="BY50" s="42"/>
      <c r="CB50" s="42"/>
      <c r="CE50" s="30"/>
      <c r="CH50" s="42"/>
      <c r="CN50" s="30"/>
      <c r="CP50" t="s">
        <v>12</v>
      </c>
      <c r="CQ50" s="40"/>
      <c r="CR50" s="30"/>
    </row>
    <row r="51" spans="2:96" x14ac:dyDescent="0.35">
      <c r="B51" s="4" t="str">
        <f t="shared" si="160"/>
        <v>SAFE_IO_BLOCK_Sxx_SIOy</v>
      </c>
      <c r="C51" s="4"/>
      <c r="D51" s="4" t="str">
        <f t="shared" si="161"/>
        <v>To_SIM_DCOUT_2_3</v>
      </c>
      <c r="E51" s="4" t="str">
        <f t="shared" si="162"/>
        <v>LBS_Sxx_SIOy_NMP</v>
      </c>
      <c r="F51" s="4" t="str">
        <f t="shared" si="163"/>
        <v>I</v>
      </c>
      <c r="G51" s="4" t="str">
        <f t="shared" si="164"/>
        <v/>
      </c>
      <c r="H51" s="4" t="str">
        <f t="shared" si="165"/>
        <v/>
      </c>
      <c r="I51" s="4" t="str">
        <f t="shared" si="166"/>
        <v/>
      </c>
      <c r="J51" s="4"/>
      <c r="K51" s="56" t="str">
        <f t="shared" si="167"/>
        <v>BOOL</v>
      </c>
      <c r="L51" s="56" t="str">
        <f t="shared" si="125"/>
        <v>SYSTEM\SAFE_IO_BLOCKS</v>
      </c>
      <c r="M51" s="56" t="str">
        <f t="shared" si="126"/>
        <v>STELLANTIS\Common\ToolPrototype\Devices</v>
      </c>
      <c r="N51" s="56" t="str">
        <f t="shared" si="127"/>
        <v>STELLANTIS_EIP_AB_SAFE_IO_BLOCK_12IN4OUT_ENET_Sxx_SIOy.v00</v>
      </c>
      <c r="O51" s="56" t="str">
        <f t="shared" si="168"/>
        <v/>
      </c>
      <c r="P51" s="56" t="str">
        <f t="shared" si="169"/>
        <v/>
      </c>
      <c r="Q51" s="56" t="str">
        <f t="shared" si="170"/>
        <v/>
      </c>
      <c r="R51" s="56" t="str">
        <f t="shared" si="171"/>
        <v/>
      </c>
      <c r="S51" s="56" t="str">
        <f t="shared" si="172"/>
        <v/>
      </c>
      <c r="T51" s="56" t="str">
        <f t="shared" si="173"/>
        <v/>
      </c>
      <c r="U51" s="56" t="str">
        <f t="shared" si="174"/>
        <v/>
      </c>
      <c r="V51" s="56" t="str">
        <f t="shared" si="175"/>
        <v/>
      </c>
      <c r="W51" s="56"/>
      <c r="X51" s="56"/>
      <c r="Y51" s="56"/>
      <c r="Z51" s="56" t="str">
        <f t="shared" si="176"/>
        <v/>
      </c>
      <c r="AA51" s="56" t="str">
        <f t="shared" si="137"/>
        <v/>
      </c>
      <c r="AB51" s="56" t="str">
        <f t="shared" si="138"/>
        <v>ToolPrototype</v>
      </c>
      <c r="AC51" s="56" t="str">
        <f t="shared" si="177"/>
        <v/>
      </c>
      <c r="AD51" s="56" t="str">
        <f t="shared" si="140"/>
        <v xml:space="preserve"> &lt;device&gt;
    &lt;name&gt;Sxx_SIOy&lt;/name&gt;
    &lt;type&gt;AB_SBK_ENET_12I_4O&lt;/type&gt;
  &lt;/device&gt;
</v>
      </c>
      <c r="AE51" s="56" t="str">
        <f t="shared" si="141"/>
        <v/>
      </c>
      <c r="AF51"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51" s="56" t="str">
        <f t="shared" si="143"/>
        <v/>
      </c>
      <c r="AH51" s="56" t="str">
        <f t="shared" si="144"/>
        <v/>
      </c>
      <c r="AI51" s="56" t="str">
        <f t="shared" si="145"/>
        <v/>
      </c>
      <c r="AJ51" s="56" t="str">
        <f t="shared" si="146"/>
        <v/>
      </c>
      <c r="AK51" s="56" t="str">
        <f t="shared" si="147"/>
        <v/>
      </c>
      <c r="AL51" s="56" t="str">
        <f t="shared" si="148"/>
        <v/>
      </c>
      <c r="AM51" s="56" t="str">
        <f t="shared" si="149"/>
        <v/>
      </c>
      <c r="AN51" s="56" t="str">
        <f t="shared" si="178"/>
        <v/>
      </c>
      <c r="AO51" s="56" t="str">
        <f t="shared" si="179"/>
        <v/>
      </c>
      <c r="AP51" s="56" t="str">
        <f t="shared" si="180"/>
        <v>LBS</v>
      </c>
      <c r="AQ51" s="56" t="str">
        <f t="shared" si="181"/>
        <v>EXIT</v>
      </c>
      <c r="AR51" s="39" t="s">
        <v>131</v>
      </c>
      <c r="AT51" s="44" t="str">
        <f t="shared" si="182"/>
        <v>BOOL</v>
      </c>
      <c r="AU51" s="23" t="str">
        <f t="shared" si="183"/>
        <v/>
      </c>
      <c r="AV51" s="23" t="str">
        <f t="shared" si="184"/>
        <v/>
      </c>
      <c r="AW51" s="23" t="str">
        <f t="shared" si="185"/>
        <v/>
      </c>
      <c r="AX51" s="23" t="str">
        <f t="shared" si="186"/>
        <v/>
      </c>
      <c r="AY51" s="36" t="str">
        <f t="shared" si="187"/>
        <v/>
      </c>
      <c r="BB51" s="42" t="s">
        <v>17</v>
      </c>
      <c r="BC51" t="s">
        <v>63</v>
      </c>
      <c r="BD51" t="str">
        <f>"LBS_"&amp;Header_LB_Unique_ID&amp;"_NMP"</f>
        <v>LBS_Sxx_SIOy_NMP</v>
      </c>
      <c r="BE51" t="s">
        <v>64</v>
      </c>
      <c r="BU51" t="s">
        <v>103</v>
      </c>
      <c r="BV51" s="30" t="s">
        <v>376</v>
      </c>
      <c r="BY51" s="42"/>
      <c r="CB51" s="42"/>
      <c r="CE51" s="30"/>
      <c r="CH51" s="42"/>
      <c r="CN51" s="30"/>
      <c r="CP51" t="s">
        <v>12</v>
      </c>
      <c r="CQ51" s="40"/>
      <c r="CR51" s="30"/>
    </row>
    <row r="52" spans="2:96" x14ac:dyDescent="0.35">
      <c r="B52" s="4" t="str">
        <f t="shared" si="160"/>
        <v>SAFE_IO_BLOCK_Sxx_SIOy</v>
      </c>
      <c r="C52" s="4"/>
      <c r="D52" s="4" t="str">
        <f t="shared" si="161"/>
        <v>To_SIM_OUT_00_01_DCPwr</v>
      </c>
      <c r="E52" s="4" t="str">
        <f t="shared" si="162"/>
        <v>LBS_Sxx_SIOy_OUT_00_01_DCPwr</v>
      </c>
      <c r="F52" s="4" t="str">
        <f t="shared" si="163"/>
        <v>I</v>
      </c>
      <c r="G52" s="4" t="str">
        <f t="shared" si="164"/>
        <v/>
      </c>
      <c r="H52" s="4" t="str">
        <f t="shared" si="165"/>
        <v/>
      </c>
      <c r="I52" s="4" t="str">
        <f t="shared" si="166"/>
        <v/>
      </c>
      <c r="J52" s="4"/>
      <c r="K52" s="56" t="str">
        <f t="shared" si="167"/>
        <v>BOOL</v>
      </c>
      <c r="L52" s="56" t="str">
        <f t="shared" si="125"/>
        <v>SYSTEM\SAFE_IO_BLOCKS</v>
      </c>
      <c r="M52" s="56" t="str">
        <f t="shared" si="126"/>
        <v>STELLANTIS\Common\ToolPrototype\Devices</v>
      </c>
      <c r="N52" s="56" t="str">
        <f t="shared" si="127"/>
        <v>STELLANTIS_EIP_AB_SAFE_IO_BLOCK_12IN4OUT_ENET_Sxx_SIOy.v00</v>
      </c>
      <c r="O52" s="56" t="str">
        <f t="shared" si="168"/>
        <v/>
      </c>
      <c r="P52" s="56" t="str">
        <f t="shared" si="169"/>
        <v/>
      </c>
      <c r="Q52" s="56" t="str">
        <f t="shared" si="170"/>
        <v/>
      </c>
      <c r="R52" s="56" t="str">
        <f t="shared" si="171"/>
        <v/>
      </c>
      <c r="S52" s="56" t="str">
        <f t="shared" si="172"/>
        <v/>
      </c>
      <c r="T52" s="56" t="str">
        <f t="shared" si="173"/>
        <v/>
      </c>
      <c r="U52" s="56" t="str">
        <f t="shared" si="174"/>
        <v/>
      </c>
      <c r="V52" s="56" t="str">
        <f t="shared" si="175"/>
        <v/>
      </c>
      <c r="W52" s="56"/>
      <c r="X52" s="56"/>
      <c r="Y52" s="56"/>
      <c r="Z52" s="56" t="str">
        <f t="shared" si="176"/>
        <v/>
      </c>
      <c r="AA52" s="56" t="str">
        <f t="shared" si="137"/>
        <v/>
      </c>
      <c r="AB52" s="56" t="str">
        <f t="shared" si="138"/>
        <v>ToolPrototype</v>
      </c>
      <c r="AC52" s="56" t="str">
        <f t="shared" si="177"/>
        <v/>
      </c>
      <c r="AD52" s="56" t="str">
        <f t="shared" si="140"/>
        <v xml:space="preserve"> &lt;device&gt;
    &lt;name&gt;Sxx_SIOy&lt;/name&gt;
    &lt;type&gt;AB_SBK_ENET_12I_4O&lt;/type&gt;
  &lt;/device&gt;
</v>
      </c>
      <c r="AE52" s="56" t="str">
        <f t="shared" si="141"/>
        <v/>
      </c>
      <c r="AF52"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52" s="56" t="str">
        <f t="shared" si="143"/>
        <v/>
      </c>
      <c r="AH52" s="56" t="str">
        <f t="shared" si="144"/>
        <v/>
      </c>
      <c r="AI52" s="56" t="str">
        <f t="shared" si="145"/>
        <v/>
      </c>
      <c r="AJ52" s="56" t="str">
        <f t="shared" si="146"/>
        <v/>
      </c>
      <c r="AK52" s="56" t="str">
        <f t="shared" si="147"/>
        <v/>
      </c>
      <c r="AL52" s="56" t="str">
        <f t="shared" si="148"/>
        <v/>
      </c>
      <c r="AM52" s="56" t="str">
        <f t="shared" si="149"/>
        <v/>
      </c>
      <c r="AN52" s="56" t="str">
        <f t="shared" si="178"/>
        <v/>
      </c>
      <c r="AO52" s="56" t="str">
        <f t="shared" si="179"/>
        <v/>
      </c>
      <c r="AP52" s="56" t="str">
        <f t="shared" si="180"/>
        <v>LBS</v>
      </c>
      <c r="AQ52" s="56" t="str">
        <f t="shared" si="181"/>
        <v>EXIT</v>
      </c>
      <c r="AR52" s="39" t="s">
        <v>131</v>
      </c>
      <c r="AT52" s="44" t="str">
        <f t="shared" si="182"/>
        <v>BOOL</v>
      </c>
      <c r="AU52" s="23" t="str">
        <f t="shared" si="183"/>
        <v/>
      </c>
      <c r="AV52" s="23" t="str">
        <f t="shared" si="184"/>
        <v/>
      </c>
      <c r="AW52" s="23" t="str">
        <f t="shared" si="185"/>
        <v/>
      </c>
      <c r="AX52" s="23" t="str">
        <f t="shared" si="186"/>
        <v/>
      </c>
      <c r="AY52" s="36" t="str">
        <f t="shared" si="187"/>
        <v/>
      </c>
      <c r="BB52" s="42" t="s">
        <v>17</v>
      </c>
      <c r="BC52" t="s">
        <v>63</v>
      </c>
      <c r="BD52" t="str">
        <f>"LBS_"&amp;Header_LB_Unique_ID&amp;"_OUT_00_01_DCPwr"</f>
        <v>LBS_Sxx_SIOy_OUT_00_01_DCPwr</v>
      </c>
      <c r="BE52" t="s">
        <v>64</v>
      </c>
      <c r="BU52" t="s">
        <v>103</v>
      </c>
      <c r="BV52" s="30" t="s">
        <v>377</v>
      </c>
      <c r="BY52" s="42"/>
      <c r="CB52" s="42"/>
      <c r="CE52" s="30"/>
      <c r="CH52" s="42"/>
      <c r="CN52" s="30"/>
      <c r="CP52" t="s">
        <v>12</v>
      </c>
      <c r="CQ52" s="40"/>
      <c r="CR52" s="30"/>
    </row>
    <row r="53" spans="2:96" x14ac:dyDescent="0.35">
      <c r="B53" s="4" t="str">
        <f t="shared" si="160"/>
        <v>SAFE_IO_BLOCK_Sxx_SIOy</v>
      </c>
      <c r="C53" s="4"/>
      <c r="D53" s="4" t="str">
        <f t="shared" si="161"/>
        <v>To_SIM_OUT_00_01_OutputPwr</v>
      </c>
      <c r="E53" s="4" t="str">
        <f t="shared" si="162"/>
        <v>LBS_Sxx_SIOy_OUT_00_01_OutputPwr</v>
      </c>
      <c r="F53" s="4" t="str">
        <f t="shared" si="163"/>
        <v>I</v>
      </c>
      <c r="G53" s="4" t="str">
        <f t="shared" si="164"/>
        <v/>
      </c>
      <c r="H53" s="4" t="str">
        <f t="shared" si="165"/>
        <v/>
      </c>
      <c r="I53" s="4" t="str">
        <f t="shared" si="166"/>
        <v/>
      </c>
      <c r="J53" s="4"/>
      <c r="K53" s="56" t="str">
        <f t="shared" si="167"/>
        <v>BOOL</v>
      </c>
      <c r="L53" s="56" t="str">
        <f t="shared" si="125"/>
        <v>SYSTEM\SAFE_IO_BLOCKS</v>
      </c>
      <c r="M53" s="56" t="str">
        <f t="shared" si="126"/>
        <v>STELLANTIS\Common\ToolPrototype\Devices</v>
      </c>
      <c r="N53" s="56" t="str">
        <f t="shared" si="127"/>
        <v>STELLANTIS_EIP_AB_SAFE_IO_BLOCK_12IN4OUT_ENET_Sxx_SIOy.v00</v>
      </c>
      <c r="O53" s="56" t="str">
        <f t="shared" si="168"/>
        <v/>
      </c>
      <c r="P53" s="56" t="str">
        <f t="shared" si="169"/>
        <v/>
      </c>
      <c r="Q53" s="56" t="str">
        <f t="shared" si="170"/>
        <v/>
      </c>
      <c r="R53" s="56" t="str">
        <f t="shared" si="171"/>
        <v/>
      </c>
      <c r="S53" s="56" t="str">
        <f t="shared" si="172"/>
        <v/>
      </c>
      <c r="T53" s="56" t="str">
        <f t="shared" si="173"/>
        <v/>
      </c>
      <c r="U53" s="56" t="str">
        <f t="shared" si="174"/>
        <v/>
      </c>
      <c r="V53" s="56" t="str">
        <f t="shared" si="175"/>
        <v/>
      </c>
      <c r="W53" s="56"/>
      <c r="X53" s="56"/>
      <c r="Y53" s="56"/>
      <c r="Z53" s="56" t="str">
        <f t="shared" si="176"/>
        <v/>
      </c>
      <c r="AA53" s="56" t="str">
        <f t="shared" si="137"/>
        <v/>
      </c>
      <c r="AB53" s="56" t="str">
        <f t="shared" si="138"/>
        <v>ToolPrototype</v>
      </c>
      <c r="AC53" s="56" t="str">
        <f t="shared" si="177"/>
        <v/>
      </c>
      <c r="AD53" s="56" t="str">
        <f t="shared" si="140"/>
        <v xml:space="preserve"> &lt;device&gt;
    &lt;name&gt;Sxx_SIOy&lt;/name&gt;
    &lt;type&gt;AB_SBK_ENET_12I_4O&lt;/type&gt;
  &lt;/device&gt;
</v>
      </c>
      <c r="AE53" s="56" t="str">
        <f t="shared" si="141"/>
        <v/>
      </c>
      <c r="AF53"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53" s="56" t="str">
        <f t="shared" si="143"/>
        <v/>
      </c>
      <c r="AH53" s="56" t="str">
        <f t="shared" si="144"/>
        <v/>
      </c>
      <c r="AI53" s="56" t="str">
        <f t="shared" si="145"/>
        <v/>
      </c>
      <c r="AJ53" s="56" t="str">
        <f t="shared" si="146"/>
        <v/>
      </c>
      <c r="AK53" s="56" t="str">
        <f t="shared" si="147"/>
        <v/>
      </c>
      <c r="AL53" s="56" t="str">
        <f t="shared" si="148"/>
        <v/>
      </c>
      <c r="AM53" s="56" t="str">
        <f t="shared" si="149"/>
        <v/>
      </c>
      <c r="AN53" s="56" t="str">
        <f t="shared" si="178"/>
        <v/>
      </c>
      <c r="AO53" s="56" t="str">
        <f t="shared" si="179"/>
        <v/>
      </c>
      <c r="AP53" s="56" t="str">
        <f t="shared" si="180"/>
        <v>LBS</v>
      </c>
      <c r="AQ53" s="56" t="str">
        <f t="shared" si="181"/>
        <v>EXIT</v>
      </c>
      <c r="AR53" s="39" t="s">
        <v>131</v>
      </c>
      <c r="AT53" s="44" t="str">
        <f t="shared" si="182"/>
        <v>BOOL</v>
      </c>
      <c r="AU53" s="23" t="str">
        <f t="shared" si="183"/>
        <v/>
      </c>
      <c r="AV53" s="23" t="str">
        <f t="shared" si="184"/>
        <v/>
      </c>
      <c r="AW53" s="23" t="str">
        <f t="shared" si="185"/>
        <v/>
      </c>
      <c r="AX53" s="23" t="str">
        <f t="shared" si="186"/>
        <v/>
      </c>
      <c r="AY53" s="36" t="str">
        <f t="shared" si="187"/>
        <v/>
      </c>
      <c r="BB53" s="42" t="s">
        <v>17</v>
      </c>
      <c r="BC53" t="s">
        <v>63</v>
      </c>
      <c r="BD53" t="str">
        <f>"LBS_"&amp;Header_LB_Unique_ID&amp;"_OUT_00_01_OutputPwr"</f>
        <v>LBS_Sxx_SIOy_OUT_00_01_OutputPwr</v>
      </c>
      <c r="BE53" t="s">
        <v>64</v>
      </c>
      <c r="BU53" t="s">
        <v>103</v>
      </c>
      <c r="BV53" s="30" t="s">
        <v>378</v>
      </c>
      <c r="BY53" s="42"/>
      <c r="CB53" s="42"/>
      <c r="CE53" s="30"/>
      <c r="CH53" s="42"/>
      <c r="CN53" s="30"/>
      <c r="CP53" t="s">
        <v>12</v>
      </c>
      <c r="CQ53" s="40"/>
      <c r="CR53" s="30"/>
    </row>
    <row r="54" spans="2:96" x14ac:dyDescent="0.35">
      <c r="B54" s="4" t="str">
        <f t="shared" si="160"/>
        <v>SAFE_IO_BLOCK_Sxx_SIOy</v>
      </c>
      <c r="C54" s="4"/>
      <c r="D54" s="4" t="str">
        <f t="shared" si="161"/>
        <v>To_SIM_OUT_02_03_DCPwr</v>
      </c>
      <c r="E54" s="4" t="str">
        <f t="shared" si="162"/>
        <v>LBS_Sxx_SIOy_OUT_02_03_DCPwr</v>
      </c>
      <c r="F54" s="4" t="str">
        <f t="shared" si="163"/>
        <v>I</v>
      </c>
      <c r="G54" s="4" t="str">
        <f t="shared" si="164"/>
        <v/>
      </c>
      <c r="H54" s="4" t="str">
        <f t="shared" si="165"/>
        <v/>
      </c>
      <c r="I54" s="4" t="str">
        <f t="shared" si="166"/>
        <v/>
      </c>
      <c r="J54" s="4"/>
      <c r="K54" s="56" t="str">
        <f t="shared" si="167"/>
        <v>BOOL</v>
      </c>
      <c r="L54" s="56" t="str">
        <f t="shared" si="125"/>
        <v>SYSTEM\SAFE_IO_BLOCKS</v>
      </c>
      <c r="M54" s="56" t="str">
        <f t="shared" si="126"/>
        <v>STELLANTIS\Common\ToolPrototype\Devices</v>
      </c>
      <c r="N54" s="56" t="str">
        <f t="shared" si="127"/>
        <v>STELLANTIS_EIP_AB_SAFE_IO_BLOCK_12IN4OUT_ENET_Sxx_SIOy.v00</v>
      </c>
      <c r="O54" s="56" t="str">
        <f t="shared" si="168"/>
        <v/>
      </c>
      <c r="P54" s="56" t="str">
        <f t="shared" si="169"/>
        <v/>
      </c>
      <c r="Q54" s="56" t="str">
        <f t="shared" si="170"/>
        <v/>
      </c>
      <c r="R54" s="56" t="str">
        <f t="shared" si="171"/>
        <v/>
      </c>
      <c r="S54" s="56" t="str">
        <f t="shared" si="172"/>
        <v/>
      </c>
      <c r="T54" s="56" t="str">
        <f t="shared" si="173"/>
        <v/>
      </c>
      <c r="U54" s="56" t="str">
        <f t="shared" si="174"/>
        <v/>
      </c>
      <c r="V54" s="56" t="str">
        <f t="shared" si="175"/>
        <v/>
      </c>
      <c r="W54" s="56"/>
      <c r="X54" s="56"/>
      <c r="Y54" s="56"/>
      <c r="Z54" s="56" t="str">
        <f t="shared" si="176"/>
        <v/>
      </c>
      <c r="AA54" s="56" t="str">
        <f t="shared" si="137"/>
        <v/>
      </c>
      <c r="AB54" s="56" t="str">
        <f t="shared" si="138"/>
        <v>ToolPrototype</v>
      </c>
      <c r="AC54" s="56" t="str">
        <f t="shared" si="177"/>
        <v/>
      </c>
      <c r="AD54" s="56" t="str">
        <f t="shared" si="140"/>
        <v xml:space="preserve"> &lt;device&gt;
    &lt;name&gt;Sxx_SIOy&lt;/name&gt;
    &lt;type&gt;AB_SBK_ENET_12I_4O&lt;/type&gt;
  &lt;/device&gt;
</v>
      </c>
      <c r="AE54" s="56" t="str">
        <f t="shared" si="141"/>
        <v/>
      </c>
      <c r="AF54"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54" s="56" t="str">
        <f t="shared" si="143"/>
        <v/>
      </c>
      <c r="AH54" s="56" t="str">
        <f t="shared" si="144"/>
        <v/>
      </c>
      <c r="AI54" s="56" t="str">
        <f t="shared" si="145"/>
        <v/>
      </c>
      <c r="AJ54" s="56" t="str">
        <f t="shared" si="146"/>
        <v/>
      </c>
      <c r="AK54" s="56" t="str">
        <f t="shared" si="147"/>
        <v/>
      </c>
      <c r="AL54" s="56" t="str">
        <f t="shared" si="148"/>
        <v/>
      </c>
      <c r="AM54" s="56" t="str">
        <f t="shared" si="149"/>
        <v/>
      </c>
      <c r="AN54" s="56" t="str">
        <f t="shared" si="178"/>
        <v/>
      </c>
      <c r="AO54" s="56" t="str">
        <f t="shared" si="179"/>
        <v/>
      </c>
      <c r="AP54" s="56" t="str">
        <f t="shared" si="180"/>
        <v>LBS</v>
      </c>
      <c r="AQ54" s="56" t="str">
        <f t="shared" si="181"/>
        <v>EXIT</v>
      </c>
      <c r="AR54" s="39" t="s">
        <v>131</v>
      </c>
      <c r="AT54" s="44" t="str">
        <f t="shared" si="182"/>
        <v>BOOL</v>
      </c>
      <c r="AU54" s="23" t="str">
        <f t="shared" si="183"/>
        <v/>
      </c>
      <c r="AV54" s="23" t="str">
        <f t="shared" si="184"/>
        <v/>
      </c>
      <c r="AW54" s="23" t="str">
        <f t="shared" si="185"/>
        <v/>
      </c>
      <c r="AX54" s="23" t="str">
        <f t="shared" si="186"/>
        <v/>
      </c>
      <c r="AY54" s="36" t="str">
        <f t="shared" si="187"/>
        <v/>
      </c>
      <c r="BB54" s="42" t="s">
        <v>17</v>
      </c>
      <c r="BC54" t="s">
        <v>63</v>
      </c>
      <c r="BD54" t="str">
        <f>"LBS_"&amp;Header_LB_Unique_ID&amp;"_OUT_02_03_DCPwr"</f>
        <v>LBS_Sxx_SIOy_OUT_02_03_DCPwr</v>
      </c>
      <c r="BE54" t="s">
        <v>64</v>
      </c>
      <c r="BU54" t="s">
        <v>103</v>
      </c>
      <c r="BV54" s="30" t="s">
        <v>379</v>
      </c>
      <c r="BY54" s="42"/>
      <c r="CB54" s="42"/>
      <c r="CE54" s="30"/>
      <c r="CH54" s="42"/>
      <c r="CN54" s="30"/>
      <c r="CP54" t="s">
        <v>12</v>
      </c>
      <c r="CQ54" s="40"/>
      <c r="CR54" s="30"/>
    </row>
    <row r="55" spans="2:96" x14ac:dyDescent="0.35">
      <c r="B55" s="4" t="str">
        <f t="shared" si="160"/>
        <v>SAFE_IO_BLOCK_Sxx_SIOy</v>
      </c>
      <c r="C55" s="4"/>
      <c r="D55" s="4" t="str">
        <f t="shared" si="161"/>
        <v>To_SIM_OUT_02_03_OutputPwr</v>
      </c>
      <c r="E55" s="4" t="str">
        <f t="shared" si="162"/>
        <v>LBS_Sxx_SIOy_OUT_02_03_OutputPwr</v>
      </c>
      <c r="F55" s="4" t="str">
        <f t="shared" si="163"/>
        <v>I</v>
      </c>
      <c r="G55" s="4" t="str">
        <f t="shared" si="164"/>
        <v/>
      </c>
      <c r="H55" s="4" t="str">
        <f t="shared" si="165"/>
        <v/>
      </c>
      <c r="I55" s="4" t="str">
        <f t="shared" si="166"/>
        <v/>
      </c>
      <c r="J55" s="4"/>
      <c r="K55" s="56" t="str">
        <f t="shared" si="167"/>
        <v>BOOL</v>
      </c>
      <c r="L55" s="56" t="str">
        <f t="shared" si="125"/>
        <v>SYSTEM\SAFE_IO_BLOCKS</v>
      </c>
      <c r="M55" s="56" t="str">
        <f t="shared" si="126"/>
        <v>STELLANTIS\Common\ToolPrototype\Devices</v>
      </c>
      <c r="N55" s="56" t="str">
        <f t="shared" si="127"/>
        <v>STELLANTIS_EIP_AB_SAFE_IO_BLOCK_12IN4OUT_ENET_Sxx_SIOy.v00</v>
      </c>
      <c r="O55" s="56" t="str">
        <f t="shared" si="168"/>
        <v/>
      </c>
      <c r="P55" s="56" t="str">
        <f t="shared" si="169"/>
        <v/>
      </c>
      <c r="Q55" s="56" t="str">
        <f t="shared" si="170"/>
        <v/>
      </c>
      <c r="R55" s="56" t="str">
        <f t="shared" si="171"/>
        <v/>
      </c>
      <c r="S55" s="56" t="str">
        <f t="shared" si="172"/>
        <v/>
      </c>
      <c r="T55" s="56" t="str">
        <f t="shared" si="173"/>
        <v/>
      </c>
      <c r="U55" s="56" t="str">
        <f t="shared" si="174"/>
        <v/>
      </c>
      <c r="V55" s="56" t="str">
        <f t="shared" si="175"/>
        <v/>
      </c>
      <c r="W55" s="56"/>
      <c r="X55" s="56"/>
      <c r="Y55" s="56"/>
      <c r="Z55" s="56" t="str">
        <f t="shared" si="176"/>
        <v/>
      </c>
      <c r="AA55" s="56" t="str">
        <f t="shared" si="137"/>
        <v/>
      </c>
      <c r="AB55" s="56" t="str">
        <f t="shared" si="138"/>
        <v>ToolPrototype</v>
      </c>
      <c r="AC55" s="56" t="str">
        <f t="shared" si="177"/>
        <v/>
      </c>
      <c r="AD55" s="56" t="str">
        <f t="shared" si="140"/>
        <v xml:space="preserve"> &lt;device&gt;
    &lt;name&gt;Sxx_SIOy&lt;/name&gt;
    &lt;type&gt;AB_SBK_ENET_12I_4O&lt;/type&gt;
  &lt;/device&gt;
</v>
      </c>
      <c r="AE55" s="56" t="str">
        <f t="shared" si="141"/>
        <v/>
      </c>
      <c r="AF55" s="56" t="str">
        <f t="shared" si="142"/>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c r="AG55" s="56" t="str">
        <f t="shared" si="143"/>
        <v/>
      </c>
      <c r="AH55" s="56" t="str">
        <f t="shared" si="144"/>
        <v/>
      </c>
      <c r="AI55" s="56" t="str">
        <f t="shared" si="145"/>
        <v/>
      </c>
      <c r="AJ55" s="56" t="str">
        <f t="shared" si="146"/>
        <v/>
      </c>
      <c r="AK55" s="56" t="str">
        <f t="shared" si="147"/>
        <v/>
      </c>
      <c r="AL55" s="56" t="str">
        <f t="shared" si="148"/>
        <v/>
      </c>
      <c r="AM55" s="56" t="str">
        <f t="shared" si="149"/>
        <v/>
      </c>
      <c r="AN55" s="56" t="str">
        <f t="shared" si="178"/>
        <v/>
      </c>
      <c r="AO55" s="56" t="str">
        <f t="shared" si="179"/>
        <v/>
      </c>
      <c r="AP55" s="56" t="str">
        <f t="shared" si="180"/>
        <v>LBS</v>
      </c>
      <c r="AQ55" s="56" t="str">
        <f t="shared" si="181"/>
        <v>EXIT</v>
      </c>
      <c r="AR55" s="39" t="s">
        <v>131</v>
      </c>
      <c r="AT55" s="44" t="str">
        <f t="shared" si="182"/>
        <v>BOOL</v>
      </c>
      <c r="AU55" s="23" t="str">
        <f t="shared" si="183"/>
        <v/>
      </c>
      <c r="AV55" s="23" t="str">
        <f t="shared" si="184"/>
        <v/>
      </c>
      <c r="AW55" s="23" t="str">
        <f t="shared" si="185"/>
        <v/>
      </c>
      <c r="AX55" s="23" t="str">
        <f t="shared" si="186"/>
        <v/>
      </c>
      <c r="AY55" s="36" t="str">
        <f t="shared" si="187"/>
        <v/>
      </c>
      <c r="BB55" s="42" t="s">
        <v>17</v>
      </c>
      <c r="BC55" t="s">
        <v>63</v>
      </c>
      <c r="BD55" t="str">
        <f>"LBS_"&amp;Header_LB_Unique_ID&amp;"_OUT_02_03_OutputPwr"</f>
        <v>LBS_Sxx_SIOy_OUT_02_03_OutputPwr</v>
      </c>
      <c r="BE55" t="s">
        <v>64</v>
      </c>
      <c r="BU55" t="s">
        <v>103</v>
      </c>
      <c r="BV55" s="30" t="s">
        <v>380</v>
      </c>
      <c r="BY55" s="42"/>
      <c r="CB55" s="42"/>
      <c r="CE55" s="30"/>
      <c r="CH55" s="42"/>
      <c r="CN55" s="30"/>
      <c r="CP55" t="s">
        <v>12</v>
      </c>
      <c r="CQ55" s="40"/>
      <c r="CR55" s="30"/>
    </row>
    <row r="56" spans="2:96" x14ac:dyDescent="0.35">
      <c r="B56" s="4"/>
      <c r="C56" s="4"/>
      <c r="D56" s="4"/>
      <c r="E56" s="4"/>
      <c r="F56" s="4"/>
      <c r="G56" s="4"/>
      <c r="H56" s="4"/>
      <c r="I56" s="4"/>
      <c r="J56" s="4"/>
      <c r="K56" s="56"/>
      <c r="L56" s="56"/>
      <c r="M56" s="56"/>
      <c r="N56" s="56"/>
      <c r="O56" s="56"/>
      <c r="P56" s="56"/>
      <c r="Q56" s="56"/>
      <c r="R56" s="56"/>
      <c r="S56" s="56"/>
      <c r="T56" s="56"/>
      <c r="U56" s="56"/>
      <c r="V56" s="56"/>
      <c r="W56" s="56"/>
      <c r="X56" s="56"/>
      <c r="Y56" s="56"/>
      <c r="Z56" s="56"/>
      <c r="AA56" s="56"/>
      <c r="AB56" s="56"/>
      <c r="AC56" s="56"/>
      <c r="AD56" s="56"/>
      <c r="AE56" s="56"/>
      <c r="AF56" s="56"/>
      <c r="AG56" s="56"/>
      <c r="AH56" s="56"/>
      <c r="AI56" s="56"/>
      <c r="AJ56" s="56"/>
      <c r="AK56" s="56"/>
      <c r="AL56" s="56"/>
      <c r="AM56" s="56"/>
      <c r="AN56" s="56"/>
      <c r="AO56" s="56"/>
      <c r="AP56" s="56"/>
      <c r="AQ56" s="56"/>
      <c r="AR56" s="39"/>
      <c r="AT56" s="44"/>
      <c r="AU56" s="23"/>
      <c r="AV56" s="23"/>
      <c r="AW56" s="23"/>
      <c r="AX56" s="23"/>
      <c r="AY56" s="36"/>
      <c r="BB56" s="42"/>
      <c r="BV56" s="30"/>
      <c r="BY56" s="42"/>
      <c r="CB56" s="42"/>
      <c r="CE56" s="30"/>
      <c r="CH56" s="42"/>
      <c r="CN56" s="30"/>
      <c r="CQ56" s="40"/>
      <c r="CR56" s="30"/>
    </row>
  </sheetData>
  <conditionalFormatting sqref="BF14:BF56">
    <cfRule type="expression" dxfId="25" priority="294">
      <formula>AND(OR(AND($BC14="LBS",$BB14="EXIT"),AND($BC14="CUSTOM",$BU14&lt;&gt;"PLC",$BU14&lt;&gt;"PSF")),$B14&lt;&gt;"")</formula>
    </cfRule>
  </conditionalFormatting>
  <conditionalFormatting sqref="CL14:CL56 CH14:CI56">
    <cfRule type="expression" dxfId="24" priority="316">
      <formula>AND(OR($BB14="ENTRY",$BC14&lt;&gt;"PSF"),$B14&lt;&gt;"")</formula>
    </cfRule>
  </conditionalFormatting>
  <conditionalFormatting sqref="CM14:CO56 BY14:BZ56 CJ14:CK56">
    <cfRule type="expression" dxfId="23" priority="319">
      <formula>AND($BC14&lt;&gt;"PLC",$BC14&lt;&gt;"PSF",$B14&lt;&gt;"")</formula>
    </cfRule>
  </conditionalFormatting>
  <conditionalFormatting sqref="BH14:BI56">
    <cfRule type="expression" dxfId="22" priority="296">
      <formula>AND($BC14&lt;&gt;"PLC",$BC14&lt;&gt;"PSF",$BC14&lt;&gt;"SNS",$BC14&lt;&gt;"OPR",$BC14&lt;&gt;"RBT",$BC14&lt;&gt;"CUSTOM",$B14&lt;&gt;"")</formula>
    </cfRule>
  </conditionalFormatting>
  <conditionalFormatting sqref="BU14:BU56">
    <cfRule type="expression" dxfId="21" priority="302">
      <formula>AND($BC14&lt;&gt;"CUSTOM",$B14&lt;&gt;"")</formula>
    </cfRule>
  </conditionalFormatting>
  <conditionalFormatting sqref="BG14:BG56">
    <cfRule type="expression" dxfId="20" priority="295">
      <formula>AND($BC14&lt;&gt;"PLC",$BC14&lt;&gt;"PSF",$BC14&lt;&gt;"RBT",$BC14&lt;&gt;"OPR",$BC14&lt;&gt;"SNS",$BC14&lt;&gt;"CUSTOM",$B14&lt;&gt;"")</formula>
    </cfRule>
  </conditionalFormatting>
  <conditionalFormatting sqref="BT14:BT56">
    <cfRule type="expression" dxfId="19" priority="6">
      <formula>NOT(ISBLANK($BT14))</formula>
    </cfRule>
  </conditionalFormatting>
  <conditionalFormatting sqref="BJ14:BL56">
    <cfRule type="expression" dxfId="18" priority="298">
      <formula>AND($BC14&lt;&gt;"SNS",$BC14&lt;&gt;"OPR",$B14&lt;&gt;"")</formula>
    </cfRule>
  </conditionalFormatting>
  <conditionalFormatting sqref="B14:J56">
    <cfRule type="expression" dxfId="17" priority="241">
      <formula>AND($BB14="ENTRY",$BC14="PLC")</formula>
    </cfRule>
    <cfRule type="expression" dxfId="16" priority="243">
      <formula>AND($BB14="EXIT",$BC14="PLC")</formula>
    </cfRule>
    <cfRule type="expression" dxfId="15" priority="245">
      <formula>AND($BB14="ENTRY",$BC14="PSF")</formula>
    </cfRule>
    <cfRule type="expression" dxfId="14" priority="247">
      <formula>AND($BB14="EXIT",$BC14="PSF")</formula>
    </cfRule>
    <cfRule type="expression" dxfId="13" priority="248">
      <formula>AND($BB14="ENTRY",$BC14="RBT")</formula>
    </cfRule>
    <cfRule type="expression" dxfId="12" priority="249">
      <formula>AND($BB14="EXIT",$BC14="RBT")</formula>
    </cfRule>
    <cfRule type="expression" dxfId="11" priority="250">
      <formula>AND($BB14="ENTRY",$BC14="OPR")</formula>
    </cfRule>
    <cfRule type="expression" dxfId="10" priority="251">
      <formula>AND($BB14="EXIT",$BC14="OPR")</formula>
    </cfRule>
    <cfRule type="expression" dxfId="9" priority="253">
      <formula>AND($BB14="ENTRY",$BC14="LBS")</formula>
    </cfRule>
    <cfRule type="expression" dxfId="8" priority="254">
      <formula>AND($BB14="EXIT",$BC14="LBS")</formula>
    </cfRule>
    <cfRule type="expression" dxfId="7" priority="255">
      <formula>AND($BB14="ENTRY",$BC14="SNS")</formula>
    </cfRule>
    <cfRule type="expression" dxfId="6" priority="256">
      <formula>AND($BB14="ENTRY",$BC14="KEY")</formula>
    </cfRule>
    <cfRule type="expression" dxfId="5" priority="291">
      <formula>AND($BB14="ENTRY",$BC14="CUSTOM")</formula>
    </cfRule>
    <cfRule type="expression" dxfId="4" priority="292">
      <formula>AND($BB14="EXIT",$BC14="CUSTOM")</formula>
    </cfRule>
  </conditionalFormatting>
  <conditionalFormatting sqref="B14:CR56">
    <cfRule type="expression" dxfId="3" priority="2">
      <formula>$B14=""</formula>
    </cfRule>
  </conditionalFormatting>
  <conditionalFormatting sqref="AT14:CR56">
    <cfRule type="expression" dxfId="2" priority="1">
      <formula>AND(OR($BB14&lt;&gt;$BB13,$BC14&lt;&gt;$BC13),AT$13&lt;&gt;"x")</formula>
    </cfRule>
  </conditionalFormatting>
  <conditionalFormatting sqref="BM14:BO56">
    <cfRule type="expression" dxfId="1" priority="5">
      <formula>AND(TRUE,$B14&lt;&gt;"")</formula>
    </cfRule>
  </conditionalFormatting>
  <conditionalFormatting sqref="AT56:CR56">
    <cfRule type="expression" dxfId="0" priority="379">
      <formula>AND(OR($BB56&lt;&gt;$BB49,$BC56&lt;&gt;$BC49),AT$13&lt;&gt;"x")</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71" r:id="rId4" name="cmdBackupLB">
          <controlPr autoLine="0" r:id="rId5">
            <anchor moveWithCells="1">
              <from>
                <xdr:col>3</xdr:col>
                <xdr:colOff>1466850</xdr:colOff>
                <xdr:row>0</xdr:row>
                <xdr:rowOff>50800</xdr:rowOff>
              </from>
              <to>
                <xdr:col>3</xdr:col>
                <xdr:colOff>2692400</xdr:colOff>
                <xdr:row>2</xdr:row>
                <xdr:rowOff>158750</xdr:rowOff>
              </to>
            </anchor>
          </controlPr>
        </control>
      </mc:Choice>
      <mc:Fallback>
        <control shapeId="2071" r:id="rId4" name="cmdBackupLB"/>
      </mc:Fallback>
    </mc:AlternateContent>
    <mc:AlternateContent xmlns:mc="http://schemas.openxmlformats.org/markup-compatibility/2006">
      <mc:Choice Requires="x14">
        <control shapeId="2064" r:id="rId6" name="cmdGenerateLBEntriesExits">
          <controlPr autoLine="0" r:id="rId7">
            <anchor moveWithCells="1">
              <from>
                <xdr:col>3</xdr:col>
                <xdr:colOff>69850</xdr:colOff>
                <xdr:row>0</xdr:row>
                <xdr:rowOff>50800</xdr:rowOff>
              </from>
              <to>
                <xdr:col>3</xdr:col>
                <xdr:colOff>1295400</xdr:colOff>
                <xdr:row>2</xdr:row>
                <xdr:rowOff>158750</xdr:rowOff>
              </to>
            </anchor>
          </controlPr>
        </control>
      </mc:Choice>
      <mc:Fallback>
        <control shapeId="2064" r:id="rId6" name="cmdGenerateLBEntriesExits"/>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BB14:BB55</xm:sqref>
        </x14:dataValidation>
        <x14:dataValidation type="list" allowBlank="1" showInputMessage="1" showErrorMessage="1" xr:uid="{00000000-0002-0000-0200-000001000000}">
          <x14:formula1>
            <xm:f>Lists!$C$3:$C$10</xm:f>
          </x14:formula1>
          <xm:sqref>BC14:BC55</xm:sqref>
        </x14:dataValidation>
        <x14:dataValidation type="list" allowBlank="1" showInputMessage="1" xr:uid="{00000000-0002-0000-0200-000002000000}">
          <x14:formula1>
            <xm:f>Lists!$E$3:$E$10</xm:f>
          </x14:formula1>
          <xm:sqref>BU14:BU55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election activeCell="C7" sqref="C7"/>
    </sheetView>
  </sheetViews>
  <sheetFormatPr defaultRowHeight="14.5" x14ac:dyDescent="0.35"/>
  <cols>
    <col min="1" max="1" width="2.81640625" customWidth="1"/>
    <col min="2" max="2" width="27" bestFit="1" customWidth="1"/>
    <col min="3" max="3" width="146.7265625" customWidth="1"/>
  </cols>
  <sheetData>
    <row r="2" spans="2:3" x14ac:dyDescent="0.35">
      <c r="C2" s="68" t="s">
        <v>212</v>
      </c>
    </row>
    <row r="4" spans="2:3" ht="72.5" x14ac:dyDescent="0.35">
      <c r="B4" s="66" t="s">
        <v>190</v>
      </c>
      <c r="C4" s="65" t="s">
        <v>289</v>
      </c>
    </row>
    <row r="5" spans="2:3" x14ac:dyDescent="0.35">
      <c r="B5" s="66" t="s">
        <v>200</v>
      </c>
      <c r="C5" s="65"/>
    </row>
    <row r="6" spans="2:3" ht="145" x14ac:dyDescent="0.35">
      <c r="B6" s="66" t="s">
        <v>191</v>
      </c>
      <c r="C6" s="65" t="str">
        <f>"
&lt;trackeritem&gt;
"&amp;Prep!$D$6&amp;"
"&amp;Prep!$D$7&amp;"
"&amp;Prep!$D$8&amp;"
"&amp;Prep!$D$9&amp;"
"&amp;Prep!$D$10&amp;"
"&amp;Prep!$D$11&amp;"
"&amp;Prep!$D$12&amp;"
&lt;/trackeritem&gt;"</f>
        <v xml:space="preserve">
&lt;trackeritem&gt;
&lt;component&gt;STELLANTIS_EIP_AB_SAFE_IO_BLOCK_12IN4OUT_ENET_Sxx_SIOy&lt;/component&gt;
&lt;type&gt;Safe IO Block&lt;/type&gt;
&lt;name&gt;Sxx_SIOy&lt;/name&gt;
&lt;module_name&gt;Sxx_SIOy&lt;/module_name&gt;
&lt;module_type&gt;1732ES-IB12XOBV2&lt;/module_type&gt;
&lt;enet_node&gt;ENET_STAT_1stSYS_ID[126]&lt;/enet_node&gt;
&lt;enet_port&gt;SxxESWy:17&lt;/enet_port&gt;
&lt;/trackeritem&gt;</v>
      </c>
    </row>
    <row r="7" spans="2:3" x14ac:dyDescent="0.35">
      <c r="B7" s="66" t="s">
        <v>193</v>
      </c>
      <c r="C7" s="65"/>
    </row>
    <row r="8" spans="2:3" x14ac:dyDescent="0.35">
      <c r="B8" s="66" t="s">
        <v>194</v>
      </c>
      <c r="C8" s="65"/>
    </row>
    <row r="9" spans="2:3" x14ac:dyDescent="0.35">
      <c r="B9" s="66" t="s">
        <v>195</v>
      </c>
      <c r="C9" s="65"/>
    </row>
    <row r="10" spans="2:3" x14ac:dyDescent="0.35">
      <c r="B10" s="66" t="s">
        <v>196</v>
      </c>
      <c r="C10" s="65"/>
    </row>
    <row r="11" spans="2:3" x14ac:dyDescent="0.35">
      <c r="B11" s="66" t="s">
        <v>197</v>
      </c>
      <c r="C11" s="65"/>
    </row>
    <row r="12" spans="2:3" x14ac:dyDescent="0.35">
      <c r="B12" s="66" t="s">
        <v>198</v>
      </c>
      <c r="C12" s="65"/>
    </row>
    <row r="13" spans="2:3" x14ac:dyDescent="0.35">
      <c r="B13" s="66" t="s">
        <v>199</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40"/>
  <sheetViews>
    <sheetView topLeftCell="A34" zoomScaleNormal="100" workbookViewId="0">
      <pane xSplit="2" topLeftCell="C1" activePane="topRight" state="frozenSplit"/>
      <selection activeCell="A34" sqref="A34"/>
      <selection pane="topRight" activeCell="A44" sqref="A44:D45"/>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59</v>
      </c>
      <c r="B1" s="14" t="s">
        <v>33</v>
      </c>
      <c r="C1" s="14" t="s">
        <v>11</v>
      </c>
      <c r="D1" s="14"/>
      <c r="E1" s="14"/>
      <c r="F1" s="14"/>
      <c r="G1" s="14"/>
      <c r="H1" s="14"/>
      <c r="I1" s="18"/>
      <c r="J1" s="18"/>
      <c r="K1" s="18"/>
      <c r="L1" s="18"/>
    </row>
    <row r="2" spans="1:12" s="15" customFormat="1" x14ac:dyDescent="0.35">
      <c r="A2" s="81" t="s">
        <v>371</v>
      </c>
      <c r="B2" s="17" t="s">
        <v>12</v>
      </c>
      <c r="C2" s="81" t="s">
        <v>168</v>
      </c>
      <c r="D2" s="16"/>
      <c r="E2" s="16"/>
      <c r="F2" s="16"/>
      <c r="G2" s="16"/>
      <c r="H2" s="16"/>
      <c r="I2" s="11"/>
      <c r="J2" s="11"/>
      <c r="K2" s="11"/>
      <c r="L2" s="11"/>
    </row>
    <row r="3" spans="1:12" s="15" customFormat="1" x14ac:dyDescent="0.35">
      <c r="A3" s="81" t="s">
        <v>372</v>
      </c>
      <c r="B3" s="17" t="s">
        <v>12</v>
      </c>
      <c r="C3" s="81" t="s">
        <v>168</v>
      </c>
      <c r="D3" s="16"/>
      <c r="E3" s="16"/>
      <c r="F3" s="16"/>
      <c r="G3" s="16"/>
      <c r="H3" s="16"/>
      <c r="I3" s="11"/>
      <c r="J3" s="11"/>
      <c r="K3" s="11"/>
      <c r="L3" s="11"/>
    </row>
    <row r="4" spans="1:12" s="15" customFormat="1" x14ac:dyDescent="0.35">
      <c r="A4" s="81" t="s">
        <v>373</v>
      </c>
      <c r="B4" s="17" t="s">
        <v>12</v>
      </c>
      <c r="C4" s="81" t="s">
        <v>168</v>
      </c>
      <c r="D4" s="16"/>
      <c r="E4" s="16"/>
      <c r="F4" s="16"/>
      <c r="G4" s="16"/>
      <c r="H4" s="16"/>
      <c r="I4" s="11"/>
      <c r="J4" s="11"/>
      <c r="K4" s="11"/>
      <c r="L4" s="11"/>
    </row>
    <row r="5" spans="1:12" s="15" customFormat="1" x14ac:dyDescent="0.35">
      <c r="A5" s="81" t="s">
        <v>374</v>
      </c>
      <c r="B5" s="17" t="s">
        <v>12</v>
      </c>
      <c r="C5" s="81" t="s">
        <v>168</v>
      </c>
      <c r="D5" s="16"/>
      <c r="E5" s="16"/>
      <c r="F5" s="16"/>
      <c r="G5" s="16"/>
      <c r="H5" s="16"/>
      <c r="I5" s="11"/>
      <c r="J5" s="11"/>
      <c r="K5" s="11"/>
      <c r="L5" s="11"/>
    </row>
    <row r="6" spans="1:12" s="15" customFormat="1" x14ac:dyDescent="0.35">
      <c r="A6" s="81" t="s">
        <v>253</v>
      </c>
      <c r="B6" s="17" t="s">
        <v>12</v>
      </c>
      <c r="C6" s="81" t="s">
        <v>131</v>
      </c>
      <c r="D6" s="16"/>
      <c r="E6" s="16"/>
      <c r="F6" s="16"/>
      <c r="G6" s="16"/>
      <c r="H6" s="16"/>
      <c r="I6" s="11"/>
      <c r="J6" s="11"/>
      <c r="K6" s="11"/>
      <c r="L6" s="11"/>
    </row>
    <row r="7" spans="1:12" s="15" customFormat="1" x14ac:dyDescent="0.35">
      <c r="A7" s="81" t="s">
        <v>254</v>
      </c>
      <c r="B7" s="17" t="s">
        <v>12</v>
      </c>
      <c r="C7" s="81" t="s">
        <v>131</v>
      </c>
      <c r="D7" s="16"/>
      <c r="E7" s="16"/>
      <c r="F7" s="16"/>
      <c r="G7" s="16"/>
      <c r="H7" s="16"/>
      <c r="I7" s="11"/>
      <c r="J7" s="11"/>
      <c r="K7" s="11"/>
      <c r="L7" s="11"/>
    </row>
    <row r="8" spans="1:12" s="15" customFormat="1" x14ac:dyDescent="0.35">
      <c r="A8" s="81" t="s">
        <v>270</v>
      </c>
      <c r="B8" s="17" t="s">
        <v>12</v>
      </c>
      <c r="C8" s="81" t="s">
        <v>131</v>
      </c>
      <c r="D8" s="16"/>
      <c r="E8" s="16"/>
      <c r="F8" s="16"/>
      <c r="G8" s="16"/>
      <c r="H8" s="16"/>
      <c r="I8" s="11"/>
      <c r="J8" s="11"/>
      <c r="K8" s="11"/>
      <c r="L8" s="11"/>
    </row>
    <row r="9" spans="1:12" s="15" customFormat="1" x14ac:dyDescent="0.35">
      <c r="A9" s="81" t="s">
        <v>257</v>
      </c>
      <c r="B9" s="17" t="s">
        <v>12</v>
      </c>
      <c r="C9" s="81" t="s">
        <v>131</v>
      </c>
      <c r="D9" s="16"/>
      <c r="E9" s="16"/>
      <c r="F9" s="16"/>
      <c r="G9" s="16"/>
      <c r="H9" s="16"/>
      <c r="I9" s="11"/>
      <c r="J9" s="11"/>
      <c r="K9" s="11"/>
      <c r="L9" s="11"/>
    </row>
    <row r="10" spans="1:12" s="15" customFormat="1" x14ac:dyDescent="0.35">
      <c r="A10" s="81" t="s">
        <v>273</v>
      </c>
      <c r="B10" s="17" t="s">
        <v>12</v>
      </c>
      <c r="C10" s="81" t="s">
        <v>131</v>
      </c>
      <c r="D10" s="16"/>
      <c r="E10" s="16"/>
      <c r="F10" s="16"/>
      <c r="G10" s="16"/>
      <c r="H10" s="16"/>
      <c r="I10" s="11"/>
      <c r="J10" s="11"/>
      <c r="K10" s="11"/>
      <c r="L10" s="11"/>
    </row>
    <row r="11" spans="1:12" s="15" customFormat="1" x14ac:dyDescent="0.35">
      <c r="A11" s="81"/>
      <c r="B11" s="17"/>
      <c r="C11" s="81"/>
      <c r="D11" s="16"/>
      <c r="E11" s="16"/>
      <c r="F11" s="16"/>
      <c r="G11" s="16"/>
      <c r="H11" s="16"/>
      <c r="I11" s="11"/>
      <c r="J11" s="11"/>
      <c r="K11" s="11"/>
      <c r="L11" s="11"/>
    </row>
    <row r="12" spans="1:12" s="15" customFormat="1" x14ac:dyDescent="0.35">
      <c r="A12" s="81"/>
      <c r="B12" s="17"/>
      <c r="C12" s="81"/>
      <c r="D12" s="16"/>
      <c r="E12" s="16"/>
      <c r="F12" s="16"/>
      <c r="G12" s="16"/>
      <c r="H12" s="16"/>
      <c r="I12" s="11"/>
      <c r="J12" s="11"/>
      <c r="K12" s="11"/>
      <c r="L12" s="11"/>
    </row>
    <row r="13" spans="1:12" s="15" customFormat="1" x14ac:dyDescent="0.35">
      <c r="A13" s="81"/>
      <c r="B13" s="17"/>
      <c r="C13" s="81"/>
      <c r="D13" s="16"/>
      <c r="E13" s="16"/>
      <c r="F13" s="16"/>
      <c r="G13" s="16"/>
      <c r="H13" s="16"/>
      <c r="I13" s="11"/>
      <c r="J13" s="11"/>
      <c r="K13" s="11"/>
      <c r="L13" s="11"/>
    </row>
    <row r="14" spans="1:12" s="15" customFormat="1" x14ac:dyDescent="0.35">
      <c r="A14" s="81"/>
      <c r="B14" s="17"/>
      <c r="C14" s="81"/>
      <c r="D14" s="16"/>
      <c r="E14" s="16"/>
      <c r="F14" s="16"/>
      <c r="G14" s="16"/>
      <c r="H14" s="16"/>
      <c r="I14" s="11"/>
      <c r="J14" s="11"/>
      <c r="K14" s="11"/>
      <c r="L14" s="11"/>
    </row>
    <row r="15" spans="1:12" s="15" customFormat="1" x14ac:dyDescent="0.35">
      <c r="A15" s="81"/>
      <c r="B15" s="17"/>
      <c r="C15" s="81"/>
      <c r="D15" s="16"/>
      <c r="E15" s="16"/>
      <c r="F15" s="16"/>
      <c r="G15" s="16"/>
      <c r="H15" s="16"/>
      <c r="I15" s="11"/>
      <c r="J15" s="11"/>
      <c r="K15" s="11"/>
      <c r="L15" s="11"/>
    </row>
    <row r="16" spans="1:12" x14ac:dyDescent="0.35">
      <c r="A16" s="14" t="s">
        <v>58</v>
      </c>
      <c r="B16" s="14" t="s">
        <v>33</v>
      </c>
      <c r="C16" s="14" t="s">
        <v>11</v>
      </c>
      <c r="D16" s="14" t="s">
        <v>31</v>
      </c>
      <c r="E16" s="14" t="s">
        <v>159</v>
      </c>
      <c r="F16" s="14"/>
      <c r="G16" s="14"/>
      <c r="H16" s="14"/>
      <c r="I16" s="14"/>
      <c r="J16" s="14"/>
      <c r="K16" s="14"/>
      <c r="L16" s="14"/>
    </row>
    <row r="17" spans="1:12" s="15" customFormat="1" x14ac:dyDescent="0.35">
      <c r="A17" s="81" t="s">
        <v>262</v>
      </c>
      <c r="B17" s="17" t="s">
        <v>12</v>
      </c>
      <c r="C17" s="81" t="s">
        <v>131</v>
      </c>
      <c r="D17" s="82" t="s">
        <v>251</v>
      </c>
      <c r="E17" s="81"/>
      <c r="F17" s="16"/>
      <c r="G17" s="16"/>
      <c r="H17" s="16"/>
      <c r="I17" s="16"/>
      <c r="J17" s="20"/>
      <c r="K17" s="16"/>
      <c r="L17" s="16"/>
    </row>
    <row r="18" spans="1:12" s="15" customFormat="1" x14ac:dyDescent="0.35">
      <c r="A18" s="81" t="s">
        <v>263</v>
      </c>
      <c r="B18" s="17" t="s">
        <v>12</v>
      </c>
      <c r="C18" s="81" t="s">
        <v>131</v>
      </c>
      <c r="D18" s="82" t="s">
        <v>264</v>
      </c>
      <c r="E18" s="81"/>
      <c r="F18" s="16"/>
      <c r="G18" s="16"/>
      <c r="H18" s="16"/>
      <c r="I18" s="16"/>
      <c r="J18" s="20"/>
      <c r="K18" s="16"/>
      <c r="L18" s="16"/>
    </row>
    <row r="19" spans="1:12" s="15" customFormat="1" x14ac:dyDescent="0.35">
      <c r="A19" s="81" t="s">
        <v>313</v>
      </c>
      <c r="B19" s="17" t="s">
        <v>12</v>
      </c>
      <c r="C19" s="81" t="s">
        <v>168</v>
      </c>
      <c r="D19" s="82" t="s">
        <v>383</v>
      </c>
      <c r="E19" s="81"/>
      <c r="F19" s="16"/>
      <c r="G19" s="16"/>
      <c r="H19" s="16"/>
      <c r="I19" s="16"/>
      <c r="J19" s="20"/>
      <c r="K19" s="16"/>
      <c r="L19" s="16"/>
    </row>
    <row r="20" spans="1:12" s="15" customFormat="1" x14ac:dyDescent="0.35">
      <c r="A20" s="81" t="s">
        <v>314</v>
      </c>
      <c r="B20" s="17" t="s">
        <v>12</v>
      </c>
      <c r="C20" s="81" t="s">
        <v>168</v>
      </c>
      <c r="D20" s="82" t="s">
        <v>383</v>
      </c>
      <c r="E20" s="81"/>
      <c r="F20" s="16"/>
      <c r="G20" s="16"/>
      <c r="H20" s="16"/>
      <c r="I20" s="16"/>
      <c r="J20" s="20"/>
      <c r="K20" s="16"/>
      <c r="L20" s="16"/>
    </row>
    <row r="21" spans="1:12" s="15" customFormat="1" x14ac:dyDescent="0.35">
      <c r="A21" s="81" t="s">
        <v>315</v>
      </c>
      <c r="B21" s="17" t="s">
        <v>12</v>
      </c>
      <c r="C21" s="81" t="s">
        <v>168</v>
      </c>
      <c r="D21" s="82" t="s">
        <v>383</v>
      </c>
      <c r="E21" s="81"/>
      <c r="F21" s="16"/>
      <c r="G21" s="16"/>
      <c r="H21" s="16"/>
      <c r="I21" s="16"/>
      <c r="J21" s="20"/>
      <c r="K21" s="16"/>
      <c r="L21" s="16"/>
    </row>
    <row r="22" spans="1:12" s="15" customFormat="1" x14ac:dyDescent="0.35">
      <c r="A22" s="81" t="s">
        <v>316</v>
      </c>
      <c r="B22" s="17" t="s">
        <v>12</v>
      </c>
      <c r="C22" s="81" t="s">
        <v>168</v>
      </c>
      <c r="D22" s="82" t="s">
        <v>383</v>
      </c>
      <c r="E22" s="81"/>
      <c r="F22" s="16"/>
      <c r="G22" s="16"/>
      <c r="H22" s="16"/>
      <c r="I22" s="16"/>
      <c r="J22" s="20"/>
      <c r="K22" s="16"/>
      <c r="L22" s="16"/>
    </row>
    <row r="23" spans="1:12" s="15" customFormat="1" x14ac:dyDescent="0.35">
      <c r="A23" s="81" t="s">
        <v>317</v>
      </c>
      <c r="B23" s="17" t="s">
        <v>12</v>
      </c>
      <c r="C23" s="81" t="s">
        <v>168</v>
      </c>
      <c r="D23" s="82" t="s">
        <v>383</v>
      </c>
      <c r="E23" s="81"/>
      <c r="F23" s="16"/>
      <c r="G23" s="16"/>
      <c r="H23" s="16"/>
      <c r="I23" s="16"/>
      <c r="J23" s="20"/>
      <c r="K23" s="16"/>
      <c r="L23" s="16"/>
    </row>
    <row r="24" spans="1:12" s="15" customFormat="1" x14ac:dyDescent="0.35">
      <c r="A24" s="81" t="s">
        <v>318</v>
      </c>
      <c r="B24" s="17" t="s">
        <v>12</v>
      </c>
      <c r="C24" s="81" t="s">
        <v>168</v>
      </c>
      <c r="D24" s="82" t="s">
        <v>383</v>
      </c>
      <c r="E24" s="81"/>
      <c r="F24" s="16"/>
      <c r="G24" s="16"/>
      <c r="H24" s="16"/>
      <c r="I24" s="16"/>
      <c r="J24" s="20"/>
      <c r="K24" s="16"/>
      <c r="L24" s="16"/>
    </row>
    <row r="25" spans="1:12" s="15" customFormat="1" x14ac:dyDescent="0.35">
      <c r="A25" s="81" t="s">
        <v>319</v>
      </c>
      <c r="B25" s="17" t="s">
        <v>12</v>
      </c>
      <c r="C25" s="81" t="s">
        <v>168</v>
      </c>
      <c r="D25" s="82" t="s">
        <v>383</v>
      </c>
      <c r="E25" s="81"/>
      <c r="F25" s="16"/>
      <c r="G25" s="16"/>
      <c r="H25" s="16"/>
      <c r="I25" s="16"/>
      <c r="J25" s="20"/>
      <c r="K25" s="16"/>
      <c r="L25" s="16"/>
    </row>
    <row r="26" spans="1:12" s="15" customFormat="1" x14ac:dyDescent="0.35">
      <c r="A26" s="81" t="s">
        <v>320</v>
      </c>
      <c r="B26" s="17" t="s">
        <v>12</v>
      </c>
      <c r="C26" s="81" t="s">
        <v>168</v>
      </c>
      <c r="D26" s="82" t="s">
        <v>383</v>
      </c>
      <c r="E26" s="81"/>
      <c r="F26" s="16"/>
      <c r="G26" s="16"/>
      <c r="H26" s="16"/>
      <c r="I26" s="16"/>
      <c r="J26" s="20"/>
      <c r="K26" s="16"/>
      <c r="L26" s="16"/>
    </row>
    <row r="27" spans="1:12" s="15" customFormat="1" x14ac:dyDescent="0.35">
      <c r="A27" s="81" t="s">
        <v>321</v>
      </c>
      <c r="B27" s="17" t="s">
        <v>12</v>
      </c>
      <c r="C27" s="81" t="s">
        <v>168</v>
      </c>
      <c r="D27" s="82" t="s">
        <v>383</v>
      </c>
      <c r="E27" s="81"/>
      <c r="F27" s="16"/>
      <c r="G27" s="16"/>
      <c r="H27" s="16"/>
      <c r="I27" s="16"/>
      <c r="J27" s="20"/>
      <c r="K27" s="16"/>
      <c r="L27" s="16"/>
    </row>
    <row r="28" spans="1:12" s="15" customFormat="1" x14ac:dyDescent="0.35">
      <c r="A28" s="81" t="s">
        <v>322</v>
      </c>
      <c r="B28" s="17" t="s">
        <v>12</v>
      </c>
      <c r="C28" s="81" t="s">
        <v>168</v>
      </c>
      <c r="D28" s="82" t="s">
        <v>383</v>
      </c>
      <c r="E28" s="81"/>
      <c r="F28" s="16"/>
      <c r="G28" s="16"/>
      <c r="H28" s="16"/>
      <c r="I28" s="16"/>
      <c r="J28" s="20"/>
      <c r="K28" s="16"/>
      <c r="L28" s="16"/>
    </row>
    <row r="29" spans="1:12" s="15" customFormat="1" x14ac:dyDescent="0.35">
      <c r="A29" s="81" t="s">
        <v>323</v>
      </c>
      <c r="B29" s="17" t="s">
        <v>12</v>
      </c>
      <c r="C29" s="81" t="s">
        <v>168</v>
      </c>
      <c r="D29" s="82" t="s">
        <v>383</v>
      </c>
      <c r="E29" s="81"/>
      <c r="F29" s="16"/>
      <c r="G29" s="16"/>
      <c r="H29" s="16"/>
      <c r="I29" s="16"/>
      <c r="J29" s="20"/>
      <c r="K29" s="16"/>
      <c r="L29" s="16"/>
    </row>
    <row r="30" spans="1:12" s="15" customFormat="1" x14ac:dyDescent="0.35">
      <c r="A30" s="81" t="s">
        <v>324</v>
      </c>
      <c r="B30" s="17" t="s">
        <v>12</v>
      </c>
      <c r="C30" s="81" t="s">
        <v>168</v>
      </c>
      <c r="D30" s="82" t="s">
        <v>383</v>
      </c>
      <c r="E30" s="81"/>
      <c r="F30" s="16"/>
      <c r="G30" s="16"/>
      <c r="H30" s="16"/>
      <c r="I30" s="16"/>
      <c r="J30" s="20"/>
      <c r="K30" s="16"/>
      <c r="L30" s="16"/>
    </row>
    <row r="31" spans="1:12" s="15" customFormat="1" x14ac:dyDescent="0.35">
      <c r="A31" s="81" t="s">
        <v>325</v>
      </c>
      <c r="B31" s="17" t="s">
        <v>12</v>
      </c>
      <c r="C31" s="81" t="s">
        <v>168</v>
      </c>
      <c r="D31" s="82" t="s">
        <v>383</v>
      </c>
      <c r="E31" s="81"/>
      <c r="F31" s="16"/>
      <c r="G31" s="16"/>
      <c r="H31" s="16"/>
      <c r="I31" s="16"/>
      <c r="J31" s="20"/>
      <c r="K31" s="16"/>
      <c r="L31" s="16"/>
    </row>
    <row r="32" spans="1:12" s="15" customFormat="1" x14ac:dyDescent="0.35">
      <c r="A32" s="81" t="s">
        <v>326</v>
      </c>
      <c r="B32" s="17" t="s">
        <v>12</v>
      </c>
      <c r="C32" s="81" t="s">
        <v>168</v>
      </c>
      <c r="D32" s="82" t="s">
        <v>383</v>
      </c>
      <c r="E32" s="81"/>
      <c r="F32" s="16"/>
      <c r="G32" s="16"/>
      <c r="H32" s="16"/>
      <c r="I32" s="16"/>
      <c r="J32" s="20"/>
      <c r="K32" s="16"/>
      <c r="L32" s="16"/>
    </row>
    <row r="33" spans="1:12" s="15" customFormat="1" x14ac:dyDescent="0.35">
      <c r="A33" s="81" t="s">
        <v>327</v>
      </c>
      <c r="B33" s="17" t="s">
        <v>12</v>
      </c>
      <c r="C33" s="81" t="s">
        <v>168</v>
      </c>
      <c r="D33" s="82" t="s">
        <v>383</v>
      </c>
      <c r="E33" s="81"/>
      <c r="F33" s="16"/>
      <c r="G33" s="16"/>
      <c r="H33" s="16"/>
      <c r="I33" s="16"/>
      <c r="J33" s="20"/>
      <c r="K33" s="16"/>
      <c r="L33" s="16"/>
    </row>
    <row r="34" spans="1:12" s="15" customFormat="1" x14ac:dyDescent="0.35">
      <c r="A34" s="81" t="s">
        <v>328</v>
      </c>
      <c r="B34" s="17" t="s">
        <v>12</v>
      </c>
      <c r="C34" s="81" t="s">
        <v>168</v>
      </c>
      <c r="D34" s="82" t="s">
        <v>383</v>
      </c>
      <c r="E34" s="81"/>
      <c r="F34" s="16"/>
      <c r="G34" s="16"/>
      <c r="H34" s="16"/>
      <c r="I34" s="16"/>
      <c r="J34" s="20"/>
      <c r="K34" s="16"/>
      <c r="L34" s="16"/>
    </row>
    <row r="35" spans="1:12" s="15" customFormat="1" x14ac:dyDescent="0.35">
      <c r="A35" s="81" t="s">
        <v>260</v>
      </c>
      <c r="B35" s="17" t="s">
        <v>12</v>
      </c>
      <c r="C35" s="81" t="s">
        <v>168</v>
      </c>
      <c r="D35" s="82" t="s">
        <v>383</v>
      </c>
      <c r="E35" s="81"/>
      <c r="F35" s="16"/>
      <c r="G35" s="16"/>
      <c r="H35" s="16"/>
      <c r="I35" s="16"/>
      <c r="J35" s="20"/>
      <c r="K35" s="16"/>
      <c r="L35" s="16"/>
    </row>
    <row r="36" spans="1:12" s="15" customFormat="1" x14ac:dyDescent="0.35">
      <c r="A36" s="81" t="s">
        <v>261</v>
      </c>
      <c r="B36" s="17" t="s">
        <v>12</v>
      </c>
      <c r="C36" s="81" t="s">
        <v>168</v>
      </c>
      <c r="D36" s="82" t="s">
        <v>383</v>
      </c>
      <c r="E36" s="81"/>
      <c r="F36" s="16"/>
      <c r="G36" s="16"/>
      <c r="H36" s="16"/>
      <c r="I36" s="16"/>
      <c r="J36" s="20"/>
      <c r="K36" s="16"/>
      <c r="L36" s="16"/>
    </row>
    <row r="37" spans="1:12" s="15" customFormat="1" x14ac:dyDescent="0.35">
      <c r="A37" s="81" t="s">
        <v>329</v>
      </c>
      <c r="B37" s="17" t="s">
        <v>12</v>
      </c>
      <c r="C37" s="81" t="s">
        <v>168</v>
      </c>
      <c r="D37" s="82" t="s">
        <v>383</v>
      </c>
      <c r="E37" s="81"/>
      <c r="F37" s="16"/>
      <c r="G37" s="16"/>
      <c r="H37" s="16"/>
      <c r="I37" s="16"/>
      <c r="J37" s="20"/>
      <c r="K37" s="16"/>
      <c r="L37" s="16"/>
    </row>
    <row r="38" spans="1:12" s="15" customFormat="1" x14ac:dyDescent="0.35">
      <c r="A38" s="81" t="s">
        <v>330</v>
      </c>
      <c r="B38" s="17" t="s">
        <v>12</v>
      </c>
      <c r="C38" s="81" t="s">
        <v>168</v>
      </c>
      <c r="D38" s="82" t="s">
        <v>384</v>
      </c>
      <c r="E38" s="81"/>
      <c r="F38" s="16"/>
      <c r="G38" s="16"/>
      <c r="H38" s="16"/>
      <c r="I38" s="16"/>
      <c r="J38" s="20"/>
      <c r="K38" s="16"/>
      <c r="L38" s="16"/>
    </row>
    <row r="39" spans="1:12" s="15" customFormat="1" x14ac:dyDescent="0.35">
      <c r="A39" s="81" t="s">
        <v>331</v>
      </c>
      <c r="B39" s="17" t="s">
        <v>12</v>
      </c>
      <c r="C39" s="81" t="s">
        <v>168</v>
      </c>
      <c r="D39" s="82" t="s">
        <v>383</v>
      </c>
      <c r="E39" s="81"/>
      <c r="F39" s="16"/>
      <c r="G39" s="16"/>
      <c r="H39" s="16"/>
      <c r="I39" s="16"/>
      <c r="J39" s="20"/>
      <c r="K39" s="16"/>
      <c r="L39" s="16"/>
    </row>
    <row r="40" spans="1:12" s="15" customFormat="1" x14ac:dyDescent="0.35">
      <c r="A40" s="81" t="s">
        <v>274</v>
      </c>
      <c r="B40" s="17" t="s">
        <v>100</v>
      </c>
      <c r="C40" s="81" t="s">
        <v>131</v>
      </c>
      <c r="D40" s="82" t="s">
        <v>250</v>
      </c>
      <c r="E40" s="81"/>
      <c r="F40" s="16"/>
      <c r="G40" s="16"/>
      <c r="H40" s="16"/>
      <c r="I40" s="16"/>
      <c r="J40" s="20"/>
      <c r="K40" s="16"/>
      <c r="L40" s="16"/>
    </row>
    <row r="41" spans="1:12" s="15" customFormat="1" x14ac:dyDescent="0.35">
      <c r="A41" s="81" t="s">
        <v>275</v>
      </c>
      <c r="B41" s="17" t="s">
        <v>12</v>
      </c>
      <c r="C41" s="81" t="s">
        <v>168</v>
      </c>
      <c r="D41" s="82" t="s">
        <v>383</v>
      </c>
      <c r="E41" s="81"/>
      <c r="F41" s="16"/>
      <c r="G41" s="16"/>
      <c r="H41" s="16"/>
      <c r="I41" s="16"/>
      <c r="J41" s="20"/>
      <c r="K41" s="16"/>
      <c r="L41" s="16"/>
    </row>
    <row r="42" spans="1:12" s="15" customFormat="1" x14ac:dyDescent="0.35">
      <c r="A42" s="81" t="s">
        <v>256</v>
      </c>
      <c r="B42" s="17" t="s">
        <v>12</v>
      </c>
      <c r="C42" s="81" t="s">
        <v>131</v>
      </c>
      <c r="D42" s="82" t="s">
        <v>383</v>
      </c>
      <c r="E42" s="81"/>
      <c r="F42" s="16"/>
      <c r="G42" s="16"/>
      <c r="H42" s="16"/>
      <c r="I42" s="16"/>
      <c r="J42" s="20"/>
      <c r="K42" s="16"/>
      <c r="L42" s="16"/>
    </row>
    <row r="43" spans="1:12" s="15" customFormat="1" x14ac:dyDescent="0.35">
      <c r="A43" s="81" t="s">
        <v>255</v>
      </c>
      <c r="B43" s="17" t="s">
        <v>12</v>
      </c>
      <c r="C43" s="81" t="s">
        <v>131</v>
      </c>
      <c r="D43" s="82" t="s">
        <v>276</v>
      </c>
      <c r="E43" s="81"/>
      <c r="F43" s="16"/>
      <c r="G43" s="16"/>
      <c r="H43" s="16"/>
      <c r="I43" s="16"/>
      <c r="J43" s="20"/>
      <c r="K43" s="16"/>
      <c r="L43" s="16"/>
    </row>
    <row r="44" spans="1:12" s="15" customFormat="1" x14ac:dyDescent="0.35">
      <c r="A44" s="81" t="s">
        <v>375</v>
      </c>
      <c r="B44" s="17" t="s">
        <v>12</v>
      </c>
      <c r="C44" s="81" t="s">
        <v>131</v>
      </c>
      <c r="D44" s="82" t="s">
        <v>333</v>
      </c>
      <c r="E44" s="81"/>
      <c r="F44" s="16"/>
      <c r="G44" s="16"/>
      <c r="H44" s="16"/>
      <c r="I44" s="16"/>
      <c r="J44" s="20"/>
      <c r="K44" s="16"/>
      <c r="L44" s="16"/>
    </row>
    <row r="45" spans="1:12" s="15" customFormat="1" x14ac:dyDescent="0.35">
      <c r="A45" s="81" t="s">
        <v>376</v>
      </c>
      <c r="B45" s="17" t="s">
        <v>12</v>
      </c>
      <c r="C45" s="81" t="s">
        <v>131</v>
      </c>
      <c r="D45" s="82" t="s">
        <v>332</v>
      </c>
      <c r="E45" s="81"/>
      <c r="F45" s="16"/>
      <c r="G45" s="16"/>
      <c r="H45" s="16"/>
      <c r="I45" s="16"/>
      <c r="J45" s="20"/>
      <c r="K45" s="16"/>
      <c r="L45" s="16"/>
    </row>
    <row r="46" spans="1:12" s="15" customFormat="1" x14ac:dyDescent="0.35">
      <c r="A46" s="81" t="s">
        <v>377</v>
      </c>
      <c r="B46" s="17" t="s">
        <v>12</v>
      </c>
      <c r="C46" s="81" t="s">
        <v>131</v>
      </c>
      <c r="D46" s="82" t="s">
        <v>277</v>
      </c>
      <c r="E46" s="81"/>
      <c r="F46" s="16"/>
      <c r="G46" s="16"/>
      <c r="H46" s="16"/>
      <c r="I46" s="16"/>
      <c r="J46" s="20"/>
      <c r="K46" s="16"/>
      <c r="L46" s="16"/>
    </row>
    <row r="47" spans="1:12" s="15" customFormat="1" x14ac:dyDescent="0.35">
      <c r="A47" s="81" t="s">
        <v>378</v>
      </c>
      <c r="B47" s="17" t="s">
        <v>12</v>
      </c>
      <c r="C47" s="81" t="s">
        <v>131</v>
      </c>
      <c r="D47" s="82" t="s">
        <v>381</v>
      </c>
      <c r="E47" s="81"/>
      <c r="F47" s="16"/>
      <c r="G47" s="16"/>
      <c r="H47" s="16"/>
      <c r="I47" s="16"/>
      <c r="J47" s="20"/>
      <c r="K47" s="16"/>
      <c r="L47" s="16"/>
    </row>
    <row r="48" spans="1:12" s="15" customFormat="1" x14ac:dyDescent="0.35">
      <c r="A48" s="81" t="s">
        <v>379</v>
      </c>
      <c r="B48" s="17" t="s">
        <v>12</v>
      </c>
      <c r="C48" s="81" t="s">
        <v>131</v>
      </c>
      <c r="D48" s="82" t="s">
        <v>277</v>
      </c>
      <c r="E48" s="81"/>
      <c r="F48" s="16"/>
      <c r="G48" s="16"/>
      <c r="H48" s="16"/>
      <c r="I48" s="16"/>
      <c r="J48" s="20"/>
      <c r="K48" s="16"/>
      <c r="L48" s="16"/>
    </row>
    <row r="49" spans="1:12" s="15" customFormat="1" x14ac:dyDescent="0.35">
      <c r="A49" s="81" t="s">
        <v>380</v>
      </c>
      <c r="B49" s="17" t="s">
        <v>12</v>
      </c>
      <c r="C49" s="81" t="s">
        <v>131</v>
      </c>
      <c r="D49" s="82" t="s">
        <v>382</v>
      </c>
      <c r="E49" s="81"/>
      <c r="F49" s="16"/>
      <c r="G49" s="16"/>
      <c r="H49" s="16"/>
      <c r="I49" s="16"/>
      <c r="J49" s="20"/>
      <c r="K49" s="16"/>
      <c r="L49" s="16"/>
    </row>
    <row r="50" spans="1:12" s="15" customFormat="1" x14ac:dyDescent="0.35">
      <c r="A50" s="81"/>
      <c r="B50" s="17"/>
      <c r="C50" s="81"/>
      <c r="D50" s="82"/>
      <c r="E50" s="81"/>
      <c r="F50" s="16"/>
      <c r="G50" s="16"/>
      <c r="H50" s="16"/>
      <c r="I50" s="16"/>
      <c r="J50" s="20"/>
      <c r="K50" s="16"/>
      <c r="L50" s="16"/>
    </row>
    <row r="51" spans="1:12" s="15" customFormat="1" x14ac:dyDescent="0.35">
      <c r="A51" s="81"/>
      <c r="B51" s="17"/>
      <c r="C51" s="81"/>
      <c r="D51" s="82"/>
      <c r="E51" s="81"/>
      <c r="F51" s="16"/>
      <c r="G51" s="16"/>
      <c r="H51" s="16"/>
      <c r="I51" s="16"/>
      <c r="J51" s="20"/>
      <c r="K51" s="16"/>
      <c r="L51" s="16"/>
    </row>
    <row r="52" spans="1:12" s="15" customFormat="1" x14ac:dyDescent="0.35">
      <c r="A52" s="81"/>
      <c r="B52" s="17"/>
      <c r="C52" s="81"/>
      <c r="D52" s="82"/>
      <c r="E52" s="81"/>
      <c r="F52" s="16"/>
      <c r="G52" s="16"/>
      <c r="H52" s="16"/>
      <c r="I52" s="16"/>
      <c r="J52" s="20"/>
      <c r="K52" s="16"/>
      <c r="L52" s="16"/>
    </row>
    <row r="53" spans="1:12" x14ac:dyDescent="0.35">
      <c r="A53" s="14" t="s">
        <v>57</v>
      </c>
      <c r="B53" s="14" t="s">
        <v>33</v>
      </c>
      <c r="C53" s="14" t="s">
        <v>32</v>
      </c>
      <c r="D53" s="14"/>
      <c r="E53" s="14"/>
      <c r="F53" s="14"/>
      <c r="G53" s="14"/>
      <c r="H53" s="14"/>
      <c r="I53" s="14"/>
      <c r="J53" s="14"/>
      <c r="K53" s="14"/>
      <c r="L53" s="14"/>
    </row>
    <row r="54" spans="1:12" s="15" customFormat="1" x14ac:dyDescent="0.35">
      <c r="A54" s="17"/>
      <c r="B54" s="17"/>
      <c r="C54" s="17"/>
      <c r="D54" s="16"/>
      <c r="E54" s="16"/>
      <c r="F54" s="16"/>
      <c r="G54" s="16"/>
      <c r="H54" s="16"/>
      <c r="I54" s="16"/>
      <c r="J54" s="20"/>
      <c r="K54" s="16"/>
      <c r="L54" s="16"/>
    </row>
    <row r="55" spans="1:12" s="15" customFormat="1" x14ac:dyDescent="0.35">
      <c r="A55" s="17"/>
      <c r="B55" s="17"/>
      <c r="C55" s="17"/>
      <c r="D55" s="16"/>
      <c r="E55" s="16"/>
      <c r="F55" s="16"/>
      <c r="G55" s="16"/>
      <c r="H55" s="16"/>
      <c r="I55" s="16"/>
      <c r="J55" s="20"/>
      <c r="K55" s="16"/>
      <c r="L55" s="16"/>
    </row>
    <row r="56" spans="1:12" s="15" customFormat="1" x14ac:dyDescent="0.35">
      <c r="A56" s="17"/>
      <c r="B56" s="17"/>
      <c r="C56" s="17"/>
      <c r="D56" s="16"/>
      <c r="E56" s="16"/>
      <c r="F56" s="16"/>
      <c r="G56" s="16"/>
      <c r="H56" s="16"/>
      <c r="I56" s="16"/>
      <c r="J56" s="20"/>
      <c r="K56" s="16"/>
      <c r="L56" s="16"/>
    </row>
    <row r="57" spans="1:12" s="15" customFormat="1" x14ac:dyDescent="0.35">
      <c r="A57" s="17"/>
      <c r="B57" s="17"/>
      <c r="C57" s="17"/>
      <c r="D57" s="16"/>
      <c r="E57" s="16"/>
      <c r="F57" s="16"/>
      <c r="G57" s="16"/>
      <c r="H57" s="16"/>
      <c r="I57" s="16"/>
      <c r="J57" s="20"/>
      <c r="K57" s="16"/>
      <c r="L57" s="16"/>
    </row>
    <row r="58" spans="1:12" s="15" customFormat="1" x14ac:dyDescent="0.35">
      <c r="A58" s="17"/>
      <c r="B58" s="17"/>
      <c r="C58" s="17"/>
      <c r="D58" s="16"/>
      <c r="E58" s="16"/>
      <c r="F58" s="16"/>
      <c r="G58" s="16"/>
      <c r="H58" s="16"/>
      <c r="I58" s="16"/>
      <c r="J58" s="20"/>
      <c r="K58" s="16"/>
      <c r="L58" s="16"/>
    </row>
    <row r="59" spans="1:12" x14ac:dyDescent="0.35">
      <c r="A59" s="14" t="s">
        <v>56</v>
      </c>
      <c r="B59" s="14" t="s">
        <v>33</v>
      </c>
      <c r="C59" s="14" t="s">
        <v>32</v>
      </c>
      <c r="D59" s="14" t="s">
        <v>47</v>
      </c>
      <c r="E59" s="14" t="s">
        <v>55</v>
      </c>
      <c r="F59" s="14" t="s">
        <v>54</v>
      </c>
      <c r="G59" s="14" t="s">
        <v>53</v>
      </c>
      <c r="H59" s="14"/>
      <c r="I59" s="14"/>
      <c r="J59" s="14"/>
      <c r="K59" s="14"/>
      <c r="L59" s="14"/>
    </row>
    <row r="60" spans="1:12" s="15" customFormat="1" x14ac:dyDescent="0.35">
      <c r="A60" s="17"/>
      <c r="B60" s="17"/>
      <c r="C60" s="17"/>
      <c r="D60" s="82"/>
      <c r="E60" s="82"/>
      <c r="F60" s="82"/>
      <c r="G60" s="82"/>
      <c r="H60" s="20"/>
      <c r="I60" s="11"/>
      <c r="J60" s="11"/>
      <c r="K60" s="11"/>
      <c r="L60" s="11"/>
    </row>
    <row r="61" spans="1:12" s="15" customFormat="1" x14ac:dyDescent="0.35">
      <c r="A61" s="17"/>
      <c r="B61" s="17"/>
      <c r="C61" s="17"/>
      <c r="D61" s="82"/>
      <c r="E61" s="82"/>
      <c r="F61" s="82"/>
      <c r="G61" s="82"/>
      <c r="H61" s="20"/>
      <c r="I61" s="11"/>
      <c r="J61" s="11"/>
      <c r="K61" s="11"/>
      <c r="L61" s="11"/>
    </row>
    <row r="62" spans="1:12" s="15" customFormat="1" x14ac:dyDescent="0.35">
      <c r="A62" s="17"/>
      <c r="B62" s="17"/>
      <c r="C62" s="17"/>
      <c r="D62" s="82"/>
      <c r="E62" s="82"/>
      <c r="F62" s="82"/>
      <c r="G62" s="82"/>
      <c r="H62" s="20"/>
      <c r="I62" s="11"/>
      <c r="J62" s="11"/>
      <c r="K62" s="11"/>
      <c r="L62" s="11"/>
    </row>
    <row r="63" spans="1:12" s="15" customFormat="1" x14ac:dyDescent="0.35">
      <c r="A63" s="17"/>
      <c r="B63" s="17"/>
      <c r="C63" s="17"/>
      <c r="D63" s="82"/>
      <c r="E63" s="82"/>
      <c r="F63" s="82"/>
      <c r="G63" s="82"/>
      <c r="H63" s="20"/>
      <c r="I63" s="11"/>
      <c r="J63" s="11"/>
      <c r="K63" s="11"/>
      <c r="L63" s="11"/>
    </row>
    <row r="64" spans="1:12" s="15" customFormat="1" x14ac:dyDescent="0.35">
      <c r="A64" s="17"/>
      <c r="B64" s="17"/>
      <c r="C64" s="17"/>
      <c r="D64" s="82"/>
      <c r="E64" s="82"/>
      <c r="F64" s="82"/>
      <c r="G64" s="82"/>
      <c r="H64" s="20"/>
      <c r="I64" s="11"/>
      <c r="J64" s="11"/>
      <c r="K64" s="11"/>
      <c r="L64" s="11"/>
    </row>
    <row r="65" spans="1:12" x14ac:dyDescent="0.35">
      <c r="A65" s="14" t="s">
        <v>52</v>
      </c>
      <c r="B65" s="14" t="s">
        <v>33</v>
      </c>
      <c r="C65" s="14"/>
      <c r="D65" s="14" t="s">
        <v>31</v>
      </c>
      <c r="E65" s="14"/>
      <c r="F65" s="14"/>
      <c r="G65" s="14"/>
      <c r="H65" s="14"/>
      <c r="I65" s="14"/>
      <c r="J65" s="14"/>
      <c r="K65" s="14"/>
      <c r="L65" s="14"/>
    </row>
    <row r="66" spans="1:12" s="15" customFormat="1" x14ac:dyDescent="0.35">
      <c r="A66" s="17" t="s">
        <v>277</v>
      </c>
      <c r="B66" s="17" t="s">
        <v>12</v>
      </c>
      <c r="C66" s="16"/>
      <c r="D66" s="82" t="s">
        <v>332</v>
      </c>
      <c r="E66" s="11"/>
      <c r="F66" s="11"/>
      <c r="G66" s="11"/>
      <c r="H66" s="11"/>
      <c r="I66" s="11"/>
      <c r="J66" s="11"/>
      <c r="K66" s="11"/>
      <c r="L66" s="11"/>
    </row>
    <row r="67" spans="1:12" s="15" customFormat="1" x14ac:dyDescent="0.35">
      <c r="A67" s="17" t="s">
        <v>276</v>
      </c>
      <c r="B67" s="17" t="s">
        <v>12</v>
      </c>
      <c r="C67" s="16"/>
      <c r="D67" s="82" t="s">
        <v>333</v>
      </c>
      <c r="E67" s="11"/>
      <c r="F67" s="11"/>
      <c r="G67" s="11"/>
      <c r="H67" s="11"/>
      <c r="I67" s="11"/>
      <c r="J67" s="11"/>
      <c r="K67" s="11"/>
      <c r="L67" s="11"/>
    </row>
    <row r="68" spans="1:12" s="15" customFormat="1" x14ac:dyDescent="0.35">
      <c r="A68" s="17" t="s">
        <v>251</v>
      </c>
      <c r="B68" s="17" t="s">
        <v>12</v>
      </c>
      <c r="C68" s="16"/>
      <c r="D68" s="82" t="s">
        <v>334</v>
      </c>
      <c r="E68" s="11"/>
      <c r="F68" s="11"/>
      <c r="G68" s="11"/>
      <c r="H68" s="11"/>
      <c r="I68" s="11"/>
      <c r="J68" s="11"/>
      <c r="K68" s="11"/>
      <c r="L68" s="11"/>
    </row>
    <row r="69" spans="1:12" s="15" customFormat="1" x14ac:dyDescent="0.35">
      <c r="A69" s="17" t="s">
        <v>383</v>
      </c>
      <c r="B69" s="17" t="s">
        <v>12</v>
      </c>
      <c r="C69" s="16"/>
      <c r="D69" s="82" t="s">
        <v>385</v>
      </c>
      <c r="E69" s="11"/>
      <c r="F69" s="11"/>
      <c r="G69" s="11"/>
      <c r="H69" s="11"/>
      <c r="I69" s="11"/>
      <c r="J69" s="11"/>
      <c r="K69" s="11"/>
      <c r="L69" s="11"/>
    </row>
    <row r="70" spans="1:12" s="15" customFormat="1" x14ac:dyDescent="0.35">
      <c r="A70" s="17"/>
      <c r="B70" s="17"/>
      <c r="C70" s="16"/>
      <c r="D70" s="82"/>
      <c r="E70" s="11"/>
      <c r="F70" s="11"/>
      <c r="G70" s="11"/>
      <c r="H70" s="11"/>
      <c r="I70" s="11"/>
      <c r="J70" s="11"/>
      <c r="K70" s="11"/>
      <c r="L70" s="11"/>
    </row>
    <row r="71" spans="1:12" s="15" customFormat="1" x14ac:dyDescent="0.35">
      <c r="A71" s="17"/>
      <c r="B71" s="17"/>
      <c r="C71" s="16"/>
      <c r="D71" s="82"/>
      <c r="E71" s="11"/>
      <c r="F71" s="11"/>
      <c r="G71" s="11"/>
      <c r="H71" s="11"/>
      <c r="I71" s="11"/>
      <c r="J71" s="11"/>
      <c r="K71" s="11"/>
      <c r="L71" s="11"/>
    </row>
    <row r="72" spans="1:12" s="15" customFormat="1" x14ac:dyDescent="0.35">
      <c r="A72" s="17"/>
      <c r="B72" s="17"/>
      <c r="C72" s="16"/>
      <c r="D72" s="82"/>
      <c r="E72" s="11"/>
      <c r="F72" s="11"/>
      <c r="G72" s="11"/>
      <c r="H72" s="11"/>
      <c r="I72" s="11"/>
      <c r="J72" s="11"/>
      <c r="K72" s="11"/>
      <c r="L72" s="11"/>
    </row>
    <row r="73" spans="1:12" s="15" customFormat="1" x14ac:dyDescent="0.35">
      <c r="A73" s="17"/>
      <c r="B73" s="17"/>
      <c r="C73" s="16"/>
      <c r="D73" s="82"/>
      <c r="E73" s="11"/>
      <c r="F73" s="11"/>
      <c r="G73" s="11"/>
      <c r="H73" s="11"/>
      <c r="I73" s="11"/>
      <c r="J73" s="11"/>
      <c r="K73" s="11"/>
      <c r="L73" s="11"/>
    </row>
    <row r="74" spans="1:12" s="15" customFormat="1" x14ac:dyDescent="0.35">
      <c r="A74" s="17"/>
      <c r="B74" s="17"/>
      <c r="C74" s="16"/>
      <c r="D74" s="82"/>
      <c r="E74" s="11"/>
      <c r="F74" s="11"/>
      <c r="G74" s="11"/>
      <c r="H74" s="11"/>
      <c r="I74" s="11"/>
      <c r="J74" s="11"/>
      <c r="K74" s="11"/>
      <c r="L74" s="11"/>
    </row>
    <row r="75" spans="1:12" x14ac:dyDescent="0.35">
      <c r="A75" s="19" t="s">
        <v>51</v>
      </c>
      <c r="B75" s="19" t="s">
        <v>33</v>
      </c>
      <c r="C75" s="19" t="s">
        <v>50</v>
      </c>
      <c r="D75" s="14"/>
      <c r="E75" s="14"/>
      <c r="F75" s="14"/>
      <c r="G75" s="14"/>
      <c r="H75" s="14"/>
      <c r="I75" s="14"/>
      <c r="J75" s="14"/>
      <c r="K75" s="14"/>
      <c r="L75" s="14"/>
    </row>
    <row r="76" spans="1:12" s="15" customFormat="1" x14ac:dyDescent="0.35">
      <c r="A76" s="17"/>
      <c r="B76" s="17"/>
      <c r="C76" s="17"/>
      <c r="D76" s="11"/>
      <c r="E76" s="11"/>
      <c r="F76" s="11"/>
      <c r="G76" s="11"/>
      <c r="H76" s="11"/>
      <c r="I76" s="11"/>
      <c r="J76" s="11"/>
      <c r="K76" s="11"/>
      <c r="L76" s="11"/>
    </row>
    <row r="77" spans="1:12" s="15" customFormat="1" x14ac:dyDescent="0.35">
      <c r="A77" s="17"/>
      <c r="B77" s="17"/>
      <c r="C77" s="17"/>
      <c r="D77" s="11"/>
      <c r="E77" s="11"/>
      <c r="F77" s="11"/>
      <c r="G77" s="11"/>
      <c r="H77" s="11"/>
      <c r="I77" s="11"/>
      <c r="J77" s="11"/>
      <c r="K77" s="11"/>
      <c r="L77" s="11"/>
    </row>
    <row r="78" spans="1:12" s="15" customFormat="1" x14ac:dyDescent="0.35">
      <c r="A78" s="17"/>
      <c r="B78" s="17"/>
      <c r="C78" s="17"/>
      <c r="D78" s="11"/>
      <c r="E78" s="11"/>
      <c r="F78" s="11"/>
      <c r="G78" s="11"/>
      <c r="H78" s="11"/>
      <c r="I78" s="11"/>
      <c r="J78" s="11"/>
      <c r="K78" s="11"/>
      <c r="L78" s="11"/>
    </row>
    <row r="79" spans="1:12" s="15" customFormat="1" x14ac:dyDescent="0.35">
      <c r="A79" s="17"/>
      <c r="B79" s="17"/>
      <c r="C79" s="17"/>
      <c r="D79" s="11"/>
      <c r="E79" s="11"/>
      <c r="F79" s="11"/>
      <c r="G79" s="11"/>
      <c r="H79" s="11"/>
      <c r="I79" s="11"/>
      <c r="J79" s="11"/>
      <c r="K79" s="11"/>
      <c r="L79" s="11"/>
    </row>
    <row r="80" spans="1:12" s="15" customFormat="1" x14ac:dyDescent="0.35">
      <c r="A80" s="17"/>
      <c r="B80" s="17"/>
      <c r="C80" s="17"/>
      <c r="D80" s="11"/>
      <c r="E80" s="11"/>
      <c r="F80" s="11"/>
      <c r="G80" s="11"/>
      <c r="H80" s="11"/>
      <c r="I80" s="11"/>
      <c r="J80" s="11"/>
      <c r="K80" s="11"/>
      <c r="L80" s="11"/>
    </row>
    <row r="81" spans="1:12" x14ac:dyDescent="0.35">
      <c r="A81" s="14" t="s">
        <v>49</v>
      </c>
      <c r="B81" s="14" t="s">
        <v>33</v>
      </c>
      <c r="C81" s="14"/>
      <c r="D81" s="14" t="s">
        <v>31</v>
      </c>
      <c r="E81" s="14"/>
      <c r="F81" s="14"/>
      <c r="G81" s="14"/>
      <c r="H81" s="14"/>
      <c r="I81" s="14"/>
      <c r="J81" s="14"/>
      <c r="K81" s="14"/>
      <c r="L81" s="14"/>
    </row>
    <row r="82" spans="1:12" s="15" customFormat="1" x14ac:dyDescent="0.35">
      <c r="A82" s="17"/>
      <c r="B82" s="17"/>
      <c r="C82" s="16"/>
      <c r="D82" s="17"/>
      <c r="E82" s="11"/>
      <c r="F82" s="11"/>
      <c r="G82" s="11"/>
      <c r="H82" s="11"/>
      <c r="I82" s="11"/>
      <c r="J82" s="11"/>
      <c r="K82" s="11"/>
      <c r="L82" s="11"/>
    </row>
    <row r="83" spans="1:12" s="15" customFormat="1" x14ac:dyDescent="0.35">
      <c r="A83" s="17"/>
      <c r="B83" s="17"/>
      <c r="C83" s="16"/>
      <c r="D83" s="17"/>
      <c r="E83" s="11"/>
      <c r="F83" s="11"/>
      <c r="G83" s="11"/>
      <c r="H83" s="11"/>
      <c r="I83" s="11"/>
      <c r="J83" s="11"/>
      <c r="K83" s="11"/>
      <c r="L83" s="11"/>
    </row>
    <row r="84" spans="1:12" s="15" customFormat="1" x14ac:dyDescent="0.35">
      <c r="A84" s="17"/>
      <c r="B84" s="17"/>
      <c r="C84" s="16"/>
      <c r="D84" s="17"/>
      <c r="E84" s="11"/>
      <c r="F84" s="11"/>
      <c r="G84" s="11"/>
      <c r="H84" s="11"/>
      <c r="I84" s="11"/>
      <c r="J84" s="11"/>
      <c r="K84" s="11"/>
      <c r="L84" s="11"/>
    </row>
    <row r="85" spans="1:12" s="15" customFormat="1" x14ac:dyDescent="0.35">
      <c r="A85" s="17"/>
      <c r="B85" s="17"/>
      <c r="C85" s="16"/>
      <c r="D85" s="17"/>
      <c r="E85" s="11"/>
      <c r="F85" s="11"/>
      <c r="G85" s="11"/>
      <c r="H85" s="11"/>
      <c r="I85" s="11"/>
      <c r="J85" s="11"/>
      <c r="K85" s="11"/>
      <c r="L85" s="11"/>
    </row>
    <row r="86" spans="1:12" s="15" customFormat="1" x14ac:dyDescent="0.35">
      <c r="A86" s="17"/>
      <c r="B86" s="17"/>
      <c r="C86" s="16"/>
      <c r="D86" s="17"/>
      <c r="E86" s="11"/>
      <c r="F86" s="11"/>
      <c r="G86" s="11"/>
      <c r="H86" s="11"/>
      <c r="I86" s="11"/>
      <c r="J86" s="11"/>
      <c r="K86" s="11"/>
      <c r="L86" s="11"/>
    </row>
    <row r="87" spans="1:12" x14ac:dyDescent="0.35">
      <c r="A87" s="14" t="s">
        <v>48</v>
      </c>
      <c r="B87" s="14" t="s">
        <v>33</v>
      </c>
      <c r="C87" s="14" t="s">
        <v>47</v>
      </c>
      <c r="D87" s="14" t="s">
        <v>31</v>
      </c>
      <c r="E87" s="14" t="s">
        <v>44</v>
      </c>
      <c r="F87" s="14" t="s">
        <v>46</v>
      </c>
      <c r="G87" s="14"/>
      <c r="H87" s="14"/>
      <c r="I87" s="14"/>
      <c r="J87" s="14"/>
      <c r="K87" s="14"/>
      <c r="L87" s="14"/>
    </row>
    <row r="88" spans="1:12" s="15" customFormat="1" x14ac:dyDescent="0.35">
      <c r="A88" s="17"/>
      <c r="B88" s="17"/>
      <c r="C88" s="17"/>
      <c r="D88" s="82"/>
      <c r="E88" s="82"/>
      <c r="F88" s="81"/>
      <c r="G88" s="16"/>
      <c r="H88" s="16"/>
      <c r="I88" s="11"/>
      <c r="J88" s="11"/>
      <c r="K88" s="11"/>
      <c r="L88" s="11"/>
    </row>
    <row r="89" spans="1:12" s="15" customFormat="1" x14ac:dyDescent="0.35">
      <c r="A89" s="17"/>
      <c r="B89" s="17"/>
      <c r="C89" s="17"/>
      <c r="D89" s="82"/>
      <c r="E89" s="82"/>
      <c r="F89" s="81"/>
      <c r="G89" s="16"/>
      <c r="H89" s="16"/>
      <c r="I89" s="11"/>
      <c r="J89" s="11"/>
      <c r="K89" s="11"/>
      <c r="L89" s="11"/>
    </row>
    <row r="90" spans="1:12" s="15" customFormat="1" x14ac:dyDescent="0.35">
      <c r="A90" s="17"/>
      <c r="B90" s="17"/>
      <c r="C90" s="17"/>
      <c r="D90" s="82"/>
      <c r="E90" s="82"/>
      <c r="F90" s="81"/>
      <c r="G90" s="16"/>
      <c r="H90" s="16"/>
      <c r="I90" s="11"/>
      <c r="J90" s="11"/>
      <c r="K90" s="11"/>
      <c r="L90" s="11"/>
    </row>
    <row r="91" spans="1:12" s="15" customFormat="1" x14ac:dyDescent="0.35">
      <c r="A91" s="17"/>
      <c r="B91" s="17"/>
      <c r="C91" s="17"/>
      <c r="D91" s="82"/>
      <c r="E91" s="82"/>
      <c r="F91" s="81"/>
      <c r="G91" s="16"/>
      <c r="H91" s="16"/>
      <c r="I91" s="11"/>
      <c r="J91" s="11"/>
      <c r="K91" s="11"/>
      <c r="L91" s="11"/>
    </row>
    <row r="92" spans="1:12" s="15" customFormat="1" x14ac:dyDescent="0.35">
      <c r="A92" s="17"/>
      <c r="B92" s="17"/>
      <c r="C92" s="17"/>
      <c r="D92" s="82"/>
      <c r="E92" s="82"/>
      <c r="F92" s="81"/>
      <c r="G92" s="16"/>
      <c r="H92" s="16"/>
      <c r="I92" s="11"/>
      <c r="J92" s="11"/>
      <c r="K92" s="11"/>
      <c r="L92" s="11"/>
    </row>
    <row r="93" spans="1:12" x14ac:dyDescent="0.35">
      <c r="A93" s="14" t="s">
        <v>45</v>
      </c>
      <c r="B93" s="14" t="s">
        <v>33</v>
      </c>
      <c r="C93" s="14" t="s">
        <v>32</v>
      </c>
      <c r="D93" s="14" t="s">
        <v>31</v>
      </c>
      <c r="E93" s="14" t="s">
        <v>44</v>
      </c>
      <c r="F93" s="14"/>
      <c r="G93" s="14"/>
      <c r="H93" s="14"/>
      <c r="I93" s="14"/>
      <c r="J93" s="14"/>
      <c r="K93" s="14"/>
      <c r="L93" s="14"/>
    </row>
    <row r="94" spans="1:12" x14ac:dyDescent="0.35">
      <c r="A94" s="18"/>
      <c r="B94" s="18"/>
      <c r="C94" s="18"/>
      <c r="D94" s="18"/>
      <c r="E94" s="18"/>
      <c r="F94" s="12"/>
      <c r="G94" s="12"/>
      <c r="H94" s="12"/>
      <c r="I94" s="12"/>
      <c r="J94" s="12"/>
      <c r="K94" s="12"/>
      <c r="L94" s="12"/>
    </row>
    <row r="95" spans="1:12" x14ac:dyDescent="0.35">
      <c r="A95" s="18"/>
      <c r="B95" s="18"/>
      <c r="C95" s="18"/>
      <c r="D95" s="18"/>
      <c r="E95" s="18"/>
      <c r="F95" s="12"/>
      <c r="G95" s="12"/>
      <c r="H95" s="12"/>
      <c r="I95" s="12"/>
      <c r="J95" s="12"/>
      <c r="K95" s="12"/>
      <c r="L95" s="12"/>
    </row>
    <row r="96" spans="1:12" x14ac:dyDescent="0.35">
      <c r="A96" s="18"/>
      <c r="B96" s="18"/>
      <c r="C96" s="18"/>
      <c r="D96" s="18"/>
      <c r="E96" s="18"/>
      <c r="F96" s="12"/>
      <c r="G96" s="12"/>
      <c r="H96" s="12"/>
      <c r="I96" s="12"/>
      <c r="J96" s="12"/>
      <c r="K96" s="12"/>
      <c r="L96" s="12"/>
    </row>
    <row r="97" spans="1:12" x14ac:dyDescent="0.35">
      <c r="A97" s="18"/>
      <c r="B97" s="18"/>
      <c r="C97" s="18"/>
      <c r="D97" s="18"/>
      <c r="E97" s="18"/>
      <c r="F97" s="12"/>
      <c r="G97" s="12"/>
      <c r="H97" s="12"/>
      <c r="I97" s="12"/>
      <c r="J97" s="12"/>
      <c r="K97" s="12"/>
      <c r="L97" s="12"/>
    </row>
    <row r="98" spans="1:12" x14ac:dyDescent="0.35">
      <c r="A98" s="18"/>
      <c r="B98" s="18"/>
      <c r="C98" s="18"/>
      <c r="D98" s="18"/>
      <c r="E98" s="18"/>
      <c r="F98" s="12"/>
      <c r="G98" s="12"/>
      <c r="H98" s="12"/>
      <c r="I98" s="12"/>
      <c r="J98" s="12"/>
      <c r="K98" s="12"/>
      <c r="L98" s="12"/>
    </row>
    <row r="99" spans="1:12" x14ac:dyDescent="0.35">
      <c r="A99" s="14" t="s">
        <v>43</v>
      </c>
      <c r="B99" s="14" t="s">
        <v>33</v>
      </c>
      <c r="C99" s="14" t="s">
        <v>32</v>
      </c>
      <c r="D99" s="14" t="s">
        <v>31</v>
      </c>
      <c r="E99" s="14" t="s">
        <v>42</v>
      </c>
      <c r="F99" s="14" t="s">
        <v>39</v>
      </c>
      <c r="G99" s="14" t="s">
        <v>38</v>
      </c>
      <c r="H99" s="14"/>
      <c r="I99" s="14"/>
      <c r="J99" s="14"/>
      <c r="K99" s="14"/>
      <c r="L99" s="14"/>
    </row>
    <row r="100" spans="1:12" s="15" customFormat="1" x14ac:dyDescent="0.35">
      <c r="A100" s="17"/>
      <c r="B100" s="17"/>
      <c r="C100" s="17"/>
      <c r="D100" s="82"/>
      <c r="E100" s="82"/>
      <c r="F100" s="82"/>
      <c r="G100" s="82"/>
      <c r="H100" s="11"/>
      <c r="I100" s="11"/>
      <c r="J100" s="11"/>
      <c r="K100" s="11"/>
      <c r="L100" s="11"/>
    </row>
    <row r="101" spans="1:12" s="15" customFormat="1" x14ac:dyDescent="0.35">
      <c r="A101" s="17"/>
      <c r="B101" s="17"/>
      <c r="C101" s="17"/>
      <c r="D101" s="82"/>
      <c r="E101" s="82"/>
      <c r="F101" s="82"/>
      <c r="G101" s="82"/>
      <c r="H101" s="11"/>
      <c r="I101" s="11"/>
      <c r="J101" s="11"/>
      <c r="K101" s="11"/>
      <c r="L101" s="11"/>
    </row>
    <row r="102" spans="1:12" s="15" customFormat="1" x14ac:dyDescent="0.35">
      <c r="A102" s="17"/>
      <c r="B102" s="17"/>
      <c r="C102" s="17"/>
      <c r="D102" s="82"/>
      <c r="E102" s="82"/>
      <c r="F102" s="82"/>
      <c r="G102" s="82"/>
      <c r="H102" s="11"/>
      <c r="I102" s="11"/>
      <c r="J102" s="11"/>
      <c r="K102" s="11"/>
      <c r="L102" s="11"/>
    </row>
    <row r="103" spans="1:12" s="15" customFormat="1" x14ac:dyDescent="0.35">
      <c r="A103" s="17"/>
      <c r="B103" s="17"/>
      <c r="C103" s="17"/>
      <c r="D103" s="82"/>
      <c r="E103" s="82"/>
      <c r="F103" s="82"/>
      <c r="G103" s="82"/>
      <c r="H103" s="11"/>
      <c r="I103" s="11"/>
      <c r="J103" s="11"/>
      <c r="K103" s="11"/>
      <c r="L103" s="11"/>
    </row>
    <row r="104" spans="1:12" s="15" customFormat="1" x14ac:dyDescent="0.35">
      <c r="A104" s="17"/>
      <c r="B104" s="17"/>
      <c r="C104" s="17"/>
      <c r="D104" s="82"/>
      <c r="E104" s="82"/>
      <c r="F104" s="82"/>
      <c r="G104" s="82"/>
      <c r="H104" s="11"/>
      <c r="I104" s="11"/>
      <c r="J104" s="11"/>
      <c r="K104" s="11"/>
      <c r="L104" s="11"/>
    </row>
    <row r="105" spans="1:12" customFormat="1" x14ac:dyDescent="0.35">
      <c r="A105" s="60" t="s">
        <v>161</v>
      </c>
      <c r="B105" s="60" t="s">
        <v>33</v>
      </c>
      <c r="C105" s="60" t="s">
        <v>32</v>
      </c>
      <c r="D105" s="60" t="s">
        <v>31</v>
      </c>
      <c r="E105" s="60" t="s">
        <v>30</v>
      </c>
      <c r="F105" s="60" t="s">
        <v>162</v>
      </c>
      <c r="G105" s="60" t="s">
        <v>39</v>
      </c>
      <c r="H105" s="60" t="s">
        <v>38</v>
      </c>
      <c r="I105" s="14"/>
      <c r="J105" s="14"/>
      <c r="K105" s="14"/>
      <c r="L105" s="14"/>
    </row>
    <row r="106" spans="1:12" customFormat="1" x14ac:dyDescent="0.35">
      <c r="A106" s="83"/>
      <c r="B106" s="83"/>
      <c r="C106" s="83"/>
      <c r="D106" s="83"/>
      <c r="E106" s="83"/>
      <c r="F106" s="83"/>
      <c r="G106" s="83"/>
      <c r="H106" s="83"/>
      <c r="I106" s="11"/>
      <c r="J106" s="11"/>
      <c r="K106" s="11"/>
      <c r="L106" s="11"/>
    </row>
    <row r="107" spans="1:12" customFormat="1" x14ac:dyDescent="0.35">
      <c r="A107" s="83"/>
      <c r="B107" s="83"/>
      <c r="C107" s="83"/>
      <c r="D107" s="83"/>
      <c r="E107" s="83"/>
      <c r="F107" s="83"/>
      <c r="G107" s="83"/>
      <c r="H107" s="83"/>
      <c r="I107" s="11"/>
      <c r="J107" s="11"/>
      <c r="K107" s="11"/>
      <c r="L107" s="11"/>
    </row>
    <row r="108" spans="1:12" customFormat="1" x14ac:dyDescent="0.35">
      <c r="A108" s="83"/>
      <c r="B108" s="83"/>
      <c r="C108" s="83"/>
      <c r="D108" s="83"/>
      <c r="E108" s="83"/>
      <c r="F108" s="83"/>
      <c r="G108" s="83"/>
      <c r="H108" s="83"/>
      <c r="I108" s="11"/>
      <c r="J108" s="11"/>
      <c r="K108" s="11"/>
      <c r="L108" s="11"/>
    </row>
    <row r="109" spans="1:12" customFormat="1" x14ac:dyDescent="0.35">
      <c r="A109" s="83"/>
      <c r="B109" s="83"/>
      <c r="C109" s="83"/>
      <c r="D109" s="83"/>
      <c r="E109" s="83"/>
      <c r="F109" s="83"/>
      <c r="G109" s="83"/>
      <c r="H109" s="83"/>
      <c r="I109" s="11"/>
      <c r="J109" s="11"/>
      <c r="K109" s="11"/>
      <c r="L109" s="11"/>
    </row>
    <row r="110" spans="1:12" customFormat="1" x14ac:dyDescent="0.35">
      <c r="A110" s="83"/>
      <c r="B110" s="83"/>
      <c r="C110" s="83"/>
      <c r="D110" s="83"/>
      <c r="E110" s="83"/>
      <c r="F110" s="83"/>
      <c r="G110" s="83"/>
      <c r="H110" s="83"/>
      <c r="I110" s="11"/>
      <c r="J110" s="11"/>
      <c r="K110" s="11"/>
      <c r="L110" s="11"/>
    </row>
    <row r="111" spans="1:12" x14ac:dyDescent="0.35">
      <c r="A111" s="14" t="s">
        <v>41</v>
      </c>
      <c r="B111" s="14" t="s">
        <v>33</v>
      </c>
      <c r="C111" s="14" t="s">
        <v>32</v>
      </c>
      <c r="D111" s="14" t="s">
        <v>31</v>
      </c>
      <c r="E111" s="14" t="s">
        <v>40</v>
      </c>
      <c r="F111" s="14" t="s">
        <v>39</v>
      </c>
      <c r="G111" s="14" t="s">
        <v>38</v>
      </c>
      <c r="H111" s="14"/>
      <c r="I111" s="14"/>
      <c r="J111" s="14"/>
      <c r="K111" s="14"/>
      <c r="L111" s="14"/>
    </row>
    <row r="112" spans="1:12" s="15" customFormat="1" x14ac:dyDescent="0.35">
      <c r="A112" s="17"/>
      <c r="B112" s="17"/>
      <c r="C112" s="17"/>
      <c r="D112" s="82"/>
      <c r="E112" s="82"/>
      <c r="F112" s="82"/>
      <c r="G112" s="82"/>
      <c r="H112" s="11"/>
      <c r="I112" s="11"/>
      <c r="J112" s="11"/>
      <c r="K112" s="11"/>
      <c r="L112" s="11"/>
    </row>
    <row r="113" spans="1:12" s="15" customFormat="1" x14ac:dyDescent="0.35">
      <c r="A113" s="17"/>
      <c r="B113" s="17"/>
      <c r="C113" s="17"/>
      <c r="D113" s="82"/>
      <c r="E113" s="82"/>
      <c r="F113" s="82"/>
      <c r="G113" s="82"/>
      <c r="H113" s="11"/>
      <c r="I113" s="11"/>
      <c r="J113" s="11"/>
      <c r="K113" s="11"/>
      <c r="L113" s="11"/>
    </row>
    <row r="114" spans="1:12" s="15" customFormat="1" x14ac:dyDescent="0.35">
      <c r="A114" s="17"/>
      <c r="B114" s="17"/>
      <c r="C114" s="17"/>
      <c r="D114" s="82"/>
      <c r="E114" s="82"/>
      <c r="F114" s="82"/>
      <c r="G114" s="82"/>
      <c r="H114" s="11"/>
      <c r="I114" s="11"/>
      <c r="J114" s="11"/>
      <c r="K114" s="11"/>
      <c r="L114" s="11"/>
    </row>
    <row r="115" spans="1:12" s="15" customFormat="1" x14ac:dyDescent="0.35">
      <c r="A115" s="17"/>
      <c r="B115" s="17"/>
      <c r="C115" s="17"/>
      <c r="D115" s="82"/>
      <c r="E115" s="82"/>
      <c r="F115" s="82"/>
      <c r="G115" s="82"/>
      <c r="H115" s="11"/>
      <c r="I115" s="11"/>
      <c r="J115" s="11"/>
      <c r="K115" s="11"/>
      <c r="L115" s="11"/>
    </row>
    <row r="116" spans="1:12" s="15" customFormat="1" x14ac:dyDescent="0.35">
      <c r="A116" s="17"/>
      <c r="B116" s="17"/>
      <c r="C116" s="17"/>
      <c r="D116" s="82"/>
      <c r="E116" s="82"/>
      <c r="F116" s="82"/>
      <c r="G116" s="82"/>
      <c r="H116" s="11"/>
      <c r="I116" s="11"/>
      <c r="J116" s="11"/>
      <c r="K116" s="11"/>
      <c r="L116" s="11"/>
    </row>
    <row r="117" spans="1:12" x14ac:dyDescent="0.35">
      <c r="A117" s="14" t="s">
        <v>37</v>
      </c>
      <c r="B117" s="14" t="s">
        <v>33</v>
      </c>
      <c r="C117" s="14" t="s">
        <v>35</v>
      </c>
      <c r="D117" s="14" t="s">
        <v>31</v>
      </c>
      <c r="E117" s="14"/>
      <c r="F117" s="14"/>
      <c r="G117" s="14"/>
      <c r="H117" s="14"/>
      <c r="I117" s="14"/>
      <c r="J117" s="14"/>
      <c r="K117" s="14"/>
      <c r="L117" s="14"/>
    </row>
    <row r="118" spans="1:12" s="15" customFormat="1" x14ac:dyDescent="0.35">
      <c r="A118" s="17"/>
      <c r="B118" s="17"/>
      <c r="C118" s="17"/>
      <c r="D118" s="82"/>
      <c r="E118" s="16"/>
      <c r="F118" s="16"/>
      <c r="G118" s="16"/>
      <c r="H118" s="16"/>
      <c r="I118" s="11"/>
      <c r="J118" s="11"/>
      <c r="K118" s="11"/>
      <c r="L118" s="11"/>
    </row>
    <row r="119" spans="1:12" s="15" customFormat="1" x14ac:dyDescent="0.35">
      <c r="A119" s="17"/>
      <c r="B119" s="17"/>
      <c r="C119" s="17"/>
      <c r="D119" s="82"/>
      <c r="E119" s="16"/>
      <c r="F119" s="16"/>
      <c r="G119" s="16"/>
      <c r="H119" s="16"/>
      <c r="I119" s="11"/>
      <c r="J119" s="11"/>
      <c r="K119" s="11"/>
      <c r="L119" s="11"/>
    </row>
    <row r="120" spans="1:12" s="15" customFormat="1" x14ac:dyDescent="0.35">
      <c r="A120" s="17"/>
      <c r="B120" s="17"/>
      <c r="C120" s="17"/>
      <c r="D120" s="82"/>
      <c r="E120" s="16"/>
      <c r="F120" s="16"/>
      <c r="G120" s="16"/>
      <c r="H120" s="16"/>
      <c r="I120" s="11"/>
      <c r="J120" s="11"/>
      <c r="K120" s="11"/>
      <c r="L120" s="11"/>
    </row>
    <row r="121" spans="1:12" s="15" customFormat="1" x14ac:dyDescent="0.35">
      <c r="A121" s="17"/>
      <c r="B121" s="17"/>
      <c r="C121" s="17"/>
      <c r="D121" s="82"/>
      <c r="E121" s="16"/>
      <c r="F121" s="16"/>
      <c r="G121" s="16"/>
      <c r="H121" s="16"/>
      <c r="I121" s="11"/>
      <c r="J121" s="11"/>
      <c r="K121" s="11"/>
      <c r="L121" s="11"/>
    </row>
    <row r="122" spans="1:12" s="15" customFormat="1" x14ac:dyDescent="0.35">
      <c r="A122" s="17"/>
      <c r="B122" s="17"/>
      <c r="C122" s="17"/>
      <c r="D122" s="82"/>
      <c r="E122" s="16"/>
      <c r="F122" s="16"/>
      <c r="G122" s="16"/>
      <c r="H122" s="16"/>
      <c r="I122" s="11"/>
      <c r="J122" s="11"/>
      <c r="K122" s="11"/>
      <c r="L122" s="11"/>
    </row>
    <row r="123" spans="1:12" x14ac:dyDescent="0.35">
      <c r="A123" s="14" t="s">
        <v>36</v>
      </c>
      <c r="B123" s="14" t="s">
        <v>33</v>
      </c>
      <c r="C123" s="14" t="s">
        <v>35</v>
      </c>
      <c r="D123" s="14" t="s">
        <v>31</v>
      </c>
      <c r="E123" s="14"/>
      <c r="F123" s="14"/>
      <c r="G123" s="14"/>
      <c r="H123" s="14"/>
      <c r="I123" s="14"/>
      <c r="J123" s="14"/>
      <c r="K123" s="14"/>
      <c r="L123" s="14"/>
    </row>
    <row r="124" spans="1:12" s="15" customFormat="1" x14ac:dyDescent="0.35">
      <c r="A124" s="17"/>
      <c r="B124" s="17"/>
      <c r="C124" s="17"/>
      <c r="D124" s="82"/>
      <c r="E124" s="16"/>
      <c r="F124" s="16"/>
      <c r="G124" s="16"/>
      <c r="H124" s="16"/>
      <c r="I124" s="11"/>
      <c r="J124" s="11"/>
      <c r="K124" s="11"/>
      <c r="L124" s="11"/>
    </row>
    <row r="125" spans="1:12" s="15" customFormat="1" x14ac:dyDescent="0.35">
      <c r="A125" s="17"/>
      <c r="B125" s="17"/>
      <c r="C125" s="17"/>
      <c r="D125" s="82"/>
      <c r="E125" s="16"/>
      <c r="F125" s="16"/>
      <c r="G125" s="16"/>
      <c r="H125" s="16"/>
      <c r="I125" s="11"/>
      <c r="J125" s="11"/>
      <c r="K125" s="11"/>
      <c r="L125" s="11"/>
    </row>
    <row r="126" spans="1:12" s="15" customFormat="1" x14ac:dyDescent="0.35">
      <c r="A126" s="17"/>
      <c r="B126" s="17"/>
      <c r="C126" s="17"/>
      <c r="D126" s="82"/>
      <c r="E126" s="16"/>
      <c r="F126" s="16"/>
      <c r="G126" s="16"/>
      <c r="H126" s="16"/>
      <c r="I126" s="11"/>
      <c r="J126" s="11"/>
      <c r="K126" s="11"/>
      <c r="L126" s="11"/>
    </row>
    <row r="127" spans="1:12" s="15" customFormat="1" x14ac:dyDescent="0.35">
      <c r="A127" s="17"/>
      <c r="B127" s="17"/>
      <c r="C127" s="17"/>
      <c r="D127" s="82"/>
      <c r="E127" s="16"/>
      <c r="F127" s="16"/>
      <c r="G127" s="16"/>
      <c r="H127" s="16"/>
      <c r="I127" s="11"/>
      <c r="J127" s="11"/>
      <c r="K127" s="11"/>
      <c r="L127" s="11"/>
    </row>
    <row r="128" spans="1:12" s="15" customFormat="1" x14ac:dyDescent="0.35">
      <c r="A128" s="17"/>
      <c r="B128" s="17"/>
      <c r="C128" s="17"/>
      <c r="D128" s="82"/>
      <c r="E128" s="16"/>
      <c r="F128" s="16"/>
      <c r="G128" s="16"/>
      <c r="H128" s="16"/>
      <c r="I128" s="11"/>
      <c r="J128" s="11"/>
      <c r="K128" s="11"/>
      <c r="L128" s="11"/>
    </row>
    <row r="129" spans="1:12" x14ac:dyDescent="0.35">
      <c r="A129" s="14" t="s">
        <v>34</v>
      </c>
      <c r="B129" s="14" t="s">
        <v>33</v>
      </c>
      <c r="C129" s="14" t="s">
        <v>32</v>
      </c>
      <c r="D129" s="14" t="s">
        <v>31</v>
      </c>
      <c r="E129" s="14" t="s">
        <v>30</v>
      </c>
      <c r="F129" s="14"/>
      <c r="G129" s="14"/>
      <c r="H129" s="14"/>
      <c r="I129" s="14"/>
      <c r="J129" s="14"/>
      <c r="K129" s="14"/>
      <c r="L129" s="14"/>
    </row>
    <row r="130" spans="1:12" s="15" customFormat="1" x14ac:dyDescent="0.35">
      <c r="A130" s="17"/>
      <c r="B130" s="17"/>
      <c r="C130" s="17"/>
      <c r="D130" s="82"/>
      <c r="E130" s="82"/>
      <c r="F130" s="16"/>
      <c r="G130" s="16"/>
      <c r="H130" s="16"/>
      <c r="I130" s="11"/>
      <c r="J130" s="11"/>
      <c r="K130" s="11"/>
      <c r="L130" s="11"/>
    </row>
    <row r="131" spans="1:12" s="15" customFormat="1" x14ac:dyDescent="0.35">
      <c r="A131" s="17"/>
      <c r="B131" s="17"/>
      <c r="C131" s="17"/>
      <c r="D131" s="82"/>
      <c r="E131" s="82"/>
      <c r="F131" s="16"/>
      <c r="G131" s="16"/>
      <c r="H131" s="16"/>
      <c r="I131" s="11"/>
      <c r="J131" s="11"/>
      <c r="K131" s="11"/>
      <c r="L131" s="11"/>
    </row>
    <row r="132" spans="1:12" s="15" customFormat="1" x14ac:dyDescent="0.35">
      <c r="A132" s="17"/>
      <c r="B132" s="17"/>
      <c r="C132" s="17"/>
      <c r="D132" s="82"/>
      <c r="E132" s="82"/>
      <c r="F132" s="16"/>
      <c r="G132" s="16"/>
      <c r="H132" s="16"/>
      <c r="I132" s="11"/>
      <c r="J132" s="11"/>
      <c r="K132" s="11"/>
      <c r="L132" s="11"/>
    </row>
    <row r="133" spans="1:12" s="15" customFormat="1" x14ac:dyDescent="0.35">
      <c r="A133" s="17"/>
      <c r="B133" s="17"/>
      <c r="C133" s="17"/>
      <c r="D133" s="82"/>
      <c r="E133" s="82"/>
      <c r="F133" s="16"/>
      <c r="G133" s="16"/>
      <c r="H133" s="16"/>
      <c r="I133" s="11"/>
      <c r="J133" s="11"/>
      <c r="K133" s="11"/>
      <c r="L133" s="11"/>
    </row>
    <row r="134" spans="1:12" s="15" customFormat="1" x14ac:dyDescent="0.35">
      <c r="A134" s="17"/>
      <c r="B134" s="17"/>
      <c r="C134" s="17"/>
      <c r="D134" s="82"/>
      <c r="E134" s="82"/>
      <c r="F134" s="16"/>
      <c r="G134" s="16"/>
      <c r="H134" s="16"/>
      <c r="I134" s="11"/>
      <c r="J134" s="11"/>
      <c r="K134" s="11"/>
      <c r="L134" s="11"/>
    </row>
    <row r="135" spans="1:12" x14ac:dyDescent="0.35">
      <c r="A135" s="14" t="s">
        <v>29</v>
      </c>
      <c r="B135" s="14" t="s">
        <v>28</v>
      </c>
      <c r="C135" s="14"/>
      <c r="D135" s="14"/>
      <c r="E135" s="14"/>
      <c r="F135" s="14"/>
      <c r="G135" s="14"/>
      <c r="H135" s="14"/>
      <c r="I135" s="14"/>
      <c r="J135" s="14"/>
      <c r="K135" s="14"/>
      <c r="L135" s="14"/>
    </row>
    <row r="136" spans="1:12" x14ac:dyDescent="0.35">
      <c r="A136" s="13" t="s">
        <v>27</v>
      </c>
      <c r="B136" s="13" t="s">
        <v>26</v>
      </c>
      <c r="C136" s="12"/>
      <c r="D136" s="11"/>
      <c r="E136" s="11"/>
      <c r="F136" s="11"/>
      <c r="G136" s="11"/>
      <c r="H136" s="11"/>
      <c r="I136" s="11"/>
      <c r="J136" s="11"/>
      <c r="K136" s="11"/>
      <c r="L136" s="11"/>
    </row>
    <row r="137" spans="1:12" x14ac:dyDescent="0.35">
      <c r="A137" s="14" t="s">
        <v>25</v>
      </c>
      <c r="B137" s="14"/>
      <c r="C137" s="14"/>
      <c r="D137" s="14"/>
      <c r="E137" s="14"/>
      <c r="F137" s="14"/>
      <c r="G137" s="14"/>
      <c r="H137" s="14"/>
      <c r="I137" s="14"/>
      <c r="J137" s="14"/>
      <c r="K137" s="14"/>
      <c r="L137" s="14"/>
    </row>
    <row r="138" spans="1:12" x14ac:dyDescent="0.35">
      <c r="A138" s="13" t="s">
        <v>23</v>
      </c>
      <c r="B138" s="12"/>
      <c r="C138" s="12"/>
      <c r="D138" s="11"/>
      <c r="E138" s="11"/>
      <c r="F138" s="11"/>
      <c r="G138" s="11"/>
      <c r="H138" s="11"/>
      <c r="I138" s="11"/>
      <c r="J138" s="11"/>
      <c r="K138" s="11"/>
      <c r="L138" s="11"/>
    </row>
    <row r="139" spans="1:12" x14ac:dyDescent="0.35">
      <c r="A139" s="14" t="s">
        <v>24</v>
      </c>
      <c r="B139" s="14"/>
      <c r="C139" s="14"/>
      <c r="D139" s="14"/>
      <c r="E139" s="14"/>
      <c r="F139" s="14"/>
      <c r="G139" s="14"/>
      <c r="H139" s="14"/>
      <c r="I139" s="14"/>
      <c r="J139" s="14"/>
      <c r="K139" s="14"/>
      <c r="L139" s="14"/>
    </row>
    <row r="140" spans="1:12" x14ac:dyDescent="0.35">
      <c r="A140" s="13" t="s">
        <v>23</v>
      </c>
      <c r="B140" s="12"/>
      <c r="C140" s="12"/>
      <c r="D140" s="11"/>
      <c r="E140" s="11"/>
      <c r="F140" s="11"/>
      <c r="G140" s="11"/>
      <c r="H140" s="11"/>
      <c r="I140" s="11"/>
      <c r="J140" s="11"/>
      <c r="K140" s="11"/>
      <c r="L140"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67</v>
      </c>
      <c r="E2" s="7" t="s">
        <v>217</v>
      </c>
    </row>
    <row r="3" spans="2:5" x14ac:dyDescent="0.35">
      <c r="B3" t="s">
        <v>15</v>
      </c>
      <c r="C3" t="s">
        <v>16</v>
      </c>
      <c r="D3" t="s">
        <v>68</v>
      </c>
      <c r="E3" t="s">
        <v>16</v>
      </c>
    </row>
    <row r="4" spans="2:5" x14ac:dyDescent="0.35">
      <c r="B4" t="s">
        <v>17</v>
      </c>
      <c r="C4" t="s">
        <v>22</v>
      </c>
      <c r="D4" t="s">
        <v>105</v>
      </c>
      <c r="E4" t="s">
        <v>22</v>
      </c>
    </row>
    <row r="5" spans="2:5" x14ac:dyDescent="0.35">
      <c r="C5" t="s">
        <v>102</v>
      </c>
      <c r="D5" t="s">
        <v>104</v>
      </c>
      <c r="E5" t="s">
        <v>102</v>
      </c>
    </row>
    <row r="6" spans="2:5" x14ac:dyDescent="0.35">
      <c r="C6" t="s">
        <v>103</v>
      </c>
      <c r="E6" t="s">
        <v>103</v>
      </c>
    </row>
    <row r="7" spans="2:5" x14ac:dyDescent="0.35">
      <c r="C7" t="s">
        <v>101</v>
      </c>
      <c r="E7" t="s">
        <v>101</v>
      </c>
    </row>
    <row r="8" spans="2:5" x14ac:dyDescent="0.35">
      <c r="C8" t="s">
        <v>62</v>
      </c>
      <c r="E8" t="s">
        <v>62</v>
      </c>
    </row>
    <row r="9" spans="2:5" x14ac:dyDescent="0.35">
      <c r="C9" t="s">
        <v>118</v>
      </c>
      <c r="E9" t="s">
        <v>118</v>
      </c>
    </row>
    <row r="10" spans="2:5" x14ac:dyDescent="0.35">
      <c r="C10" t="s">
        <v>63</v>
      </c>
      <c r="E10" t="s">
        <v>216</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112</v>
      </c>
      <c r="B1" s="50" t="s">
        <v>113</v>
      </c>
      <c r="C1" s="48" t="s">
        <v>114</v>
      </c>
      <c r="D1" s="48" t="s">
        <v>116</v>
      </c>
    </row>
    <row r="2" spans="1:4" x14ac:dyDescent="0.35">
      <c r="A2" t="s">
        <v>110</v>
      </c>
      <c r="B2" s="49">
        <v>42691</v>
      </c>
      <c r="C2" t="s">
        <v>115</v>
      </c>
      <c r="D2" t="s">
        <v>117</v>
      </c>
    </row>
    <row r="3" spans="1:4" ht="29" x14ac:dyDescent="0.35">
      <c r="A3" t="s">
        <v>111</v>
      </c>
      <c r="B3" s="49">
        <v>42692</v>
      </c>
      <c r="C3" t="s">
        <v>115</v>
      </c>
      <c r="D3" s="7" t="s">
        <v>119</v>
      </c>
    </row>
    <row r="4" spans="1:4" x14ac:dyDescent="0.35">
      <c r="A4" t="s">
        <v>120</v>
      </c>
      <c r="B4" s="49">
        <v>42711</v>
      </c>
      <c r="C4" t="s">
        <v>115</v>
      </c>
      <c r="D4" t="s">
        <v>121</v>
      </c>
    </row>
    <row r="5" spans="1:4" ht="58" x14ac:dyDescent="0.35">
      <c r="A5" t="s">
        <v>122</v>
      </c>
      <c r="B5" s="49">
        <v>42760</v>
      </c>
      <c r="C5" t="s">
        <v>115</v>
      </c>
      <c r="D5" s="7" t="s">
        <v>126</v>
      </c>
    </row>
    <row r="6" spans="1:4" ht="87" x14ac:dyDescent="0.35">
      <c r="A6" t="s">
        <v>128</v>
      </c>
      <c r="B6" s="49">
        <v>42927</v>
      </c>
      <c r="C6" t="s">
        <v>115</v>
      </c>
      <c r="D6" s="7" t="s">
        <v>133</v>
      </c>
    </row>
    <row r="7" spans="1:4" ht="101.5" x14ac:dyDescent="0.35">
      <c r="A7" t="s">
        <v>134</v>
      </c>
      <c r="B7" s="49">
        <v>42936</v>
      </c>
      <c r="C7" t="s">
        <v>115</v>
      </c>
      <c r="D7" s="7" t="s">
        <v>138</v>
      </c>
    </row>
    <row r="8" spans="1:4" x14ac:dyDescent="0.35">
      <c r="A8" t="s">
        <v>139</v>
      </c>
      <c r="B8" s="49">
        <v>43076</v>
      </c>
      <c r="C8" t="s">
        <v>115</v>
      </c>
      <c r="D8" t="s">
        <v>141</v>
      </c>
    </row>
    <row r="9" spans="1:4" ht="29" x14ac:dyDescent="0.35">
      <c r="A9" t="s">
        <v>143</v>
      </c>
      <c r="B9" s="49">
        <v>43117</v>
      </c>
      <c r="C9" t="s">
        <v>115</v>
      </c>
      <c r="D9" s="7" t="s">
        <v>144</v>
      </c>
    </row>
    <row r="10" spans="1:4" ht="58" x14ac:dyDescent="0.35">
      <c r="A10" t="s">
        <v>145</v>
      </c>
      <c r="B10" s="49">
        <v>43348</v>
      </c>
      <c r="C10" t="s">
        <v>115</v>
      </c>
      <c r="D10" s="7" t="s">
        <v>152</v>
      </c>
    </row>
    <row r="11" spans="1:4" ht="72.5" x14ac:dyDescent="0.35">
      <c r="A11" t="s">
        <v>153</v>
      </c>
      <c r="B11" s="49">
        <v>43409</v>
      </c>
      <c r="C11" t="s">
        <v>115</v>
      </c>
      <c r="D11" s="7" t="s">
        <v>163</v>
      </c>
    </row>
    <row r="12" spans="1:4" x14ac:dyDescent="0.35">
      <c r="A12" t="s">
        <v>164</v>
      </c>
      <c r="B12" s="49">
        <v>43669</v>
      </c>
      <c r="C12" t="s">
        <v>115</v>
      </c>
      <c r="D12" s="7" t="s">
        <v>166</v>
      </c>
    </row>
    <row r="13" spans="1:4" ht="72.5" x14ac:dyDescent="0.35">
      <c r="A13" t="s">
        <v>167</v>
      </c>
      <c r="B13" s="49">
        <v>43846</v>
      </c>
      <c r="C13" t="s">
        <v>115</v>
      </c>
      <c r="D13" s="7" t="s">
        <v>183</v>
      </c>
    </row>
    <row r="14" spans="1:4" ht="116" x14ac:dyDescent="0.35">
      <c r="A14" t="s">
        <v>209</v>
      </c>
      <c r="B14" s="49">
        <v>43991</v>
      </c>
      <c r="C14" t="s">
        <v>115</v>
      </c>
      <c r="D14" s="7" t="s">
        <v>214</v>
      </c>
    </row>
    <row r="15" spans="1:4" ht="174" x14ac:dyDescent="0.35">
      <c r="A15" t="s">
        <v>219</v>
      </c>
      <c r="B15" s="49">
        <v>45296</v>
      </c>
      <c r="C15" t="s">
        <v>115</v>
      </c>
      <c r="D15" s="7" t="s">
        <v>242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2024-10-15T12:58:14Z</dcterms:modified>
</cp:coreProperties>
</file>