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DB21D6C3-1D27-4922-B47B-6212AABFFA5D}"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15" i="2" l="1"/>
  <c r="BT14" i="2"/>
  <c r="BT16" i="2"/>
  <c r="BT17" i="2"/>
  <c r="B17" i="2" s="1"/>
  <c r="AY17" i="2"/>
  <c r="AX17" i="2"/>
  <c r="AW17" i="2"/>
  <c r="AV17" i="2"/>
  <c r="AU17" i="2"/>
  <c r="AT17" i="2"/>
  <c r="K17" i="2" s="1"/>
  <c r="AQ17" i="2"/>
  <c r="AP17" i="2"/>
  <c r="AO17" i="2"/>
  <c r="AN17" i="2"/>
  <c r="AM17" i="2"/>
  <c r="AL17" i="2"/>
  <c r="AK17" i="2"/>
  <c r="AJ17" i="2"/>
  <c r="AI17" i="2"/>
  <c r="AH17" i="2"/>
  <c r="AG17" i="2"/>
  <c r="AE17" i="2"/>
  <c r="AD17" i="2"/>
  <c r="AB17" i="2"/>
  <c r="AA17" i="2"/>
  <c r="Z17" i="2"/>
  <c r="V17" i="2"/>
  <c r="U17" i="2"/>
  <c r="T17" i="2"/>
  <c r="S17" i="2"/>
  <c r="R17" i="2"/>
  <c r="Q17" i="2"/>
  <c r="P17" i="2"/>
  <c r="O17" i="2"/>
  <c r="N17" i="2"/>
  <c r="M17" i="2"/>
  <c r="I17" i="2"/>
  <c r="H17" i="2"/>
  <c r="G17" i="2"/>
  <c r="F17" i="2"/>
  <c r="E17" i="2"/>
  <c r="D17" i="2"/>
  <c r="BS15" i="2"/>
  <c r="BS14" i="2"/>
  <c r="AC17" i="2" l="1"/>
  <c r="AC15" i="2" l="1"/>
  <c r="AC16" i="2"/>
  <c r="C8" i="9"/>
  <c r="C9" i="9" s="1"/>
  <c r="CR15" i="2"/>
  <c r="BD15" i="2"/>
  <c r="CR14" i="2"/>
  <c r="BD14" i="2"/>
  <c r="BS18" i="2"/>
  <c r="AO18" i="2" s="1"/>
  <c r="BD18" i="2"/>
  <c r="E18" i="2" s="1"/>
  <c r="AY18" i="2"/>
  <c r="AX18" i="2"/>
  <c r="AW18" i="2"/>
  <c r="AV18" i="2"/>
  <c r="AU18" i="2"/>
  <c r="AT18" i="2"/>
  <c r="K18" i="2" s="1"/>
  <c r="AQ18" i="2"/>
  <c r="AP18" i="2"/>
  <c r="AN18" i="2"/>
  <c r="AM18" i="2"/>
  <c r="AL18" i="2"/>
  <c r="AK18" i="2"/>
  <c r="AJ18" i="2"/>
  <c r="AI18" i="2"/>
  <c r="AH18" i="2"/>
  <c r="AG18" i="2"/>
  <c r="AE18" i="2"/>
  <c r="AD18" i="2"/>
  <c r="AC18" i="2"/>
  <c r="AB18" i="2"/>
  <c r="AA18" i="2"/>
  <c r="Z18" i="2"/>
  <c r="V18" i="2"/>
  <c r="U18" i="2"/>
  <c r="T18" i="2"/>
  <c r="S18" i="2"/>
  <c r="R18" i="2"/>
  <c r="Q18" i="2"/>
  <c r="P18" i="2"/>
  <c r="O18" i="2"/>
  <c r="N18" i="2"/>
  <c r="M18" i="2"/>
  <c r="I18" i="2"/>
  <c r="H18" i="2"/>
  <c r="G18" i="2"/>
  <c r="F18" i="2"/>
  <c r="D18" i="2"/>
  <c r="B18" i="2"/>
  <c r="AY16" i="2"/>
  <c r="AX16" i="2"/>
  <c r="AW16" i="2"/>
  <c r="AV16" i="2"/>
  <c r="AU16" i="2"/>
  <c r="AT16" i="2"/>
  <c r="K16" i="2" s="1"/>
  <c r="AQ16" i="2"/>
  <c r="AP16" i="2"/>
  <c r="AO16" i="2"/>
  <c r="AN16" i="2"/>
  <c r="AM16" i="2"/>
  <c r="AL16" i="2"/>
  <c r="AK16" i="2"/>
  <c r="AJ16" i="2"/>
  <c r="AI16" i="2"/>
  <c r="AH16" i="2"/>
  <c r="AG16" i="2"/>
  <c r="AE16" i="2"/>
  <c r="AD16" i="2"/>
  <c r="AB16" i="2"/>
  <c r="AA16" i="2"/>
  <c r="Z16" i="2"/>
  <c r="V16" i="2"/>
  <c r="U16" i="2"/>
  <c r="T16" i="2"/>
  <c r="S16" i="2"/>
  <c r="R16" i="2"/>
  <c r="Q16" i="2"/>
  <c r="P16" i="2"/>
  <c r="O16" i="2"/>
  <c r="N16" i="2"/>
  <c r="M16" i="2"/>
  <c r="I16" i="2"/>
  <c r="H16" i="2"/>
  <c r="G16" i="2"/>
  <c r="F16" i="2"/>
  <c r="D16" i="2"/>
  <c r="AU15" i="2"/>
  <c r="AT15" i="2"/>
  <c r="K15" i="2" s="1"/>
  <c r="AQ15" i="2"/>
  <c r="AP15" i="2"/>
  <c r="AO15" i="2"/>
  <c r="AN15" i="2"/>
  <c r="AM15" i="2"/>
  <c r="AL15" i="2"/>
  <c r="AK15" i="2"/>
  <c r="AJ15" i="2"/>
  <c r="AI15" i="2"/>
  <c r="AH15" i="2"/>
  <c r="AG15" i="2"/>
  <c r="AE15" i="2"/>
  <c r="AD15" i="2"/>
  <c r="AB15" i="2"/>
  <c r="AA15" i="2"/>
  <c r="Z15" i="2"/>
  <c r="V15" i="2"/>
  <c r="U15" i="2"/>
  <c r="T15" i="2"/>
  <c r="R15" i="2"/>
  <c r="Q15" i="2"/>
  <c r="P15" i="2"/>
  <c r="O15" i="2"/>
  <c r="N15" i="2"/>
  <c r="M15" i="2"/>
  <c r="I15" i="2"/>
  <c r="G15" i="2"/>
  <c r="F15" i="2"/>
  <c r="D15" i="2"/>
  <c r="B16" i="2" l="1"/>
  <c r="B15" i="2"/>
  <c r="AV15" i="2"/>
  <c r="AW15" i="2" s="1"/>
  <c r="D9" i="9"/>
  <c r="C25" i="9"/>
  <c r="C24" i="9"/>
  <c r="E9" i="9" l="1"/>
  <c r="CJ15" i="2"/>
  <c r="BI15" i="2"/>
  <c r="S15" i="2" s="1"/>
  <c r="CJ14" i="2"/>
  <c r="BI14" i="2"/>
  <c r="D25" i="9"/>
  <c r="D24" i="9"/>
  <c r="BD26" i="2"/>
  <c r="AY26" i="2"/>
  <c r="AX26" i="2"/>
  <c r="AW26" i="2"/>
  <c r="AV26" i="2"/>
  <c r="AU26" i="2"/>
  <c r="AT26" i="2"/>
  <c r="K26" i="2" s="1"/>
  <c r="AQ26" i="2"/>
  <c r="AP26" i="2"/>
  <c r="AO26" i="2"/>
  <c r="AN26" i="2"/>
  <c r="AM26" i="2"/>
  <c r="AL26" i="2"/>
  <c r="AK26" i="2"/>
  <c r="AJ26" i="2"/>
  <c r="AI26" i="2"/>
  <c r="AH26" i="2"/>
  <c r="AG26" i="2"/>
  <c r="AE26" i="2"/>
  <c r="AD26" i="2"/>
  <c r="AC26" i="2"/>
  <c r="AB26" i="2"/>
  <c r="AA26" i="2"/>
  <c r="Z26" i="2"/>
  <c r="V26" i="2"/>
  <c r="U26" i="2"/>
  <c r="T26" i="2"/>
  <c r="S26" i="2"/>
  <c r="R26" i="2"/>
  <c r="Q26" i="2"/>
  <c r="P26" i="2"/>
  <c r="O26" i="2"/>
  <c r="N26" i="2"/>
  <c r="M26" i="2"/>
  <c r="I26" i="2"/>
  <c r="H26" i="2"/>
  <c r="G26" i="2"/>
  <c r="F26" i="2"/>
  <c r="E26" i="2"/>
  <c r="D26" i="2"/>
  <c r="B26" i="2"/>
  <c r="AY20" i="2"/>
  <c r="AX20" i="2"/>
  <c r="AW20" i="2"/>
  <c r="AV20" i="2"/>
  <c r="AU20" i="2"/>
  <c r="AT20" i="2"/>
  <c r="K20" i="2" s="1"/>
  <c r="AQ20" i="2"/>
  <c r="AP20" i="2"/>
  <c r="AO20" i="2"/>
  <c r="AN20" i="2"/>
  <c r="AM20" i="2"/>
  <c r="AL20" i="2"/>
  <c r="AK20" i="2"/>
  <c r="AJ20" i="2"/>
  <c r="AI20" i="2"/>
  <c r="AH20" i="2"/>
  <c r="AG20" i="2"/>
  <c r="AE20" i="2"/>
  <c r="AD20" i="2"/>
  <c r="AC20" i="2"/>
  <c r="AB20" i="2"/>
  <c r="AA20" i="2"/>
  <c r="Z20" i="2"/>
  <c r="V20" i="2"/>
  <c r="U20" i="2"/>
  <c r="T20" i="2"/>
  <c r="S20" i="2"/>
  <c r="R20" i="2"/>
  <c r="Q20" i="2"/>
  <c r="P20" i="2"/>
  <c r="O20" i="2"/>
  <c r="N20" i="2"/>
  <c r="M20" i="2"/>
  <c r="I20" i="2"/>
  <c r="H20" i="2"/>
  <c r="G20" i="2"/>
  <c r="F20" i="2"/>
  <c r="D20" i="2"/>
  <c r="B20" i="2"/>
  <c r="K6" i="1"/>
  <c r="E6" i="9"/>
  <c r="BD16" i="2" l="1"/>
  <c r="E16" i="2" s="1"/>
  <c r="F9" i="9"/>
  <c r="CO23" i="2"/>
  <c r="H9" i="9" l="1"/>
  <c r="CK15" i="2" s="1"/>
  <c r="G9" i="9"/>
  <c r="G2" i="9"/>
  <c r="E2" i="9"/>
  <c r="G4" i="9"/>
  <c r="E5" i="9"/>
  <c r="E4" i="9"/>
  <c r="E1" i="9" s="1"/>
  <c r="CK14" i="2" l="1"/>
  <c r="BD20" i="2"/>
  <c r="E20" i="2" s="1"/>
  <c r="BD19" i="2"/>
  <c r="BD8" i="2"/>
  <c r="AY15" i="2"/>
  <c r="H15" i="2" s="1"/>
  <c r="AX15" i="2"/>
  <c r="E15" i="2" s="1"/>
  <c r="G3" i="9"/>
  <c r="C27" i="9" s="1"/>
  <c r="D27" i="9" s="1"/>
  <c r="G1" i="9"/>
  <c r="C3" i="9" s="1"/>
  <c r="E3" i="9"/>
  <c r="C26" i="9" s="1"/>
  <c r="D26" i="9" s="1"/>
  <c r="CR24" i="2"/>
  <c r="C23" i="9"/>
  <c r="D23" i="9" s="1"/>
  <c r="D22" i="9"/>
  <c r="C21" i="9"/>
  <c r="D21" i="9" s="1"/>
  <c r="C6" i="10" s="1"/>
  <c r="C2" i="9"/>
  <c r="AF17" i="2" l="1"/>
  <c r="AF18" i="2"/>
  <c r="AF16" i="2"/>
  <c r="AF15" i="2"/>
  <c r="AF26" i="2"/>
  <c r="AF20" i="2"/>
  <c r="M12" i="9"/>
  <c r="N12" i="9" s="1"/>
  <c r="M13" i="9"/>
  <c r="N13" i="9" s="1"/>
  <c r="M14" i="9"/>
  <c r="N14" i="9" s="1"/>
  <c r="M15" i="9"/>
  <c r="N15" i="9" s="1"/>
  <c r="M16" i="9"/>
  <c r="N16" i="9" s="1"/>
  <c r="M17" i="9"/>
  <c r="N17" i="9" s="1"/>
  <c r="M18" i="9"/>
  <c r="N18" i="9" s="1"/>
  <c r="M11" i="9"/>
  <c r="N11" i="9" s="1"/>
  <c r="M10" i="9"/>
  <c r="N10" i="9" s="1"/>
  <c r="M9" i="9"/>
  <c r="N9" i="9" s="1"/>
  <c r="M8" i="9"/>
  <c r="N8" i="9" s="1"/>
  <c r="M6" i="9"/>
  <c r="N6" i="9" s="1"/>
  <c r="M5" i="9"/>
  <c r="N5" i="9" s="1"/>
  <c r="M4" i="9"/>
  <c r="N4" i="9" s="1"/>
  <c r="M3" i="9"/>
  <c r="N3" i="9" s="1"/>
  <c r="M7" i="9"/>
  <c r="N7" i="9" s="1"/>
  <c r="C4" i="9"/>
  <c r="C5" i="9" s="1"/>
  <c r="G6" i="1" s="1"/>
  <c r="CK24" i="2"/>
  <c r="L17" i="2" l="1"/>
  <c r="L18" i="2"/>
  <c r="L15" i="2"/>
  <c r="L16" i="2"/>
  <c r="L20" i="2"/>
  <c r="L26" i="2"/>
  <c r="N2" i="9"/>
  <c r="BH24" i="2" s="1"/>
  <c r="R24" i="2" s="1"/>
  <c r="BG24" i="2"/>
  <c r="Q24" i="2" s="1"/>
  <c r="CJ24" i="2"/>
  <c r="BD24" i="2"/>
  <c r="I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P24" i="2"/>
  <c r="O24" i="2"/>
  <c r="N24" i="2"/>
  <c r="M24" i="2"/>
  <c r="G24" i="2"/>
  <c r="F24" i="2"/>
  <c r="D24" i="2"/>
  <c r="AX24" i="2" l="1"/>
  <c r="E24" i="2" s="1"/>
  <c r="AV24" i="2"/>
  <c r="AW24" i="2" s="1"/>
  <c r="AY24" i="2"/>
  <c r="H24" i="2" s="1"/>
  <c r="BD21" i="2"/>
  <c r="CK23" i="2" l="1"/>
  <c r="CN23" i="2"/>
  <c r="CR22" i="2"/>
  <c r="CN22" i="2"/>
  <c r="CJ22" i="2" s="1"/>
  <c r="CK22" i="2"/>
  <c r="BT23" i="2"/>
  <c r="BD25" i="2"/>
  <c r="BD23" i="2"/>
  <c r="BD22" i="2"/>
  <c r="L24" i="2"/>
  <c r="D11" i="1"/>
  <c r="B24" i="2" s="1"/>
  <c r="CR23" i="2" l="1"/>
  <c r="CJ23" i="2"/>
  <c r="AY19" i="2" l="1"/>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L19" i="2"/>
  <c r="I19" i="2"/>
  <c r="G19" i="2"/>
  <c r="F19" i="2"/>
  <c r="D19" i="2"/>
  <c r="B19" i="2"/>
  <c r="AV19" i="2" l="1"/>
  <c r="AW19" i="2" s="1"/>
  <c r="V25" i="2" l="1"/>
  <c r="U25" i="2"/>
  <c r="V23" i="2"/>
  <c r="U23" i="2"/>
  <c r="V22" i="2"/>
  <c r="U22" i="2"/>
  <c r="V21" i="2"/>
  <c r="U21" i="2"/>
  <c r="V14" i="2"/>
  <c r="U14" i="2"/>
  <c r="T25" i="2"/>
  <c r="T23" i="2"/>
  <c r="T22" i="2"/>
  <c r="T21" i="2"/>
  <c r="T14" i="2"/>
  <c r="S25" i="2"/>
  <c r="S23" i="2"/>
  <c r="S22" i="2"/>
  <c r="S21" i="2"/>
  <c r="S14" i="2"/>
  <c r="R25" i="2"/>
  <c r="R23" i="2"/>
  <c r="R22" i="2"/>
  <c r="R21" i="2"/>
  <c r="R14" i="2"/>
  <c r="Z25" i="2" l="1"/>
  <c r="Z23" i="2"/>
  <c r="Z22" i="2"/>
  <c r="Z21" i="2"/>
  <c r="Z14" i="2"/>
  <c r="Q25" i="2" l="1"/>
  <c r="Q23" i="2"/>
  <c r="Q22" i="2"/>
  <c r="Q21" i="2"/>
  <c r="AA25" i="2" l="1"/>
  <c r="AA23" i="2"/>
  <c r="AA22" i="2"/>
  <c r="AA21" i="2"/>
  <c r="AA14" i="2"/>
  <c r="AY12" i="2" l="1"/>
  <c r="L25" i="2" l="1"/>
  <c r="L23" i="2"/>
  <c r="L22" i="2"/>
  <c r="L21" i="2"/>
  <c r="L14" i="2"/>
  <c r="Q14" i="2" s="1"/>
  <c r="M25" i="2"/>
  <c r="AF25" i="2"/>
  <c r="AF23" i="2"/>
  <c r="AF22" i="2"/>
  <c r="AF21" i="2"/>
  <c r="AF14" i="2"/>
  <c r="AM25" i="2"/>
  <c r="AL25" i="2"/>
  <c r="AK25" i="2"/>
  <c r="AJ25" i="2"/>
  <c r="AI25" i="2"/>
  <c r="AH25" i="2"/>
  <c r="AG25" i="2"/>
  <c r="AE25" i="2"/>
  <c r="AD25" i="2"/>
  <c r="AM23" i="2"/>
  <c r="AL23" i="2"/>
  <c r="AK23" i="2"/>
  <c r="AJ23" i="2"/>
  <c r="AI23" i="2"/>
  <c r="AH23" i="2"/>
  <c r="AG23" i="2"/>
  <c r="AE23" i="2"/>
  <c r="AD23" i="2"/>
  <c r="AM22" i="2"/>
  <c r="AL22" i="2"/>
  <c r="AK22" i="2"/>
  <c r="AJ22" i="2"/>
  <c r="AI22" i="2"/>
  <c r="AH22" i="2"/>
  <c r="AG22" i="2"/>
  <c r="AE22" i="2"/>
  <c r="AD22" i="2"/>
  <c r="AM21" i="2"/>
  <c r="AL21" i="2"/>
  <c r="AK21" i="2"/>
  <c r="AJ21" i="2"/>
  <c r="AI21" i="2"/>
  <c r="AH21" i="2"/>
  <c r="AG21" i="2"/>
  <c r="AE21" i="2"/>
  <c r="AD21" i="2"/>
  <c r="AM14" i="2"/>
  <c r="AL14" i="2"/>
  <c r="AK14" i="2"/>
  <c r="AJ14" i="2"/>
  <c r="AI14" i="2"/>
  <c r="AH14" i="2"/>
  <c r="AG14" i="2"/>
  <c r="AE14" i="2"/>
  <c r="AD14" i="2"/>
  <c r="M14" i="2" l="1"/>
  <c r="M21" i="2"/>
  <c r="M22" i="2"/>
  <c r="M23" i="2"/>
  <c r="AB25" i="2"/>
  <c r="AB23" i="2"/>
  <c r="AB22" i="2"/>
  <c r="AB21" i="2"/>
  <c r="AB14" i="2"/>
  <c r="AT25" i="2" l="1"/>
  <c r="G25" i="2"/>
  <c r="AT23" i="2"/>
  <c r="G23" i="2"/>
  <c r="AT22" i="2"/>
  <c r="G22" i="2"/>
  <c r="AT21" i="2"/>
  <c r="G21" i="2"/>
  <c r="AT14" i="2"/>
  <c r="G14" i="2"/>
  <c r="B25" i="2"/>
  <c r="B23" i="2"/>
  <c r="N25" i="2"/>
  <c r="N23" i="2"/>
  <c r="N22" i="2"/>
  <c r="N21" i="2"/>
  <c r="N14" i="2"/>
  <c r="AC25" i="2" l="1"/>
  <c r="AC23" i="2"/>
  <c r="AC22" i="2"/>
  <c r="AC21" i="2"/>
  <c r="AC14" i="2"/>
  <c r="B22" i="2" l="1"/>
  <c r="B21" i="2"/>
  <c r="B14" i="2"/>
  <c r="D13" i="1"/>
  <c r="O25" i="2" l="1"/>
  <c r="O23" i="2"/>
  <c r="O22" i="2"/>
  <c r="O21" i="2"/>
  <c r="O14" i="2"/>
  <c r="P25" i="2" l="1"/>
  <c r="P23" i="2"/>
  <c r="P22" i="2"/>
  <c r="P21" i="2"/>
  <c r="P14" i="2"/>
  <c r="AN25" i="2" l="1"/>
  <c r="AN23" i="2"/>
  <c r="AN22" i="2"/>
  <c r="AN21" i="2"/>
  <c r="AN14" i="2"/>
  <c r="AO14" i="2" l="1"/>
  <c r="AO25" i="2" l="1"/>
  <c r="AO23" i="2"/>
  <c r="AO22" i="2"/>
  <c r="AO21" i="2"/>
  <c r="V9" i="1"/>
  <c r="U9" i="1"/>
  <c r="T9" i="1"/>
  <c r="S9" i="1"/>
  <c r="AP25" i="2" l="1"/>
  <c r="I25" i="2"/>
  <c r="F25" i="2"/>
  <c r="D25" i="2"/>
  <c r="AP23" i="2"/>
  <c r="I23" i="2"/>
  <c r="F23" i="2"/>
  <c r="D23" i="2"/>
  <c r="AP22" i="2"/>
  <c r="I22" i="2"/>
  <c r="F22" i="2"/>
  <c r="D22" i="2"/>
  <c r="AP21" i="2"/>
  <c r="I21" i="2"/>
  <c r="F21" i="2"/>
  <c r="D21" i="2"/>
  <c r="AP14" i="2"/>
  <c r="I14" i="2"/>
  <c r="F14" i="2"/>
  <c r="D14" i="2"/>
  <c r="G2" i="1" l="1"/>
  <c r="G4" i="1" s="1"/>
  <c r="H4" i="1" s="1"/>
  <c r="R9" i="1" l="1"/>
  <c r="Q9" i="1"/>
  <c r="P9" i="1"/>
  <c r="O9" i="1"/>
  <c r="N9" i="1"/>
  <c r="K21" i="2" l="1"/>
  <c r="K22" i="2"/>
  <c r="K23" i="2"/>
  <c r="K25" i="2"/>
  <c r="K14" i="2"/>
  <c r="AU21" i="2"/>
  <c r="AU22" i="2"/>
  <c r="AU23" i="2"/>
  <c r="AU25" i="2"/>
  <c r="AU14" i="2"/>
  <c r="AV21" i="2" l="1"/>
  <c r="AW21" i="2" s="1"/>
  <c r="AV22" i="2"/>
  <c r="AW22" i="2" s="1"/>
  <c r="AV23" i="2"/>
  <c r="AW23" i="2" s="1"/>
  <c r="AV25" i="2"/>
  <c r="AW25" i="2" s="1"/>
  <c r="AX21" i="2" l="1"/>
  <c r="E21" i="2" s="1"/>
  <c r="AX22" i="2"/>
  <c r="E22" i="2" s="1"/>
  <c r="AX23" i="2"/>
  <c r="E23" i="2" s="1"/>
  <c r="AX25" i="2"/>
  <c r="E25" i="2" s="1"/>
  <c r="AX14" i="2"/>
  <c r="E14" i="2" s="1"/>
  <c r="M9" i="1"/>
  <c r="L9" i="1"/>
  <c r="AQ21" i="2"/>
  <c r="AQ22" i="2"/>
  <c r="AQ23" i="2"/>
  <c r="AQ25" i="2"/>
  <c r="AQ14" i="2"/>
  <c r="AY21" i="2"/>
  <c r="H21" i="2" s="1"/>
  <c r="AY22" i="2"/>
  <c r="H22" i="2" s="1"/>
  <c r="AY23" i="2"/>
  <c r="H23" i="2" s="1"/>
  <c r="AY25" i="2"/>
  <c r="H25" i="2" s="1"/>
  <c r="AY14" i="2"/>
  <c r="H14" i="2" s="1"/>
  <c r="K9" i="1"/>
  <c r="J9" i="1"/>
  <c r="I9" i="1"/>
  <c r="H9" i="1"/>
  <c r="G9" i="1"/>
  <c r="F9" i="1"/>
  <c r="AV14" i="2" l="1"/>
  <c r="AW14" i="2" l="1"/>
</calcChain>
</file>

<file path=xl/sharedStrings.xml><?xml version="1.0" encoding="utf-8"?>
<sst xmlns="http://schemas.openxmlformats.org/spreadsheetml/2006/main" count="509" uniqueCount="312">
  <si>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</si>
  <si>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</si>
  <si>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</si>
  <si>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</si>
  <si>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</si>
  <si>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</si>
  <si>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</si>
  <si>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</si>
  <si>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</si>
  <si>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</si>
  <si>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</si>
  <si>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</si>
  <si>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</si>
  <si>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</si>
  <si>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</si>
  <si>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</si>
  <si>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</si>
  <si>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</si>
  <si>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</si>
  <si>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</si>
  <si>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</si>
  <si>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</si>
  <si>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</si>
  <si>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</si>
  <si>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</si>
  <si>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</si>
  <si>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</si>
  <si>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</si>
  <si>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</si>
  <si>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</si>
  <si>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</si>
  <si>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</si>
  <si>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</si>
  <si>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</si>
  <si>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</si>
  <si>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</si>
  <si>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</si>
  <si>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</si>
  <si>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</si>
  <si>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</si>
  <si>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</si>
  <si>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</si>
  <si>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</si>
  <si>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</si>
  <si>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</si>
  <si>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</si>
  <si>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</si>
  <si>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</si>
  <si>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</si>
  <si>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</si>
  <si>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</si>
  <si>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</si>
  <si>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</si>
  <si>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</si>
  <si>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</si>
  <si>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</si>
  <si>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</si>
  <si>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</si>
  <si>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</si>
  <si>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</si>
  <si>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</si>
  <si>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</si>
  <si>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</si>
  <si>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</si>
  <si>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</si>
  <si>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</si>
  <si>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</si>
  <si>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</si>
  <si>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</si>
  <si>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</si>
  <si>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</si>
  <si>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</si>
  <si>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</si>
  <si>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</si>
  <si>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</si>
  <si>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</si>
  <si>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</si>
  <si>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</si>
  <si>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</si>
  <si>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</si>
  <si>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</si>
  <si>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</si>
  <si>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</si>
  <si>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</si>
  <si>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</si>
  <si>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</si>
  <si>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</si>
  <si>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</si>
  <si>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</si>
  <si>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</si>
  <si>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</si>
  <si>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</si>
  <si>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</si>
  <si>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</si>
  <si>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</si>
  <si>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</si>
  <si>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</si>
  <si>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</si>
  <si>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</si>
  <si>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</si>
  <si>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</si>
  <si>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</si>
  <si>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</si>
  <si>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</si>
  <si>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</si>
  <si>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</si>
  <si>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</si>
  <si>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</si>
  <si>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</si>
  <si>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</si>
  <si>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</si>
  <si>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</si>
  <si>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</si>
  <si>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</si>
  <si>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</si>
  <si>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</si>
  <si>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</si>
  <si>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</si>
  <si>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</si>
  <si>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</si>
  <si>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</si>
  <si>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</si>
  <si>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</si>
  <si>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</si>
  <si>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</si>
  <si>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</si>
  <si>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</si>
  <si>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</si>
  <si>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</si>
  <si>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</si>
  <si>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</si>
  <si>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</si>
  <si>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</si>
  <si>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</si>
  <si>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</si>
  <si>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</si>
  <si>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</si>
  <si>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</si>
  <si>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</si>
  <si>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</si>
  <si>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</si>
  <si>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</si>
  <si>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</si>
  <si>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</si>
  <si>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</si>
  <si>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</si>
  <si>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</si>
  <si>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</si>
  <si>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</si>
  <si>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</si>
  <si>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</si>
  <si>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</si>
  <si>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</si>
  <si>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</si>
  <si>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</si>
  <si>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</si>
  <si>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</si>
  <si>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</si>
  <si>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</si>
  <si>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</si>
  <si>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</si>
  <si>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</si>
  <si>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</si>
  <si>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</si>
  <si>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</si>
  <si>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</si>
  <si>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</si>
  <si>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</si>
  <si>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</si>
  <si>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</si>
  <si>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</si>
  <si>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</si>
  <si>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</si>
  <si>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</si>
  <si>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</si>
  <si>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</si>
  <si>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</si>
  <si>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</si>
  <si>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</si>
  <si>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</si>
  <si>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</si>
  <si>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</si>
  <si>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</si>
  <si>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</si>
  <si>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</si>
  <si>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</si>
  <si>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</si>
  <si>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</si>
  <si>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</si>
  <si>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</si>
  <si>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</si>
  <si>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</si>
  <si>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</si>
  <si>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</si>
  <si>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</si>
  <si>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</si>
  <si>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</si>
  <si>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</si>
  <si>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</si>
  <si>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</si>
  <si>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</si>
  <si>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</si>
  <si>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</si>
  <si>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</si>
  <si>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</si>
  <si>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</si>
  <si>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</si>
  <si>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</si>
  <si>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</si>
  <si>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</si>
  <si>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</si>
  <si>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</si>
  <si>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</si>
  <si>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</si>
  <si>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</si>
  <si>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</si>
  <si>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</si>
  <si>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</si>
  <si>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</si>
  <si>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</si>
  <si>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</si>
  <si>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</si>
  <si>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</si>
  <si>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</si>
  <si>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</si>
  <si>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</si>
  <si>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</si>
  <si>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</si>
  <si>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</si>
  <si>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</si>
  <si>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</si>
  <si>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</si>
  <si>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</si>
  <si>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</si>
  <si>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</si>
  <si>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</si>
  <si>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</si>
  <si>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</si>
  <si>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</si>
  <si>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</si>
  <si>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</si>
  <si>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</si>
  <si>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</si>
  <si>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</si>
  <si>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</si>
  <si>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STELLANTIS\Common\ToolPrototype\Devices</t>
  </si>
  <si>
    <t>&lt;Config6&gt;</t>
  </si>
  <si>
    <t>(16384 * ModuleOK) + ( 20480 * (NOT ModuleOK))</t>
  </si>
  <si>
    <t>ModuleOK</t>
  </si>
  <si>
    <t>To_SIM_CommOk</t>
  </si>
  <si>
    <t>IO_BLOCK</t>
  </si>
  <si>
    <t>System:Node</t>
  </si>
  <si>
    <t>Switch:Port OR Upstream Device</t>
  </si>
  <si>
    <t>SxxESWy:17</t>
  </si>
  <si>
    <t>UnplugEnet</t>
  </si>
  <si>
    <t>From_SIM_CommOk</t>
  </si>
  <si>
    <t>EntryStatus</t>
  </si>
  <si>
    <t>SwitchPort</t>
  </si>
  <si>
    <t>From_KEY_UnplugEnet</t>
  </si>
  <si>
    <t>To_PLC_EntryStatus</t>
  </si>
  <si>
    <t>To_PLC_SwitchPort</t>
  </si>
  <si>
    <t>SxxAAyBKz</t>
  </si>
  <si>
    <t>4th:126</t>
  </si>
  <si>
    <t>STELLANTIS_EIP_AB1732</t>
  </si>
  <si>
    <t>Fault</t>
  </si>
  <si>
    <t>Module Name</t>
  </si>
  <si>
    <t>Validation Tracker Prep</t>
  </si>
  <si>
    <t>COMPONENT</t>
  </si>
  <si>
    <t>TYPE</t>
  </si>
  <si>
    <t>IO Block</t>
  </si>
  <si>
    <t>NAME</t>
  </si>
  <si>
    <t>Valid Signals</t>
  </si>
  <si>
    <t>DINT</t>
  </si>
  <si>
    <t>To_PLC_Fault</t>
  </si>
  <si>
    <t>0</t>
  </si>
  <si>
    <t>*Module Data Format (GENERIC or EDS) - default based on name</t>
  </si>
  <si>
    <t>EDS</t>
  </si>
  <si>
    <t>GENERIC or EDS</t>
  </si>
  <si>
    <t>GENERIC</t>
  </si>
  <si>
    <t>BK</t>
  </si>
  <si>
    <t>EB</t>
  </si>
  <si>
    <t>IO</t>
  </si>
  <si>
    <t>NB</t>
  </si>
  <si>
    <t>Module Identifier</t>
  </si>
  <si>
    <t>Tool Name</t>
  </si>
  <si>
    <t>Tool Name (intermediate)</t>
  </si>
  <si>
    <t>STELLANTIS_EIP_AB1732_IO_BLOCK_ENET_8IN_8OUT.v00</t>
  </si>
  <si>
    <t>Data[1].</t>
  </si>
  <si>
    <t>Data.</t>
  </si>
  <si>
    <t>To_SIM_OutputPwrOk</t>
  </si>
  <si>
    <t>From_SIM_InputPwrOk</t>
  </si>
  <si>
    <t>From_SIM_OutputPwOk</t>
  </si>
  <si>
    <t>(NOT From_KEY_UnplugEnet) AND From_SIM_InputPwrOk AND From_SIM_CommOk</t>
  </si>
  <si>
    <t>MODULE_GENERIC</t>
  </si>
  <si>
    <t>MODULE_EDS</t>
  </si>
  <si>
    <t>ENET_NODE</t>
  </si>
  <si>
    <t>ENET_PORT</t>
  </si>
  <si>
    <t>SIO Outputs</t>
  </si>
  <si>
    <t>Safe Block</t>
  </si>
  <si>
    <t>From_SIM_SIO_OutputCommOk</t>
  </si>
  <si>
    <t>EnableCh1</t>
  </si>
  <si>
    <t>EnableCh2</t>
  </si>
  <si>
    <t>LBS_ZZZ_BOOL_TRUE</t>
  </si>
  <si>
    <t>From_SIM_SafeIOUsed</t>
  </si>
  <si>
    <t>From_PSF_EnableCh1</t>
  </si>
  <si>
    <t>From_PSF_EnableCh2</t>
  </si>
  <si>
    <t>SIO or Aux Pwr Panel:Port</t>
  </si>
  <si>
    <t>Sxx_SIOy.O.baa/O.bbb OR Sxx_SyyPSBz:AUX1</t>
  </si>
  <si>
    <t>IOCommOk</t>
  </si>
  <si>
    <t>OutputPwrOk</t>
  </si>
  <si>
    <t>TON(ModuleOK,1)</t>
  </si>
  <si>
    <t>(From_SIM_OutputPwOk AND (NOT From_KEY_UnplugEnet)) AND ((From_SIM_SIO_OutputCommOk AND From_PSF_EnableCh1 AND From_PSF_EnableCh2) OR (NOT From_SIM_SafeIOUsed))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</si>
</sst>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8">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xf numFmtId="0" fontId="0" fillId="12" borderId="0" xfId="0" applyFill="1"/>
  </cellXfs>
  <cellStyles count="1">
    <cellStyle name="Normal" xfId="0" builtinId="0"/>
  </cellStyles>
  <dxfs count="54">
    <dxf>
      <border>
        <top style="thin">
          <color auto="1"/>
        </top>
        <vertical/>
        <horizontal/>
      </border>
    </dxf>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I23" sqref="I23"/>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184</v>
      </c>
      <c r="G2" s="54" t="str">
        <f ca="1">SUBSTITUTE( LEFT(CELL("filename",A1),FIND("]",CELL("filename",A1))-1),"[","")</f>
        <v>C:\Users\BryanJoseMaldonadoGa\source\repos\VC Validation Tracker Generator\assets\Signal Template - STELLANTIS - EIP - Common - Devices - AB - IO Block - Enet - 8in 8out - v00.00.xlsm</v>
      </c>
      <c r="H2" s="54"/>
      <c r="I2" s="54"/>
      <c r="J2" s="54"/>
      <c r="K2" s="54"/>
      <c r="L2" s="54"/>
      <c r="M2" s="54"/>
      <c r="N2" s="54"/>
      <c r="O2" s="54"/>
      <c r="P2" s="54"/>
      <c r="Q2" s="54"/>
      <c r="R2" s="54"/>
      <c r="S2" s="54"/>
      <c r="T2" s="54"/>
      <c r="U2" s="54"/>
      <c r="V2" s="54"/>
    </row>
    <row r="3" spans="2:22" x14ac:dyDescent="0.35">
      <c r="F3" s="23" t="s">
        <v>183</v>
      </c>
      <c r="G3" s="55">
        <v>45580.374236111114</v>
      </c>
      <c r="H3" s="54"/>
      <c r="I3" s="54"/>
      <c r="J3" s="54"/>
      <c r="K3" s="54"/>
      <c r="L3" s="54"/>
      <c r="M3" s="54"/>
      <c r="N3" s="54"/>
      <c r="O3" s="54"/>
      <c r="P3" s="54"/>
      <c r="Q3" s="54"/>
      <c r="R3" s="54"/>
      <c r="S3" s="54"/>
      <c r="T3" s="54"/>
      <c r="U3" s="54"/>
      <c r="V3" s="54"/>
    </row>
    <row r="4" spans="2:22" x14ac:dyDescent="0.35">
      <c r="F4" s="23" t="s">
        <v>211</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125</v>
      </c>
      <c r="G5" s="53" t="s">
        <v>263</v>
      </c>
      <c r="H5" s="53"/>
      <c r="I5" s="53"/>
      <c r="J5" s="23" t="s">
        <v>126</v>
      </c>
      <c r="K5" s="54" t="s">
        <v>286</v>
      </c>
      <c r="L5" s="54"/>
      <c r="M5" s="54"/>
      <c r="N5" s="54"/>
      <c r="O5" s="54"/>
      <c r="P5" s="54"/>
      <c r="Q5" s="54"/>
      <c r="R5" s="54"/>
      <c r="S5" s="54"/>
      <c r="T5" s="54"/>
      <c r="U5" s="54"/>
      <c r="V5" s="54"/>
    </row>
    <row r="6" spans="2:22" x14ac:dyDescent="0.35">
      <c r="F6" s="23" t="s">
        <v>207</v>
      </c>
      <c r="G6" s="53" t="str">
        <f>"TOOLING\"&amp;Prep!$C$5</f>
        <v>TOOLING\SxxAAy</v>
      </c>
      <c r="H6" s="53"/>
      <c r="I6" s="53"/>
      <c r="J6" s="23" t="s">
        <v>181</v>
      </c>
      <c r="K6" s="53" t="str">
        <f>$G$5&amp;"_"&amp;$D$9&amp;"_ENET_8IN_8OUT"&amp;".v00"</f>
        <v>STELLANTIS_EIP_AB1732_IO_BLOCK_ENET_8IN_8OUT.v00</v>
      </c>
      <c r="L6" s="53"/>
      <c r="M6" s="53"/>
      <c r="N6" s="53"/>
      <c r="O6" s="53"/>
      <c r="P6" s="53"/>
      <c r="Q6" s="53"/>
      <c r="R6" s="53"/>
      <c r="S6" s="53"/>
      <c r="T6" s="53"/>
      <c r="U6" s="53"/>
      <c r="V6" s="53"/>
    </row>
    <row r="7" spans="2:22" ht="15" thickBot="1" x14ac:dyDescent="0.4">
      <c r="F7" s="23" t="s">
        <v>206</v>
      </c>
      <c r="G7" s="53" t="s">
        <v>245</v>
      </c>
      <c r="H7" s="53"/>
      <c r="I7" s="53"/>
      <c r="J7" s="23" t="s">
        <v>182</v>
      </c>
      <c r="K7" s="53" t="s">
        <v>178</v>
      </c>
    </row>
    <row r="8" spans="2:22" ht="15" thickBot="1" x14ac:dyDescent="0.4">
      <c r="B8" s="67" t="s">
        <v>215</v>
      </c>
      <c r="F8" s="51"/>
      <c r="G8" s="51"/>
      <c r="H8" s="51"/>
      <c r="I8" s="51"/>
      <c r="J8" s="51"/>
      <c r="K8" s="51"/>
      <c r="L8" s="51"/>
      <c r="M8" s="51"/>
      <c r="N8" s="51"/>
      <c r="O8" s="51"/>
      <c r="P8" s="51"/>
      <c r="Q8" s="51"/>
      <c r="R8" s="51"/>
      <c r="S8" s="51"/>
      <c r="T8" s="51"/>
      <c r="U8" s="51"/>
      <c r="V8" s="51"/>
    </row>
    <row r="9" spans="2:22" ht="15" thickBot="1" x14ac:dyDescent="0.4">
      <c r="B9" s="1" t="s">
        <v>59</v>
      </c>
      <c r="C9" s="69"/>
      <c r="D9" s="22" t="s">
        <v>250</v>
      </c>
      <c r="F9" s="21" t="str">
        <f>$B$10</f>
        <v>LB Unique ID</v>
      </c>
      <c r="G9" s="21" t="str">
        <f>$B$14</f>
        <v>OPC Server</v>
      </c>
      <c r="H9" s="21" t="str">
        <f>$B$15</f>
        <v>System:Node</v>
      </c>
      <c r="I9" s="21" t="str">
        <f>$B$16</f>
        <v>Switch:Port OR Upstream Device</v>
      </c>
      <c r="J9" s="21" t="str">
        <f>$B$17</f>
        <v>SIO or Aux Pwr Panel:Port</v>
      </c>
      <c r="K9" s="21" t="str">
        <f>$B$18</f>
        <v>*Module Data Format (GENERIC or EDS) - default based on name</v>
      </c>
      <c r="L9" s="21" t="str">
        <f>$B$19</f>
        <v>&lt;Config6&gt;</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58</v>
      </c>
      <c r="C10" s="5"/>
      <c r="D10" s="78" t="s">
        <v>261</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IO_BLOCK_SxxAAyBKz</v>
      </c>
      <c r="F11" s="73"/>
      <c r="G11" s="18"/>
      <c r="H11" s="18"/>
      <c r="I11" s="18"/>
      <c r="J11" s="18"/>
      <c r="K11" s="18"/>
      <c r="L11" s="18"/>
      <c r="M11" s="18"/>
      <c r="N11" s="18"/>
      <c r="O11" s="18"/>
      <c r="P11" s="18"/>
      <c r="Q11" s="18"/>
      <c r="R11" s="18"/>
      <c r="S11" s="18"/>
      <c r="T11" s="18"/>
      <c r="U11" s="18"/>
      <c r="V11" s="74"/>
    </row>
    <row r="12" spans="2:22" x14ac:dyDescent="0.35">
      <c r="B12" s="2" t="s">
        <v>64</v>
      </c>
      <c r="C12" s="5"/>
      <c r="D12" s="3" t="s">
        <v>65</v>
      </c>
      <c r="F12" s="73"/>
      <c r="G12" s="18"/>
      <c r="H12" s="18"/>
      <c r="I12" s="18"/>
      <c r="J12" s="18"/>
      <c r="K12" s="18"/>
      <c r="L12" s="18"/>
      <c r="M12" s="18"/>
      <c r="N12" s="18"/>
      <c r="O12" s="18"/>
      <c r="P12" s="18"/>
      <c r="Q12" s="18"/>
      <c r="R12" s="18"/>
      <c r="S12" s="18"/>
      <c r="T12" s="18"/>
      <c r="U12" s="18"/>
      <c r="V12" s="74"/>
    </row>
    <row r="13" spans="2:22" x14ac:dyDescent="0.35">
      <c r="B13" s="58" t="s">
        <v>156</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240</v>
      </c>
      <c r="C14" s="5"/>
      <c r="D14" s="78" t="s">
        <v>244</v>
      </c>
      <c r="F14" s="73"/>
      <c r="G14" s="18"/>
      <c r="H14" s="18"/>
      <c r="I14" s="18"/>
      <c r="J14" s="18"/>
      <c r="K14" s="18"/>
      <c r="L14" s="18"/>
      <c r="M14" s="18"/>
      <c r="N14" s="18"/>
      <c r="O14" s="18"/>
      <c r="P14" s="18"/>
      <c r="Q14" s="18"/>
      <c r="R14" s="18"/>
      <c r="S14" s="18"/>
      <c r="T14" s="18"/>
      <c r="U14" s="18"/>
      <c r="V14" s="74"/>
    </row>
    <row r="15" spans="2:22" x14ac:dyDescent="0.35">
      <c r="B15" s="10" t="s">
        <v>251</v>
      </c>
      <c r="C15" s="5"/>
      <c r="D15" s="78" t="s">
        <v>262</v>
      </c>
      <c r="F15" s="73"/>
      <c r="G15" s="18"/>
      <c r="H15" s="18"/>
      <c r="I15" s="18"/>
      <c r="J15" s="18"/>
      <c r="K15" s="18"/>
      <c r="L15" s="18"/>
      <c r="M15" s="18"/>
      <c r="N15" s="18"/>
      <c r="O15" s="18"/>
      <c r="P15" s="18"/>
      <c r="Q15" s="18"/>
      <c r="R15" s="18"/>
      <c r="S15" s="18"/>
      <c r="T15" s="18"/>
      <c r="U15" s="18"/>
      <c r="V15" s="74"/>
    </row>
    <row r="16" spans="2:22" x14ac:dyDescent="0.35">
      <c r="B16" s="10" t="s">
        <v>252</v>
      </c>
      <c r="C16" s="5"/>
      <c r="D16" s="78" t="s">
        <v>253</v>
      </c>
      <c r="F16" s="73"/>
      <c r="G16" s="18"/>
      <c r="H16" s="18"/>
      <c r="I16" s="18"/>
      <c r="J16" s="18"/>
      <c r="K16" s="18"/>
      <c r="L16" s="18"/>
      <c r="M16" s="18"/>
      <c r="N16" s="18"/>
      <c r="O16" s="18"/>
      <c r="P16" s="18"/>
      <c r="Q16" s="18"/>
      <c r="R16" s="18"/>
      <c r="S16" s="18"/>
      <c r="T16" s="18"/>
      <c r="U16" s="18"/>
      <c r="V16" s="74"/>
    </row>
    <row r="17" spans="2:22" x14ac:dyDescent="0.35">
      <c r="B17" s="10" t="s">
        <v>306</v>
      </c>
      <c r="C17" s="5"/>
      <c r="D17" s="78" t="s">
        <v>307</v>
      </c>
      <c r="F17" s="73"/>
      <c r="G17" s="18"/>
      <c r="H17" s="18"/>
      <c r="I17" s="18"/>
      <c r="J17" s="18"/>
      <c r="K17" s="18"/>
      <c r="L17" s="18"/>
      <c r="M17" s="18"/>
      <c r="N17" s="18"/>
      <c r="O17" s="18"/>
      <c r="P17" s="18"/>
      <c r="Q17" s="18"/>
      <c r="R17" s="18"/>
      <c r="S17" s="18"/>
      <c r="T17" s="18"/>
      <c r="U17" s="18"/>
      <c r="V17" s="74"/>
    </row>
    <row r="18" spans="2:22" x14ac:dyDescent="0.35">
      <c r="B18" s="10" t="s">
        <v>275</v>
      </c>
      <c r="C18" s="5"/>
      <c r="D18" s="78" t="s">
        <v>277</v>
      </c>
      <c r="F18" s="73"/>
      <c r="G18" s="18"/>
      <c r="H18" s="18"/>
      <c r="I18" s="18"/>
      <c r="J18" s="18"/>
      <c r="K18" s="18"/>
      <c r="L18" s="18"/>
      <c r="M18" s="18"/>
      <c r="N18" s="18"/>
      <c r="O18" s="18"/>
      <c r="P18" s="18"/>
      <c r="Q18" s="18"/>
      <c r="R18" s="18"/>
      <c r="S18" s="18"/>
      <c r="T18" s="18"/>
      <c r="U18" s="18"/>
      <c r="V18" s="74"/>
    </row>
    <row r="19" spans="2:22" x14ac:dyDescent="0.35">
      <c r="B19" s="10" t="s">
        <v>246</v>
      </c>
      <c r="C19" s="5"/>
      <c r="D19" s="78" t="s">
        <v>239</v>
      </c>
      <c r="F19" s="73"/>
      <c r="G19" s="18"/>
      <c r="H19" s="18"/>
      <c r="I19" s="18"/>
      <c r="J19" s="18"/>
      <c r="K19" s="18"/>
      <c r="L19" s="18"/>
      <c r="M19" s="18"/>
      <c r="N19" s="18"/>
      <c r="O19" s="18"/>
      <c r="P19" s="18"/>
      <c r="Q19" s="18"/>
      <c r="R19" s="18"/>
      <c r="S19" s="18"/>
      <c r="T19" s="18"/>
      <c r="U19" s="18"/>
      <c r="V19" s="74"/>
    </row>
    <row r="20" spans="2:22" x14ac:dyDescent="0.35">
      <c r="B20" s="10" t="s">
        <v>241</v>
      </c>
      <c r="C20" s="5"/>
      <c r="D20" s="78" t="s">
        <v>239</v>
      </c>
      <c r="F20" s="73"/>
      <c r="G20" s="18"/>
      <c r="H20" s="18"/>
      <c r="I20" s="18"/>
      <c r="J20" s="18"/>
      <c r="K20" s="18"/>
      <c r="L20" s="18"/>
      <c r="M20" s="18"/>
      <c r="N20" s="18"/>
      <c r="O20" s="18"/>
      <c r="P20" s="18"/>
      <c r="Q20" s="18"/>
      <c r="R20" s="18"/>
      <c r="S20" s="18"/>
      <c r="T20" s="18"/>
      <c r="U20" s="18"/>
      <c r="V20" s="74"/>
    </row>
    <row r="21" spans="2:22" x14ac:dyDescent="0.35">
      <c r="B21" s="10" t="s">
        <v>242</v>
      </c>
      <c r="C21" s="5"/>
      <c r="D21" s="78" t="s">
        <v>239</v>
      </c>
      <c r="F21" s="73"/>
      <c r="G21" s="18"/>
      <c r="H21" s="18"/>
      <c r="I21" s="18"/>
      <c r="J21" s="18"/>
      <c r="K21" s="18"/>
      <c r="L21" s="18"/>
      <c r="M21" s="18"/>
      <c r="N21" s="18"/>
      <c r="O21" s="18"/>
      <c r="P21" s="18"/>
      <c r="Q21" s="18"/>
      <c r="R21" s="18"/>
      <c r="S21" s="18"/>
      <c r="T21" s="18"/>
      <c r="U21" s="18"/>
      <c r="V21" s="74"/>
    </row>
    <row r="22" spans="2:22" x14ac:dyDescent="0.35">
      <c r="B22" s="10" t="s">
        <v>243</v>
      </c>
      <c r="C22" s="5"/>
      <c r="D22" s="78" t="s">
        <v>239</v>
      </c>
      <c r="F22" s="73"/>
      <c r="G22" s="18"/>
      <c r="H22" s="18"/>
      <c r="I22" s="18"/>
      <c r="J22" s="18"/>
      <c r="K22" s="18"/>
      <c r="L22" s="18"/>
      <c r="M22" s="18"/>
      <c r="N22" s="18"/>
      <c r="O22" s="18"/>
      <c r="P22" s="18"/>
      <c r="Q22" s="18"/>
      <c r="R22" s="18"/>
      <c r="S22" s="18"/>
      <c r="T22" s="18"/>
      <c r="U22" s="18"/>
      <c r="V22" s="74"/>
    </row>
    <row r="23" spans="2:22" x14ac:dyDescent="0.35">
      <c r="B23" s="10" t="s">
        <v>121</v>
      </c>
      <c r="C23" s="5"/>
      <c r="D23" s="78" t="s">
        <v>239</v>
      </c>
      <c r="F23" s="73"/>
      <c r="G23" s="18"/>
      <c r="H23" s="18"/>
      <c r="I23" s="18"/>
      <c r="J23" s="18"/>
      <c r="K23" s="18"/>
      <c r="L23" s="18"/>
      <c r="M23" s="18"/>
      <c r="N23" s="18"/>
      <c r="O23" s="18"/>
      <c r="P23" s="18"/>
      <c r="Q23" s="18"/>
      <c r="R23" s="18"/>
      <c r="S23" s="18"/>
      <c r="T23" s="18"/>
      <c r="U23" s="18"/>
      <c r="V23" s="74"/>
    </row>
    <row r="24" spans="2:22" x14ac:dyDescent="0.35">
      <c r="B24" s="10" t="s">
        <v>120</v>
      </c>
      <c r="C24" s="5"/>
      <c r="D24" s="78" t="s">
        <v>239</v>
      </c>
      <c r="F24" s="73"/>
      <c r="G24" s="18"/>
      <c r="H24" s="18"/>
      <c r="I24" s="18"/>
      <c r="J24" s="18"/>
      <c r="K24" s="18"/>
      <c r="L24" s="18"/>
      <c r="M24" s="18"/>
      <c r="N24" s="18"/>
      <c r="O24" s="18"/>
      <c r="P24" s="18"/>
      <c r="Q24" s="18"/>
      <c r="R24" s="18"/>
      <c r="S24" s="18"/>
      <c r="T24" s="18"/>
      <c r="U24" s="18"/>
      <c r="V24" s="74"/>
    </row>
    <row r="25" spans="2:22" x14ac:dyDescent="0.35">
      <c r="B25" s="10" t="s">
        <v>119</v>
      </c>
      <c r="C25" s="5"/>
      <c r="D25" s="78" t="s">
        <v>239</v>
      </c>
      <c r="F25" s="73"/>
      <c r="G25" s="18"/>
      <c r="H25" s="18"/>
      <c r="I25" s="18"/>
      <c r="J25" s="18"/>
      <c r="K25" s="18"/>
      <c r="L25" s="18"/>
      <c r="M25" s="18"/>
      <c r="N25" s="18"/>
      <c r="O25" s="18"/>
      <c r="P25" s="18"/>
      <c r="Q25" s="18"/>
      <c r="R25" s="18"/>
      <c r="S25" s="18"/>
      <c r="T25" s="18"/>
      <c r="U25" s="18"/>
      <c r="V25" s="74"/>
    </row>
    <row r="26" spans="2:22" x14ac:dyDescent="0.35">
      <c r="B26" s="10" t="s">
        <v>142</v>
      </c>
      <c r="C26" s="5"/>
      <c r="D26" s="78" t="s">
        <v>239</v>
      </c>
      <c r="F26" s="73"/>
      <c r="G26" s="18"/>
      <c r="H26" s="18"/>
      <c r="I26" s="18"/>
      <c r="J26" s="18"/>
      <c r="K26" s="18"/>
      <c r="L26" s="18"/>
      <c r="M26" s="18"/>
      <c r="N26" s="18"/>
      <c r="O26" s="18"/>
      <c r="P26" s="18"/>
      <c r="Q26" s="18"/>
      <c r="R26" s="18"/>
      <c r="S26" s="18"/>
      <c r="T26" s="18"/>
      <c r="U26" s="18"/>
      <c r="V26" s="74"/>
    </row>
    <row r="27" spans="2:22" x14ac:dyDescent="0.35">
      <c r="B27" s="10" t="s">
        <v>143</v>
      </c>
      <c r="C27" s="5"/>
      <c r="D27" s="78" t="s">
        <v>239</v>
      </c>
      <c r="F27" s="73"/>
      <c r="G27" s="18"/>
      <c r="H27" s="18"/>
      <c r="I27" s="18"/>
      <c r="J27" s="18"/>
      <c r="K27" s="18"/>
      <c r="L27" s="18"/>
      <c r="M27" s="18"/>
      <c r="N27" s="18"/>
      <c r="O27" s="18"/>
      <c r="P27" s="18"/>
      <c r="Q27" s="18"/>
      <c r="R27" s="18"/>
      <c r="S27" s="18"/>
      <c r="T27" s="18"/>
      <c r="U27" s="18"/>
      <c r="V27" s="74"/>
    </row>
    <row r="28" spans="2:22" x14ac:dyDescent="0.35">
      <c r="B28" s="10" t="s">
        <v>144</v>
      </c>
      <c r="C28" s="5"/>
      <c r="D28" s="78" t="s">
        <v>239</v>
      </c>
      <c r="F28" s="73"/>
      <c r="G28" s="18"/>
      <c r="H28" s="18"/>
      <c r="I28" s="18"/>
      <c r="J28" s="18"/>
      <c r="K28" s="18"/>
      <c r="L28" s="18"/>
      <c r="M28" s="18"/>
      <c r="N28" s="18"/>
      <c r="O28" s="18"/>
      <c r="P28" s="18"/>
      <c r="Q28" s="18"/>
      <c r="R28" s="18"/>
      <c r="S28" s="18"/>
      <c r="T28" s="18"/>
      <c r="U28" s="18"/>
      <c r="V28" s="74"/>
    </row>
    <row r="29" spans="2:22" ht="15" thickBot="1" x14ac:dyDescent="0.4">
      <c r="B29" s="24" t="s">
        <v>145</v>
      </c>
      <c r="C29" s="6"/>
      <c r="D29" s="79" t="s">
        <v>239</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3" priority="42" stopIfTrue="1" operator="containsText" text="Placeholder">
      <formula>NOT(ISERROR(SEARCH("Placeholder",E18)))</formula>
    </cfRule>
  </conditionalFormatting>
  <conditionalFormatting sqref="G10:G10006">
    <cfRule type="expression" dxfId="52" priority="7">
      <formula>OR($F10="",$D$14="&lt;Placeholder&gt;")</formula>
    </cfRule>
  </conditionalFormatting>
  <conditionalFormatting sqref="H10:H10006">
    <cfRule type="expression" dxfId="51" priority="14">
      <formula>OR($F10="",$D$15="&lt;Placeholder&gt;")</formula>
    </cfRule>
  </conditionalFormatting>
  <conditionalFormatting sqref="I10:I10006">
    <cfRule type="expression" dxfId="50" priority="15">
      <formula>OR($F10="",$D$16="&lt;Placeholder&gt;")</formula>
    </cfRule>
  </conditionalFormatting>
  <conditionalFormatting sqref="J10:J10006">
    <cfRule type="expression" dxfId="49" priority="16">
      <formula>OR($F10="",$D$17="&lt;Placeholder&gt;")</formula>
    </cfRule>
  </conditionalFormatting>
  <conditionalFormatting sqref="K10:K10006">
    <cfRule type="expression" dxfId="48" priority="17">
      <formula>OR($F10="",$D$18="&lt;Placeholder&gt;")</formula>
    </cfRule>
  </conditionalFormatting>
  <conditionalFormatting sqref="L10:L10006">
    <cfRule type="expression" dxfId="47" priority="24">
      <formula>OR($F10="",$D$19="&lt;Placeholder&gt;")</formula>
    </cfRule>
  </conditionalFormatting>
  <conditionalFormatting sqref="M10:M10006">
    <cfRule type="expression" dxfId="46" priority="25">
      <formula>OR($F10="",$D$20="&lt;Placeholder&gt;")</formula>
    </cfRule>
  </conditionalFormatting>
  <conditionalFormatting sqref="N10:N10006">
    <cfRule type="expression" dxfId="45" priority="26">
      <formula>OR($F10="",$D$21="&lt;Placeholder&gt;")</formula>
    </cfRule>
  </conditionalFormatting>
  <conditionalFormatting sqref="O10:O10006">
    <cfRule type="expression" dxfId="44" priority="27">
      <formula>OR($F10="",$D$22="&lt;Placeholder&gt;")</formula>
    </cfRule>
  </conditionalFormatting>
  <conditionalFormatting sqref="P10:P10006">
    <cfRule type="expression" dxfId="43" priority="28">
      <formula>OR($F10="",$D$23="&lt;Placeholder&gt;")</formula>
    </cfRule>
  </conditionalFormatting>
  <conditionalFormatting sqref="Q10:Q10006">
    <cfRule type="expression" dxfId="42" priority="31">
      <formula>OR($F10="",$D$24="&lt;Placeholder&gt;")</formula>
    </cfRule>
  </conditionalFormatting>
  <conditionalFormatting sqref="K5:V5">
    <cfRule type="expression" dxfId="41" priority="22">
      <formula>$K$5&lt;&gt;$K$6</formula>
    </cfRule>
    <cfRule type="expression" dxfId="40" priority="23">
      <formula>$K$5=$K$6</formula>
    </cfRule>
  </conditionalFormatting>
  <conditionalFormatting sqref="G3:Q3">
    <cfRule type="expression" dxfId="39" priority="20">
      <formula>ISNUMBER($G$3)</formula>
    </cfRule>
    <cfRule type="expression" dxfId="38" priority="21">
      <formula>NOT(ISNUMBER($G$3))</formula>
    </cfRule>
  </conditionalFormatting>
  <conditionalFormatting sqref="V10:V10006">
    <cfRule type="expression" dxfId="37" priority="36">
      <formula>OR($F10="",$D$29="&lt;Placeholder&gt;")</formula>
    </cfRule>
  </conditionalFormatting>
  <conditionalFormatting sqref="S10:S10006">
    <cfRule type="expression" dxfId="36" priority="33">
      <formula>OR($F10="",$D$26="&lt;Placeholder&gt;")</formula>
    </cfRule>
  </conditionalFormatting>
  <conditionalFormatting sqref="T10:T10006">
    <cfRule type="expression" dxfId="35" priority="34">
      <formula>OR($F10="",$D$27="&lt;Placeholder&gt;")</formula>
    </cfRule>
  </conditionalFormatting>
  <conditionalFormatting sqref="U10:U10006">
    <cfRule type="expression" dxfId="34" priority="35">
      <formula>OR($F10="",$D$28="&lt;Placeholder&gt;")</formula>
    </cfRule>
  </conditionalFormatting>
  <conditionalFormatting sqref="S3:V3">
    <cfRule type="expression" dxfId="33" priority="10">
      <formula>ISNUMBER($G$3)</formula>
    </cfRule>
    <cfRule type="expression" dxfId="32" priority="11">
      <formula>NOT(ISNUMBER($G$3))</formula>
    </cfRule>
  </conditionalFormatting>
  <conditionalFormatting sqref="D14:D29">
    <cfRule type="containsText" dxfId="31" priority="8" stopIfTrue="1" operator="containsText" text="Placeholder">
      <formula>NOT(ISERROR(SEARCH("Placeholder",D14)))</formula>
    </cfRule>
  </conditionalFormatting>
  <conditionalFormatting sqref="R3">
    <cfRule type="expression" dxfId="30" priority="3">
      <formula>ISNUMBER($G$3)</formula>
    </cfRule>
    <cfRule type="expression" dxfId="29" priority="4">
      <formula>NOT(ISNUMBER($G$3))</formula>
    </cfRule>
  </conditionalFormatting>
  <conditionalFormatting sqref="R10:R10006">
    <cfRule type="expression" dxfId="28" priority="32">
      <formula>OR($F10="",$D$25="&lt;Placeholder&gt;")</formula>
    </cfRule>
  </conditionalFormatting>
  <conditionalFormatting sqref="G4">
    <cfRule type="expression" dxfId="27" priority="2">
      <formula>$G$4="*FIX FILENAME*"</formula>
    </cfRule>
  </conditionalFormatting>
  <conditionalFormatting sqref="H4">
    <cfRule type="expression" dxfId="26"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1:N27"/>
  <sheetViews>
    <sheetView workbookViewId="0">
      <selection activeCell="C8" sqref="C8"/>
    </sheetView>
  </sheetViews>
  <sheetFormatPr defaultRowHeight="14.5" x14ac:dyDescent="0.35"/>
  <cols>
    <col min="2" max="2" width="24.54296875" bestFit="1" customWidth="1"/>
    <col min="3" max="3" width="28.81640625" customWidth="1"/>
    <col min="13" max="13" width="12.1796875" bestFit="1" customWidth="1"/>
    <col min="14" max="14" width="22.1796875" customWidth="1"/>
  </cols>
  <sheetData>
    <row r="1" spans="2:14" x14ac:dyDescent="0.35">
      <c r="E1" t="e">
        <f>VLOOKUP("X",E4:F6,2,FALSE)</f>
        <v>#N/A</v>
      </c>
      <c r="G1" t="str">
        <f>VLOOKUP("X",G4:H6,2,FALSE)</f>
        <v>BK</v>
      </c>
    </row>
    <row r="2" spans="2:14" x14ac:dyDescent="0.35">
      <c r="B2" s="84" t="s">
        <v>265</v>
      </c>
      <c r="C2" s="85" t="str">
        <f>Header_LB_Unique_ID</f>
        <v>SxxAAyBKz</v>
      </c>
      <c r="E2" s="85" t="str">
        <f>IF(UPPER(Header_Config05)="GENERIC","GENERIC","")</f>
        <v/>
      </c>
      <c r="F2" s="86" t="s">
        <v>278</v>
      </c>
      <c r="G2" s="85" t="str">
        <f>IF(UPPER(Header_Config05)="EDS","EDS","")</f>
        <v/>
      </c>
      <c r="H2" s="86" t="s">
        <v>276</v>
      </c>
      <c r="M2" s="84" t="s">
        <v>271</v>
      </c>
      <c r="N2" s="85" t="str">
        <f>_xlfn.TEXTJOIN("|",TRUE,N3:N18)</f>
        <v>SxxAAyBKz:I.Data.0|SxxAAyBKz:I.Data.1|SxxAAyBKz:I.Data.2|SxxAAyBKz:I.Data.3|SxxAAyBKz:I.Data.4|SxxAAyBKz:I.Data.5|SxxAAyBKz:I.Data.6|SxxAAyBKz:I.Data.7|SxxAAyBKz:O.Data.0|SxxAAyBKz:O.Data.1|SxxAAyBKz:O.Data.2|SxxAAyBKz:O.Data.3|SxxAAyBKz:O.Data.4|SxxAAyBKz:O.Data.5|SxxAAyBKz:O.Data.6|SxxAAyBKz:O.Data.7</v>
      </c>
    </row>
    <row r="3" spans="2:14" x14ac:dyDescent="0.35">
      <c r="B3" s="84" t="s">
        <v>283</v>
      </c>
      <c r="C3" s="85" t="str">
        <f>IF(ISERROR($E$1),IF(ISERROR($G$1),"&lt;UNDEFINED IDENTIFIER&gt;",$G$1),$E$1)</f>
        <v>BK</v>
      </c>
      <c r="E3" s="85" t="str">
        <f>IF(AND($E$2="",$G$2=""),IF(COUNTIF(E4:E6,"X"),"X",""),IF(E2="","","X"))</f>
        <v/>
      </c>
      <c r="F3" s="87" t="s">
        <v>287</v>
      </c>
      <c r="G3" s="85" t="str">
        <f>IF(AND($E$2="",$G$2=""),IF(COUNTIF(G4:G6,"X"),"X",""),IF(G2="","","X"))</f>
        <v>X</v>
      </c>
      <c r="H3" s="87" t="s">
        <v>288</v>
      </c>
      <c r="L3">
        <v>0</v>
      </c>
      <c r="M3" s="87" t="str">
        <f t="shared" ref="M3:M10" si="0">"I."&amp;IF($E$3="",$H$3,$F$3)&amp;L3</f>
        <v>I.Data.0</v>
      </c>
      <c r="N3" s="85" t="str">
        <f>$C$2&amp;":"&amp;M3</f>
        <v>SxxAAyBKz:I.Data.0</v>
      </c>
    </row>
    <row r="4" spans="2:14" x14ac:dyDescent="0.35">
      <c r="B4" s="84" t="s">
        <v>285</v>
      </c>
      <c r="C4" s="85" t="str">
        <f>LEFT(C2,FIND(C3,C2)-1)</f>
        <v>SxxAAy</v>
      </c>
      <c r="E4" s="85" t="str">
        <f>IF(ISNUMBER(SEARCH(F4,Header_LB_Unique_ID)),"X","")</f>
        <v/>
      </c>
      <c r="F4" s="84" t="s">
        <v>280</v>
      </c>
      <c r="G4" s="85" t="str">
        <f>IF(ISNUMBER(SEARCH(H4,Header_LB_Unique_ID)),"X","")</f>
        <v>X</v>
      </c>
      <c r="H4" s="84" t="s">
        <v>279</v>
      </c>
      <c r="L4">
        <v>1</v>
      </c>
      <c r="M4" s="87" t="str">
        <f t="shared" si="0"/>
        <v>I.Data.1</v>
      </c>
      <c r="N4" s="85" t="str">
        <f t="shared" ref="N4:N18" si="1">$C$2&amp;":"&amp;M4</f>
        <v>SxxAAyBKz:I.Data.1</v>
      </c>
    </row>
    <row r="5" spans="2:14" x14ac:dyDescent="0.35">
      <c r="B5" s="84" t="s">
        <v>284</v>
      </c>
      <c r="C5" s="85" t="str">
        <f>IF(ISNUMBER(FIND("_",RIGHT(C4,2))),LEFT(C4,FIND("_",C4,LEN(C4)-2)-1),C4)</f>
        <v>SxxAAy</v>
      </c>
      <c r="E5" s="85" t="str">
        <f>IF(ISNUMBER(SEARCH(F5,Header_LB_Unique_ID)),"X","")</f>
        <v/>
      </c>
      <c r="F5" s="84" t="s">
        <v>281</v>
      </c>
      <c r="G5" s="85"/>
      <c r="H5" s="84"/>
      <c r="L5">
        <v>2</v>
      </c>
      <c r="M5" s="87" t="str">
        <f t="shared" si="0"/>
        <v>I.Data.2</v>
      </c>
      <c r="N5" s="85" t="str">
        <f t="shared" si="1"/>
        <v>SxxAAyBKz:I.Data.2</v>
      </c>
    </row>
    <row r="6" spans="2:14" x14ac:dyDescent="0.35">
      <c r="E6" s="85" t="str">
        <f>IF(ISNUMBER(SEARCH(F6,Header_LB_Unique_ID)),"X","")</f>
        <v/>
      </c>
      <c r="F6" s="84" t="s">
        <v>282</v>
      </c>
      <c r="G6" s="85"/>
      <c r="H6" s="84"/>
      <c r="L6">
        <v>3</v>
      </c>
      <c r="M6" s="87" t="str">
        <f t="shared" si="0"/>
        <v>I.Data.3</v>
      </c>
      <c r="N6" s="85" t="str">
        <f t="shared" si="1"/>
        <v>SxxAAyBKz:I.Data.3</v>
      </c>
    </row>
    <row r="7" spans="2:14" x14ac:dyDescent="0.35">
      <c r="L7">
        <v>4</v>
      </c>
      <c r="M7" s="87" t="str">
        <f t="shared" si="0"/>
        <v>I.Data.4</v>
      </c>
      <c r="N7" s="85" t="str">
        <f t="shared" si="1"/>
        <v>SxxAAyBKz:I.Data.4</v>
      </c>
    </row>
    <row r="8" spans="2:14" x14ac:dyDescent="0.35">
      <c r="B8" s="84" t="s">
        <v>297</v>
      </c>
      <c r="C8" s="85" t="str">
        <f>Header_Config04</f>
        <v>Sxx_SIOy.O.baa/O.bbb OR Sxx_SyyPSBz:AUX1</v>
      </c>
      <c r="L8">
        <v>5</v>
      </c>
      <c r="M8" s="87" t="str">
        <f t="shared" si="0"/>
        <v>I.Data.5</v>
      </c>
      <c r="N8" s="85" t="str">
        <f t="shared" si="1"/>
        <v>SxxAAyBKz:I.Data.5</v>
      </c>
    </row>
    <row r="9" spans="2:14" x14ac:dyDescent="0.35">
      <c r="B9" s="84" t="s">
        <v>298</v>
      </c>
      <c r="C9" s="85" t="str">
        <f>IF(OR(ISNUMBER(SEARCH("BK",C8)),ISNUMBER(SEARCH("SIO",C8))),C8,"")</f>
        <v>Sxx_SIOy.O.baa/O.bbb OR Sxx_SyyPSBz:AUX1</v>
      </c>
      <c r="D9" s="85" t="str">
        <f>IF(C9="","",LEFT(C9,FIND(".",C9)-1))</f>
        <v>Sxx_SIOy</v>
      </c>
      <c r="E9" s="85" t="str">
        <f>D9</f>
        <v>Sxx_SIOy</v>
      </c>
      <c r="F9" s="85" t="str">
        <f>IF(C9="","",RIGHT(C9,LEN(C9)-LEN(E9)-1))</f>
        <v>O.baa/O.bbb OR Sxx_SyyPSBz:AUX1</v>
      </c>
      <c r="G9" s="85" t="str">
        <f>IF(ISNUMBER(FIND(".b",F9)),MID(F9,FIND(".b",F9)+2,2),"")</f>
        <v>aa</v>
      </c>
      <c r="H9" s="85" t="str">
        <f>IF(ISNUMBER(FIND("/",F9)),MID(F9,FIND(".b",F9,FIND("/",F9))+2,2),"")</f>
        <v>bb</v>
      </c>
      <c r="L9">
        <v>6</v>
      </c>
      <c r="M9" s="87" t="str">
        <f t="shared" si="0"/>
        <v>I.Data.6</v>
      </c>
      <c r="N9" s="85" t="str">
        <f t="shared" si="1"/>
        <v>SxxAAyBKz:I.Data.6</v>
      </c>
    </row>
    <row r="10" spans="2:14" x14ac:dyDescent="0.35">
      <c r="L10">
        <v>7</v>
      </c>
      <c r="M10" s="87" t="str">
        <f t="shared" si="0"/>
        <v>I.Data.7</v>
      </c>
      <c r="N10" s="85" t="str">
        <f t="shared" si="1"/>
        <v>SxxAAyBKz:I.Data.7</v>
      </c>
    </row>
    <row r="11" spans="2:14" x14ac:dyDescent="0.35">
      <c r="L11">
        <v>0</v>
      </c>
      <c r="M11" s="87" t="str">
        <f>"O."&amp;IF($E$3="",$H$3,$F$3)&amp;L11</f>
        <v>O.Data.0</v>
      </c>
      <c r="N11" s="85" t="str">
        <f t="shared" si="1"/>
        <v>SxxAAyBKz:O.Data.0</v>
      </c>
    </row>
    <row r="12" spans="2:14" x14ac:dyDescent="0.35">
      <c r="L12">
        <v>1</v>
      </c>
      <c r="M12" s="87" t="str">
        <f t="shared" ref="M12:M18" si="2">"O."&amp;IF($E$3="",$H$3,$F$3)&amp;L12</f>
        <v>O.Data.1</v>
      </c>
      <c r="N12" s="85" t="str">
        <f t="shared" si="1"/>
        <v>SxxAAyBKz:O.Data.1</v>
      </c>
    </row>
    <row r="13" spans="2:14" x14ac:dyDescent="0.35">
      <c r="L13">
        <v>2</v>
      </c>
      <c r="M13" s="87" t="str">
        <f t="shared" si="2"/>
        <v>O.Data.2</v>
      </c>
      <c r="N13" s="85" t="str">
        <f t="shared" si="1"/>
        <v>SxxAAyBKz:O.Data.2</v>
      </c>
    </row>
    <row r="14" spans="2:14" x14ac:dyDescent="0.35">
      <c r="L14">
        <v>3</v>
      </c>
      <c r="M14" s="87" t="str">
        <f t="shared" si="2"/>
        <v>O.Data.3</v>
      </c>
      <c r="N14" s="85" t="str">
        <f t="shared" si="1"/>
        <v>SxxAAyBKz:O.Data.3</v>
      </c>
    </row>
    <row r="15" spans="2:14" x14ac:dyDescent="0.35">
      <c r="L15">
        <v>4</v>
      </c>
      <c r="M15" s="87" t="str">
        <f t="shared" si="2"/>
        <v>O.Data.4</v>
      </c>
      <c r="N15" s="85" t="str">
        <f t="shared" si="1"/>
        <v>SxxAAyBKz:O.Data.4</v>
      </c>
    </row>
    <row r="16" spans="2:14" x14ac:dyDescent="0.35">
      <c r="L16">
        <v>5</v>
      </c>
      <c r="M16" s="87" t="str">
        <f t="shared" si="2"/>
        <v>O.Data.5</v>
      </c>
      <c r="N16" s="85" t="str">
        <f t="shared" si="1"/>
        <v>SxxAAyBKz:O.Data.5</v>
      </c>
    </row>
    <row r="17" spans="2:14" x14ac:dyDescent="0.35">
      <c r="L17">
        <v>6</v>
      </c>
      <c r="M17" s="87" t="str">
        <f t="shared" si="2"/>
        <v>O.Data.6</v>
      </c>
      <c r="N17" s="85" t="str">
        <f t="shared" si="1"/>
        <v>SxxAAyBKz:O.Data.6</v>
      </c>
    </row>
    <row r="18" spans="2:14" x14ac:dyDescent="0.35">
      <c r="L18">
        <v>7</v>
      </c>
      <c r="M18" s="87" t="str">
        <f t="shared" si="2"/>
        <v>O.Data.7</v>
      </c>
      <c r="N18" s="85" t="str">
        <f t="shared" si="1"/>
        <v>SxxAAyBKz:O.Data.7</v>
      </c>
    </row>
    <row r="20" spans="2:14" x14ac:dyDescent="0.35">
      <c r="B20" s="86" t="s">
        <v>266</v>
      </c>
    </row>
    <row r="21" spans="2:14" x14ac:dyDescent="0.35">
      <c r="B21" s="84" t="s">
        <v>267</v>
      </c>
      <c r="C21" s="85" t="str">
        <f>LEFT(Header_COJT_Full_Name,SEARCH(".v",Header_COJT_Full_Name)-1)</f>
        <v>STELLANTIS_EIP_AB1732_IO_BLOCK_ENET_8IN_8OUT</v>
      </c>
      <c r="D21" s="85" t="str">
        <f>"&lt;"&amp;LOWER(B21)&amp;"&gt;"&amp;IF(ISERROR(C21),"***ERROR***",IF(C21="","***BLANK***",C21))&amp;"&lt;/"&amp;LOWER(B21)&amp;"&gt;"</f>
        <v>&lt;component&gt;STELLANTIS_EIP_AB1732_IO_BLOCK_ENET_8IN_8OUT&lt;/component&gt;</v>
      </c>
    </row>
    <row r="22" spans="2:14" x14ac:dyDescent="0.35">
      <c r="B22" s="84" t="s">
        <v>268</v>
      </c>
      <c r="C22" s="85" t="s">
        <v>269</v>
      </c>
      <c r="D22" s="85" t="str">
        <f t="shared" ref="D22:D23" si="3">"&lt;"&amp;LOWER(B22)&amp;"&gt;"&amp;IF(ISERROR(C22),"***ERROR***",IF(C22="","***BLANK***",C22))&amp;"&lt;/"&amp;LOWER(B22)&amp;"&gt;"</f>
        <v>&lt;type&gt;IO Block&lt;/type&gt;</v>
      </c>
    </row>
    <row r="23" spans="2:14" x14ac:dyDescent="0.35">
      <c r="B23" s="84" t="s">
        <v>270</v>
      </c>
      <c r="C23" s="85" t="str">
        <f>Header_LB_Unique_ID</f>
        <v>SxxAAyBKz</v>
      </c>
      <c r="D23" s="85" t="str">
        <f t="shared" si="3"/>
        <v>&lt;name&gt;SxxAAyBKz&lt;/name&gt;</v>
      </c>
    </row>
    <row r="24" spans="2:14" x14ac:dyDescent="0.35">
      <c r="B24" s="84" t="s">
        <v>295</v>
      </c>
      <c r="C24" s="85" t="str">
        <f>IF(LEFT(Header_Config01,3)="OPC","_"&amp;Header_Config01&amp;"_","")&amp;"ENET_STAT_"&amp;LEFT(Header_Config02,FIND(":",Header_Config02)-1)&amp;"SYS_ID["&amp;MID(Header_Config02,FIND(":",Header_Config02)+1,3)&amp;"]"</f>
        <v>ENET_STAT_4thSYS_ID[126]</v>
      </c>
      <c r="D24" s="85" t="str">
        <f t="shared" ref="D24:D25" si="4">"&lt;"&amp;LOWER(B24)&amp;"&gt;"&amp;IF(ISERROR(C24),"***ERROR***",IF(C24="","***BLANK***",C24))&amp;"&lt;/"&amp;LOWER(B24)&amp;"&gt;"</f>
        <v>&lt;enet_node&gt;ENET_STAT_4thSYS_ID[126]&lt;/enet_node&gt;</v>
      </c>
    </row>
    <row r="25" spans="2:14" x14ac:dyDescent="0.35">
      <c r="B25" s="84" t="s">
        <v>296</v>
      </c>
      <c r="C25" s="85" t="str">
        <f>Header_Config03</f>
        <v>SxxESWy:17</v>
      </c>
      <c r="D25" s="85" t="str">
        <f t="shared" si="4"/>
        <v>&lt;enet_port&gt;SxxESWy:17&lt;/enet_port&gt;</v>
      </c>
    </row>
    <row r="26" spans="2:14" x14ac:dyDescent="0.35">
      <c r="B26" s="84" t="s">
        <v>293</v>
      </c>
      <c r="C26" s="85" t="b">
        <f>$E$3="X"</f>
        <v>0</v>
      </c>
      <c r="D26" s="85" t="str">
        <f t="shared" ref="D26:D27" si="5">"&lt;"&amp;LOWER(B26)&amp;"&gt;"&amp;IF(ISERROR(C26),"***ERROR***",IF(C26="","***BLANK***",C26))&amp;"&lt;/"&amp;LOWER(B26)&amp;"&gt;"</f>
        <v>&lt;module_generic&gt;FALSE&lt;/module_generic&gt;</v>
      </c>
    </row>
    <row r="27" spans="2:14" x14ac:dyDescent="0.35">
      <c r="B27" s="84" t="s">
        <v>294</v>
      </c>
      <c r="C27" s="85" t="b">
        <f>$G$3="X"</f>
        <v>1</v>
      </c>
      <c r="D27" s="85" t="str">
        <f t="shared" si="5"/>
        <v>&lt;module_eds&gt;TRUE&lt;/module_eds&gt;</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27"/>
  <sheetViews>
    <sheetView topLeftCell="B1" zoomScale="85" zoomScaleNormal="85" workbookViewId="0">
      <selection activeCell="BD19" sqref="BD19"/>
    </sheetView>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6" width="38.453125" customWidth="1" outlineLevel="1"/>
    <col min="57"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77.7265625" bestFit="1"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85</v>
      </c>
    </row>
    <row r="3" spans="2:96" x14ac:dyDescent="0.35">
      <c r="CO3" t="s">
        <v>89</v>
      </c>
    </row>
    <row r="4" spans="2:96" x14ac:dyDescent="0.35">
      <c r="B4" t="s">
        <v>173</v>
      </c>
      <c r="D4" t="s">
        <v>185</v>
      </c>
      <c r="E4" t="s">
        <v>176</v>
      </c>
      <c r="CO4" s="39" t="s">
        <v>88</v>
      </c>
    </row>
    <row r="5" spans="2:96" x14ac:dyDescent="0.35">
      <c r="B5" t="s">
        <v>168</v>
      </c>
      <c r="D5" t="s">
        <v>171</v>
      </c>
      <c r="E5" t="s">
        <v>170</v>
      </c>
      <c r="CO5" s="39" t="s">
        <v>87</v>
      </c>
    </row>
    <row r="6" spans="2:96" x14ac:dyDescent="0.35">
      <c r="B6" t="s">
        <v>165</v>
      </c>
      <c r="D6" t="s">
        <v>167</v>
      </c>
      <c r="E6" t="s">
        <v>169</v>
      </c>
      <c r="CO6" t="s">
        <v>86</v>
      </c>
    </row>
    <row r="7" spans="2:96" x14ac:dyDescent="0.35">
      <c r="B7" t="s">
        <v>166</v>
      </c>
      <c r="D7" t="s">
        <v>172</v>
      </c>
      <c r="E7" t="s">
        <v>177</v>
      </c>
    </row>
    <row r="8" spans="2:96" x14ac:dyDescent="0.35">
      <c r="B8" t="s">
        <v>218</v>
      </c>
      <c r="D8" t="s">
        <v>174</v>
      </c>
      <c r="E8" t="s">
        <v>175</v>
      </c>
      <c r="BD8" t="str">
        <f>"LBS_"&amp;IF(ISNUMBER(SEARCH(".O.",Header_Config04)),Prep!$D$9&amp;"_OUT_"&amp;Prep!$G$9&amp;"_"&amp;Prep!$H$9&amp;"_OutputPwr",SUBSTITUTE(Prep!$C$8,":","_")&amp;"_MP")</f>
        <v>LBS_Sxx_SIOy_OUT_aa_bb_OutputPwr</v>
      </c>
      <c r="CB8" s="9" t="s">
        <v>90</v>
      </c>
      <c r="CO8" s="9" t="s">
        <v>90</v>
      </c>
    </row>
    <row r="9" spans="2:96" x14ac:dyDescent="0.35">
      <c r="B9" t="s">
        <v>219</v>
      </c>
      <c r="D9" t="s">
        <v>220</v>
      </c>
      <c r="E9" t="s">
        <v>221</v>
      </c>
    </row>
    <row r="10" spans="2:96" x14ac:dyDescent="0.35">
      <c r="CB10" t="s">
        <v>104</v>
      </c>
      <c r="CO10" t="s">
        <v>77</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105</v>
      </c>
      <c r="CE11" t="s">
        <v>83</v>
      </c>
      <c r="CO11" t="s">
        <v>78</v>
      </c>
      <c r="CR11" t="s">
        <v>83</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81</v>
      </c>
      <c r="AY12">
        <f>COLUMN()</f>
        <v>51</v>
      </c>
      <c r="BB12" s="47" t="s">
        <v>84</v>
      </c>
      <c r="BY12" s="47" t="s">
        <v>79</v>
      </c>
      <c r="CB12" t="s">
        <v>71</v>
      </c>
      <c r="CE12" t="s">
        <v>66</v>
      </c>
      <c r="CH12" s="47" t="s">
        <v>80</v>
      </c>
      <c r="CO12" t="s">
        <v>71</v>
      </c>
      <c r="CR12" t="s">
        <v>66</v>
      </c>
    </row>
    <row r="13" spans="2:96" ht="101.5" x14ac:dyDescent="0.35">
      <c r="B13" s="61" t="s">
        <v>0</v>
      </c>
      <c r="C13" s="61" t="s">
        <v>1</v>
      </c>
      <c r="D13" s="61" t="s">
        <v>2</v>
      </c>
      <c r="E13" s="61" t="s">
        <v>3</v>
      </c>
      <c r="F13" s="61" t="s">
        <v>4</v>
      </c>
      <c r="G13" s="61" t="s">
        <v>5</v>
      </c>
      <c r="H13" s="61" t="s">
        <v>6</v>
      </c>
      <c r="I13" s="61" t="s">
        <v>7</v>
      </c>
      <c r="J13" s="61" t="s">
        <v>8</v>
      </c>
      <c r="K13" s="57" t="s">
        <v>133</v>
      </c>
      <c r="L13" s="57" t="s">
        <v>207</v>
      </c>
      <c r="M13" s="57" t="s">
        <v>206</v>
      </c>
      <c r="N13" s="57" t="s">
        <v>150</v>
      </c>
      <c r="O13" s="57" t="s">
        <v>209</v>
      </c>
      <c r="P13" s="57" t="s">
        <v>151</v>
      </c>
      <c r="Q13" s="57" t="s">
        <v>232</v>
      </c>
      <c r="R13" s="57" t="s">
        <v>233</v>
      </c>
      <c r="S13" s="57" t="s">
        <v>235</v>
      </c>
      <c r="T13" s="57" t="s">
        <v>237</v>
      </c>
      <c r="U13" s="57" t="s">
        <v>227</v>
      </c>
      <c r="V13" s="57" t="s">
        <v>228</v>
      </c>
      <c r="W13" s="57" t="s">
        <v>132</v>
      </c>
      <c r="X13" s="57" t="s">
        <v>132</v>
      </c>
      <c r="Y13" s="57" t="s">
        <v>132</v>
      </c>
      <c r="Z13" s="57" t="s">
        <v>225</v>
      </c>
      <c r="AA13" s="57" t="s">
        <v>217</v>
      </c>
      <c r="AB13" s="57" t="s">
        <v>180</v>
      </c>
      <c r="AC13" s="57" t="s">
        <v>164</v>
      </c>
      <c r="AD13" s="57" t="s">
        <v>161</v>
      </c>
      <c r="AE13" s="57" t="s">
        <v>197</v>
      </c>
      <c r="AF13" s="57" t="s">
        <v>188</v>
      </c>
      <c r="AG13" s="57" t="s">
        <v>198</v>
      </c>
      <c r="AH13" s="57" t="s">
        <v>199</v>
      </c>
      <c r="AI13" s="57" t="s">
        <v>200</v>
      </c>
      <c r="AJ13" s="57" t="s">
        <v>201</v>
      </c>
      <c r="AK13" s="57" t="s">
        <v>202</v>
      </c>
      <c r="AL13" s="57" t="s">
        <v>203</v>
      </c>
      <c r="AM13" s="57" t="s">
        <v>204</v>
      </c>
      <c r="AN13" s="57" t="s">
        <v>152</v>
      </c>
      <c r="AO13" s="57" t="s">
        <v>153</v>
      </c>
      <c r="AP13" s="57" t="s">
        <v>13</v>
      </c>
      <c r="AQ13" s="57" t="s">
        <v>154</v>
      </c>
      <c r="AR13" s="45" t="s">
        <v>19</v>
      </c>
      <c r="AT13" s="33" t="s">
        <v>63</v>
      </c>
      <c r="AU13" s="34" t="s">
        <v>67</v>
      </c>
      <c r="AV13" s="34" t="s">
        <v>82</v>
      </c>
      <c r="AW13" s="34" t="s">
        <v>70</v>
      </c>
      <c r="AX13" s="34" t="s">
        <v>68</v>
      </c>
      <c r="AY13" s="35" t="s">
        <v>69</v>
      </c>
      <c r="AZ13" s="62" t="s">
        <v>138</v>
      </c>
      <c r="BA13" s="62" t="s">
        <v>138</v>
      </c>
      <c r="BB13" s="25" t="s">
        <v>14</v>
      </c>
      <c r="BC13" s="26" t="s">
        <v>13</v>
      </c>
      <c r="BD13" s="27" t="s">
        <v>222</v>
      </c>
      <c r="BE13" s="27" t="s">
        <v>131</v>
      </c>
      <c r="BF13" s="27" t="s">
        <v>223</v>
      </c>
      <c r="BG13" s="27" t="s">
        <v>234</v>
      </c>
      <c r="BH13" s="27" t="s">
        <v>231</v>
      </c>
      <c r="BI13" s="27" t="s">
        <v>236</v>
      </c>
      <c r="BJ13" s="27" t="s">
        <v>226</v>
      </c>
      <c r="BK13" s="27" t="s">
        <v>230</v>
      </c>
      <c r="BL13" s="27" t="s">
        <v>229</v>
      </c>
      <c r="BM13" s="27" t="s">
        <v>132</v>
      </c>
      <c r="BN13" s="27" t="s">
        <v>132</v>
      </c>
      <c r="BO13" s="27" t="s">
        <v>132</v>
      </c>
      <c r="BP13" s="27" t="s">
        <v>224</v>
      </c>
      <c r="BQ13" s="27" t="s">
        <v>216</v>
      </c>
      <c r="BR13" s="27" t="s">
        <v>147</v>
      </c>
      <c r="BS13" s="27" t="s">
        <v>146</v>
      </c>
      <c r="BT13" s="27" t="s">
        <v>136</v>
      </c>
      <c r="BU13" s="27" t="s">
        <v>214</v>
      </c>
      <c r="BV13" s="46" t="s">
        <v>128</v>
      </c>
      <c r="BW13" s="62" t="s">
        <v>138</v>
      </c>
      <c r="BX13" s="62" t="s">
        <v>138</v>
      </c>
      <c r="BY13" s="43" t="s">
        <v>93</v>
      </c>
      <c r="BZ13" s="28" t="s">
        <v>94</v>
      </c>
      <c r="CA13" s="28" t="s">
        <v>95</v>
      </c>
      <c r="CB13" s="43" t="s">
        <v>102</v>
      </c>
      <c r="CC13" s="28" t="s">
        <v>103</v>
      </c>
      <c r="CD13" s="28" t="s">
        <v>10</v>
      </c>
      <c r="CE13" s="31" t="s">
        <v>11</v>
      </c>
      <c r="CF13" s="62" t="s">
        <v>138</v>
      </c>
      <c r="CG13" s="62" t="s">
        <v>138</v>
      </c>
      <c r="CH13" s="41" t="s">
        <v>91</v>
      </c>
      <c r="CI13" s="29" t="s">
        <v>92</v>
      </c>
      <c r="CJ13" s="29" t="s">
        <v>73</v>
      </c>
      <c r="CK13" s="29" t="s">
        <v>74</v>
      </c>
      <c r="CL13" s="29" t="s">
        <v>123</v>
      </c>
      <c r="CM13" s="29" t="s">
        <v>75</v>
      </c>
      <c r="CN13" s="32" t="s">
        <v>76</v>
      </c>
      <c r="CO13" s="37" t="s">
        <v>9</v>
      </c>
      <c r="CP13" s="37" t="s">
        <v>10</v>
      </c>
      <c r="CQ13" s="37"/>
      <c r="CR13" s="38" t="s">
        <v>11</v>
      </c>
    </row>
    <row r="14" spans="2:96" x14ac:dyDescent="0.35">
      <c r="B14" s="4" t="str">
        <f t="shared" ref="B14" si="0">IF(LEN(BT14)=0,Header_LB_Name,"&lt;BLANK&gt;")</f>
        <v>IO_BLOCK_SxxAAyBKz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From_PSF_EnableCh1</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Sxx_SIOy:O.PtaaData</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&lt;Sxx_SIOy:O.PtaaData&gt; - SxxAAyBKz Drive Enable Ch1</v>
      </c>
      <c r="I14" s="4" t="str">
        <f>IF(OR(BC14="PLC",BC14="PSF"),BD14,IF(AND(BC14="CUSTOM",BF14&lt;&gt;""),BF14,""))</f>
        <v>AB_RACKx_SLOTa</v>
      </c>
      <c r="J14" s="4"/>
      <c r="K14" s="56" t="str">
        <f>AT14</f>
        <v>BOOL</v>
      </c>
      <c r="L14" s="56" t="str">
        <f t="shared" ref="L14:L20" si="4">Header_Resource_Compound</f>
        <v>TOOLING\SxxAAy</v>
      </c>
      <c r="M14" s="56" t="str">
        <f t="shared" ref="M14:M20" si="5">Header_Sysroot_Folder</f>
        <v>STELLANTIS\Common\ToolPrototype\Devices</v>
      </c>
      <c r="N14" s="56" t="str">
        <f t="shared" ref="N14:N20" si="6">Header_COJT_Full_Name</f>
        <v>STELLANTIS_EIP_AB1732_IO_BLOCK_ENET_8IN_8OUT.v00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Sxx_SIOy:</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20" si="9">IF(Header_COJT_Type_Definition="","ToolPrototype",Header_COJT_Type_Definition)</f>
        <v>ToolPrototype</v>
      </c>
      <c r="AC14" s="56" t="str">
        <f>IF(ISBLANK(BT14),"","Optional")</f>
        <v>Optional</v>
      </c>
      <c r="AD14" s="56" t="str">
        <f t="shared" ref="AD14:AD20" si="10">IF(Export_VC_Forms="","",Export_VC_Forms)</f>
        <v/>
      </c>
      <c r="AE14" s="56" t="str">
        <f t="shared" ref="AE14:AE20" si="11">IF(Export_Setup_Tracker="","",Export_Setup_Tracker)</f>
        <v/>
      </c>
      <c r="AF14" s="56" t="str">
        <f t="shared" ref="AF14:AF20" si="12">IF(Export_Validation_Tracker="","",Export_Validation_Tracker)</f>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4" s="56" t="str">
        <f t="shared" ref="AG14:AG20" si="13">IF(Export_Spare_04="","",Export_Spare_04)</f>
        <v/>
      </c>
      <c r="AH14" s="56" t="str">
        <f t="shared" ref="AH14:AH20" si="14">IF(Export_Spare_05="","",Export_Spare_05)</f>
        <v/>
      </c>
      <c r="AI14" s="56" t="str">
        <f t="shared" ref="AI14:AI20" si="15">IF(Export_Spare_06="","",Export_Spare_06)</f>
        <v/>
      </c>
      <c r="AJ14" s="56" t="str">
        <f t="shared" ref="AJ14:AJ20" si="16">IF(Export_Spare_07="","",Export_Spare_07)</f>
        <v/>
      </c>
      <c r="AK14" s="56" t="str">
        <f t="shared" ref="AK14:AK20" si="17">IF(Export_Spare_08="","",Export_Spare_08)</f>
        <v/>
      </c>
      <c r="AL14" s="56" t="str">
        <f t="shared" ref="AL14:AL20" si="18">IF(Export_Spare_09="","",Export_Spare_09)</f>
        <v/>
      </c>
      <c r="AM14" s="56" t="str">
        <f t="shared" ref="AM14:AM20" si="19">IF(Export_Spare_10="","",Export_Spare_10)</f>
        <v/>
      </c>
      <c r="AN14" s="56" t="str">
        <f>IF(BR14&lt;&gt;"",BR14,"")</f>
        <v/>
      </c>
      <c r="AO14" s="56" t="str">
        <f>IF(BS14&lt;&gt;"",BS14,"")</f>
        <v>TEST_NOPLC:SAFETY=1|TOOLING_NOPLC:SAFETY=1|TOOLING:Safe Block\CYLINDERS\</v>
      </c>
      <c r="AP14" s="56" t="str">
        <f>IF(BC14&lt;&gt;"CUSTOM",BC14,BU14)</f>
        <v>PSF</v>
      </c>
      <c r="AQ14" s="56" t="str">
        <f>BB14</f>
        <v>ENTRY</v>
      </c>
      <c r="AR14" s="39" t="s">
        <v>127</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Sxx_SIOy:O.PtaaData</v>
      </c>
      <c r="AY14" s="36" t="str">
        <f t="shared" ref="AY14" si="25">IF(OR(BC14="PLC",BC14="PSF"),IF(CM14&lt;&gt;"",CM14 &amp; ": &lt;" &amp; CN14&amp;CO14 &amp; "&gt; - ","Controller: &lt;"&amp;CJ14&amp;CK14&amp;"&gt; - "),"")</f>
        <v xml:space="preserve">Controller: &lt;Sxx_SIOy:O.PtaaData&gt; - </v>
      </c>
      <c r="BB14" s="42" t="s">
        <v>15</v>
      </c>
      <c r="BC14" t="s">
        <v>20</v>
      </c>
      <c r="BD14" t="str">
        <f>Header_Config01</f>
        <v>AB_RACKx_SLOTa</v>
      </c>
      <c r="BI14" t="str">
        <f>Prep!$D$9&amp;":"</f>
        <v>Sxx_SIOy:</v>
      </c>
      <c r="BS14" t="str">
        <f>"TEST_NOPLC:SAFETY=1|TOOLING_NOPLC:SAFETY=1"&amp;"|TOOLING:"&amp;Prep!$B$9&amp;"\CYLINDERS\"</f>
        <v>TEST_NOPLC:SAFETY=1|TOOLING_NOPLC:SAFETY=1|TOOLING:Safe Block\CYLINDERS\</v>
      </c>
      <c r="BT14" t="str">
        <f>IF(ISNUMBER(SEARCH(".O.",Header_Config04)),"","X")</f>
        <v/>
      </c>
      <c r="BV14" s="30" t="s">
        <v>300</v>
      </c>
      <c r="BY14" s="42"/>
      <c r="CB14" s="42"/>
      <c r="CE14" s="30"/>
      <c r="CH14" s="42"/>
      <c r="CJ14" t="str">
        <f>Prep!$D$9&amp;":O."</f>
        <v>Sxx_SIOy:O.</v>
      </c>
      <c r="CK14" t="str">
        <f>"Pt"&amp;TEXT(Prep!$G$9,"00")&amp;"Data"</f>
        <v>PtaaData</v>
      </c>
      <c r="CN14" s="30"/>
      <c r="CP14" t="s">
        <v>12</v>
      </c>
      <c r="CQ14" s="40"/>
      <c r="CR14" s="30" t="str">
        <f>Header_LB_Unique_ID&amp;" Drive Enable Ch1"</f>
        <v>SxxAAyBKz Drive Enable Ch1</v>
      </c>
    </row>
    <row r="15" spans="2:96" x14ac:dyDescent="0.35">
      <c r="B15" s="4" t="str">
        <f t="shared" ref="B15:B18" si="26">IF(LEN(BT15)=0,Header_LB_Name,"&lt;BLANK&gt;")</f>
        <v>IO_BLOCK_SxxAAyBKz</v>
      </c>
      <c r="C15" s="4"/>
      <c r="D15" s="4" t="str">
        <f t="shared" ref="D15:D18" si="27">IF(BC15="CUSTOM",BV15,IF(BB15="ENTRY","From_",IF(BB15="EXIT","To_","&lt;invalid&gt;"))&amp;IF(OR(BC15="RBT",BC15="KEY",BC15="SNS"),IF(BE15="",BC15,BC15&amp;"_"&amp;BE15),IF(BC15="OPR",IF(BE15="",BC15&amp;"_"&amp;BD15,BC15&amp;"_"&amp;BE15),IF(BC15="LBS",IF(BE15="",BD15,BE15),BC15)))&amp;"_"&amp;IF(BC15="OPR",IF(BB15="ENTRY","end",IF(BB15="EXIT","start","&lt;invalid&gt;")),BV15))</f>
        <v>From_PSF_EnableCh2</v>
      </c>
      <c r="E15" s="4" t="str">
        <f t="shared" ref="E15:E18"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Sxx_SIOy:O.PtbbData</v>
      </c>
      <c r="F15" s="4" t="str">
        <f t="shared" ref="F15:F18" si="29">IF(BC15="CUSTOM",BE15,IF(OR(AND(BB15="ENTRY",OR(BC15="PLC",BC15="PSF")),AND(BB15="EXIT",OR(BC15="RBT",BC15="OPR"))),"Q","I"))</f>
        <v>Q</v>
      </c>
      <c r="G15" s="4" t="str">
        <f t="shared" ref="G15:G18" si="30">IF(Header_PLC_Type="S7-ADD",IF(OR(BC15="PSF",BC15="PLC"),IF(BY15&lt;&gt;"",IF(AT15="BOOL",BY15&amp;"."&amp;BZ15,BY15),"&lt;missing&gt;"),""),"")</f>
        <v/>
      </c>
      <c r="H15" s="4" t="str">
        <f t="shared" ref="H15:H18" si="31">IF(OR(BC15="PLC",BC15="PSF"),IF(Header_PLC_Type="CLX",AY15&amp;CR15,IF(LEFT(Header_PLC_Type,2)="S7",AW15&amp;CE15,"&lt;invalid PLC type&gt;")),IF(Header_PLC_Type="CLX",IF(CR15&lt;&gt;"",CR15,""),IF(LEFT(Header_PLC_Type,2)="S7",IF(CE15&lt;&gt;"",CE15,""),"&lt;invalid PLC type&gt;")))</f>
        <v>Controller: &lt;Sxx_SIOy:O.PtbbData&gt; - SxxAAyBKz Drive Enable Ch2</v>
      </c>
      <c r="I15" s="4" t="str">
        <f t="shared" ref="I15:I18" si="32">IF(OR(BC15="PLC",BC15="PSF"),BD15,IF(AND(BC15="CUSTOM",BF15&lt;&gt;""),BF15,""))</f>
        <v>AB_RACKx_SLOTa</v>
      </c>
      <c r="J15" s="4"/>
      <c r="K15" s="56" t="str">
        <f t="shared" ref="K15:K18" si="33">AT15</f>
        <v>BOOL</v>
      </c>
      <c r="L15" s="56" t="str">
        <f t="shared" si="4"/>
        <v>TOOLING\SxxAAy</v>
      </c>
      <c r="M15" s="56" t="str">
        <f t="shared" si="5"/>
        <v>STELLANTIS\Common\ToolPrototype\Devices</v>
      </c>
      <c r="N15" s="56" t="str">
        <f t="shared" si="6"/>
        <v>STELLANTIS_EIP_AB1732_IO_BLOCK_ENET_8IN_8OUT.v00</v>
      </c>
      <c r="O15" s="56" t="str">
        <f t="shared" ref="O15:O18" si="34">IF(AND(OR(BC15="SNS",BC15="OPR",BC15="RBT"),BF15&lt;&gt;""),BF15,IF(OR(BC15="PSF",BC15="PLC"),IF(BB15="ENTRY",IF(OR(ISLOGICAL(BF15),ISNUMBER(BF15)),LOWER(TEXT(BF15,"General")),IF((ISTEXT(BF15)),"CEE_To_VC_"&amp;BE15&amp;"_"&amp;BF15,"")),IF((ISTEXT(BF15)),"CEE_From_VC_"&amp;BE15&amp;"_"&amp;BF15,"")),IF(BC15="CUSTOM",IF(BH15&lt;&gt;"",BH15,""),"")))</f>
        <v/>
      </c>
      <c r="P15" s="56" t="str">
        <f t="shared" ref="P15:P18" si="35">IF(OR(BC15="SNS",BC15="OPR"),IF(BG15&lt;&gt;"",BG15,""),IF(BC15="RBT",BD15,IF(BC15="CUSTOM",IF(BG15&lt;&gt;"",BG15,""),"")))</f>
        <v/>
      </c>
      <c r="Q15" s="56" t="str">
        <f t="shared" ref="Q15:Q18" si="36">IF(BC15="OPR",IF(BV15&lt;&gt;"",BV15,"NONSIM"),IF(BC15="RBT",IF(BH15&lt;&gt;"",BH15,""),IF(BC15="SNS",IF(BH15&lt;&gt;"",BH15,L15),IF(OR(BC15="PLC",BC15="PSF"),IF(BG15&lt;&gt;"",BG15,""),""))))</f>
        <v/>
      </c>
      <c r="R15" s="56" t="str">
        <f t="shared" ref="R15:R18" si="37">IF(OR(BC15="PLC",BC15="PSF",BC15="OPR"),IF(BH15&lt;&gt;"",BH15,""),IF(BC15="RBT",IF(BI15&lt;&gt;"",BI15,""),IF(BC15="SNS",IF(BI15&lt;&gt;"",BI15,"PHOTOELECTRIC"),"")))</f>
        <v/>
      </c>
      <c r="S15" s="56" t="str">
        <f t="shared" ref="S15:S18" si="38">IF(OR(BC15="PLC",BC15="PSF",BC15="OPR",AND(BC15="CUSTOM",OR(BU15="PLC",BU15="PSF"))),IF(BI15&lt;&gt;"",BI15,""),IF(BC15="SNS",IF(BJ15&lt;&gt;"",BJ15,""),""))</f>
        <v>Sxx_SIOy:</v>
      </c>
      <c r="T15" s="56" t="str">
        <f t="shared" ref="T15:T18" si="39">IF(AND(Header_PLC_Type="CLX",BC15="PSF",BB15="EXIT"),CJ15&amp;CK15,IF(BC15="OPR",IF(BJ15&lt;&gt;"",BJ15,""),""))</f>
        <v/>
      </c>
      <c r="U15" s="56" t="str">
        <f t="shared" ref="U15:U18" si="40">IF(OR(BC15="SNS",BC15="OPR"),IF(BK15&lt;&gt;"",BK15,""),"")</f>
        <v/>
      </c>
      <c r="V15" s="56" t="str">
        <f t="shared" ref="V15:V18" si="41">IF(OR(BC15="SNS",BC15="OPR"),IF(BL15&lt;&gt;"",BL15,""),"")</f>
        <v/>
      </c>
      <c r="W15" s="56"/>
      <c r="X15" s="56"/>
      <c r="Y15" s="56"/>
      <c r="Z15" s="56" t="str">
        <f t="shared" ref="Z15:Z18" si="42">IF(BP15="","",BP15)</f>
        <v/>
      </c>
      <c r="AA15" s="56" t="str">
        <f t="shared" ref="AA15:AA18" si="43">IF($BQ15="","",$BQ15)</f>
        <v/>
      </c>
      <c r="AB15" s="56" t="str">
        <f t="shared" si="9"/>
        <v>ToolPrototype</v>
      </c>
      <c r="AC15" s="56" t="str">
        <f t="shared" ref="AC15:AC18" si="44">IF(ISBLANK(BT15),"","Optional")</f>
        <v>Optional</v>
      </c>
      <c r="AD15" s="56" t="str">
        <f t="shared" si="10"/>
        <v/>
      </c>
      <c r="AE15" s="56" t="str">
        <f t="shared" si="11"/>
        <v/>
      </c>
      <c r="AF15"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18" si="45">IF(BR15&lt;&gt;"",BR15,"")</f>
        <v/>
      </c>
      <c r="AO15" s="56" t="str">
        <f t="shared" ref="AO15:AO18" si="46">IF(BS15&lt;&gt;"",BS15,"")</f>
        <v>TEST_NOPLC:SAFETY=1|TOOLING_NOPLC:SAFETY=1|TOOLING:Safe Block\CYLINDERS\</v>
      </c>
      <c r="AP15" s="56" t="str">
        <f t="shared" ref="AP15:AP18" si="47">IF(BC15&lt;&gt;"CUSTOM",BC15,BU15)</f>
        <v>PSF</v>
      </c>
      <c r="AQ15" s="56" t="str">
        <f t="shared" ref="AQ15:AQ18" si="48">BB15</f>
        <v>ENTRY</v>
      </c>
      <c r="AR15" s="39" t="s">
        <v>127</v>
      </c>
      <c r="AT15" s="44" t="str">
        <f t="shared" ref="AT15:AT18" si="49">IF(Header_PLC_Type="CLX",IF(CP15&lt;&gt;"",CP15,"&lt;noType&gt;"),IF(LEFT(Header_PLC_Type,2)="S7",IF(CD15&lt;&gt;"",CD15,"&lt;noType&gt;"),"&lt;noPLC&gt;"))</f>
        <v>BOOL</v>
      </c>
      <c r="AU15" s="23">
        <f t="shared" ref="AU15:AU18" si="50">IF(OR(BC15="PLC",BC15="PSF"),CA15,"")</f>
        <v>0</v>
      </c>
      <c r="AV15" s="23" t="str">
        <f t="shared" ref="AV15:AV18" si="51">IF(OR(BC15="PLC",BC15="PSF"),IF(AT15="BOOL",F15,IF(AT15="BYTE",F15&amp;"B",IF(OR(AT15="WORD",AT15="INT"),F15&amp;"W",IF(OR(AT15="DWORD",AT15="DINT",AT15="REAL"),F15&amp;"D","&lt;invalid&gt;")))),"")</f>
        <v>Q</v>
      </c>
      <c r="AW15" s="23" t="str">
        <f t="shared" ref="AW15:AW18" si="52">IF(OR(BC15="PLC",BC15="PSF"),""&amp;AV15&amp;IF(AT15="BOOL",BY15&amp;"."&amp;BZ15,BY15)&amp; IF(CA15&lt;&gt;"",": &lt;"&amp;CA15&amp;"&gt; - ",": "),"")</f>
        <v xml:space="preserve">Q.: </v>
      </c>
      <c r="AX15" s="23" t="str">
        <f t="shared" ref="AX15:AX18" si="53">IF(OR(BC15="PLC",BC15="PSF"),IF(AND(BB15="EXIT",BC15="PSF"),CH15&amp;SUBSTITUTE(CJ15,":","_")&amp;CK15,CJ15&amp;CK15),"")</f>
        <v>Sxx_SIOy:O.PtbbData</v>
      </c>
      <c r="AY15" s="36" t="str">
        <f t="shared" ref="AY15:AY18" si="54">IF(OR(BC15="PLC",BC15="PSF"),IF(CM15&lt;&gt;"",CM15 &amp; ": &lt;" &amp; CN15&amp;CO15 &amp; "&gt; - ","Controller: &lt;"&amp;CJ15&amp;CK15&amp;"&gt; - "),"")</f>
        <v xml:space="preserve">Controller: &lt;Sxx_SIOy:O.PtbbData&gt; - </v>
      </c>
      <c r="BB15" s="42" t="s">
        <v>15</v>
      </c>
      <c r="BC15" t="s">
        <v>20</v>
      </c>
      <c r="BD15" t="str">
        <f>Header_Config01</f>
        <v>AB_RACKx_SLOTa</v>
      </c>
      <c r="BI15" t="str">
        <f>Prep!$D$9&amp;":"</f>
        <v>Sxx_SIOy:</v>
      </c>
      <c r="BS15" t="str">
        <f>"TEST_NOPLC:SAFETY=1|TOOLING_NOPLC:SAFETY=1"&amp;"|TOOLING:"&amp;Prep!$B$9&amp;"\CYLINDERS\"</f>
        <v>TEST_NOPLC:SAFETY=1|TOOLING_NOPLC:SAFETY=1|TOOLING:Safe Block\CYLINDERS\</v>
      </c>
      <c r="BT15" t="str">
        <f>IF(ISNUMBER(SEARCH(".O.",Header_Config04)),"","X")</f>
        <v/>
      </c>
      <c r="BV15" s="30" t="s">
        <v>301</v>
      </c>
      <c r="BY15" s="42"/>
      <c r="CB15" s="42"/>
      <c r="CE15" s="30"/>
      <c r="CH15" s="42"/>
      <c r="CJ15" t="str">
        <f>Prep!$D$9&amp;":O."</f>
        <v>Sxx_SIOy:O.</v>
      </c>
      <c r="CK15" t="str">
        <f>"Pt"&amp;TEXT(Prep!$H$9,"00")&amp;"Data"</f>
        <v>PtbbData</v>
      </c>
      <c r="CN15" s="30"/>
      <c r="CP15" t="s">
        <v>12</v>
      </c>
      <c r="CQ15" s="40"/>
      <c r="CR15" s="30" t="str">
        <f>Header_LB_Unique_ID&amp;" Drive Enable Ch2"</f>
        <v>SxxAAyBKz Drive Enable Ch2</v>
      </c>
    </row>
    <row r="16" spans="2:96" x14ac:dyDescent="0.35">
      <c r="B16" s="4" t="str">
        <f t="shared" si="26"/>
        <v>IO_BLOCK_SxxAAyBKz</v>
      </c>
      <c r="C16" s="4"/>
      <c r="D16" s="4" t="str">
        <f t="shared" si="27"/>
        <v>From_SIM_SIO_OutputCommOk</v>
      </c>
      <c r="E16" s="4" t="str">
        <f t="shared" si="28"/>
        <v>LBS_Sxx_SIOy_CommOk</v>
      </c>
      <c r="F16" s="4" t="str">
        <f t="shared" si="29"/>
        <v>I</v>
      </c>
      <c r="G16" s="4" t="str">
        <f t="shared" si="30"/>
        <v/>
      </c>
      <c r="H16" s="4" t="str">
        <f t="shared" si="31"/>
        <v/>
      </c>
      <c r="I16" s="4" t="str">
        <f t="shared" si="32"/>
        <v/>
      </c>
      <c r="J16" s="4"/>
      <c r="K16" s="56" t="str">
        <f t="shared" si="33"/>
        <v>BOOL</v>
      </c>
      <c r="L16" s="56" t="str">
        <f t="shared" si="4"/>
        <v>TOOLING\SxxAAy</v>
      </c>
      <c r="M16" s="56" t="str">
        <f t="shared" si="5"/>
        <v>STELLANTIS\Common\ToolPrototype\Devices</v>
      </c>
      <c r="N16" s="56" t="str">
        <f t="shared" si="6"/>
        <v>STELLANTIS_EIP_AB1732_IO_BLOCK_ENET_8IN_8OUT.v00</v>
      </c>
      <c r="O16" s="56" t="str">
        <f t="shared" si="34"/>
        <v/>
      </c>
      <c r="P16" s="56" t="str">
        <f t="shared" si="35"/>
        <v/>
      </c>
      <c r="Q16" s="56" t="str">
        <f t="shared" si="36"/>
        <v/>
      </c>
      <c r="R16" s="56" t="str">
        <f t="shared" si="37"/>
        <v/>
      </c>
      <c r="S16" s="56" t="str">
        <f t="shared" si="38"/>
        <v/>
      </c>
      <c r="T16" s="56" t="str">
        <f t="shared" si="39"/>
        <v/>
      </c>
      <c r="U16" s="56" t="str">
        <f t="shared" si="40"/>
        <v/>
      </c>
      <c r="V16" s="56" t="str">
        <f t="shared" si="41"/>
        <v/>
      </c>
      <c r="W16" s="56"/>
      <c r="X16" s="56"/>
      <c r="Y16" s="56"/>
      <c r="Z16" s="56" t="str">
        <f t="shared" si="42"/>
        <v/>
      </c>
      <c r="AA16" s="56" t="str">
        <f t="shared" si="43"/>
        <v/>
      </c>
      <c r="AB16" s="56" t="str">
        <f t="shared" si="9"/>
        <v>ToolPrototype</v>
      </c>
      <c r="AC16" s="56" t="str">
        <f t="shared" si="44"/>
        <v>Optional</v>
      </c>
      <c r="AD16" s="56" t="str">
        <f t="shared" si="10"/>
        <v/>
      </c>
      <c r="AE16" s="56" t="str">
        <f t="shared" si="11"/>
        <v/>
      </c>
      <c r="AF16"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5"/>
        <v/>
      </c>
      <c r="AO16" s="56" t="str">
        <f t="shared" si="46"/>
        <v/>
      </c>
      <c r="AP16" s="56" t="str">
        <f t="shared" si="47"/>
        <v>LBS</v>
      </c>
      <c r="AQ16" s="56" t="str">
        <f t="shared" si="48"/>
        <v>ENTRY</v>
      </c>
      <c r="AR16" s="39" t="s">
        <v>127</v>
      </c>
      <c r="AT16" s="44" t="str">
        <f t="shared" si="49"/>
        <v>BOOL</v>
      </c>
      <c r="AU16" s="23" t="str">
        <f t="shared" si="50"/>
        <v/>
      </c>
      <c r="AV16" s="23" t="str">
        <f t="shared" si="51"/>
        <v/>
      </c>
      <c r="AW16" s="23" t="str">
        <f t="shared" si="52"/>
        <v/>
      </c>
      <c r="AX16" s="23" t="str">
        <f t="shared" si="53"/>
        <v/>
      </c>
      <c r="AY16" s="36" t="str">
        <f t="shared" si="54"/>
        <v/>
      </c>
      <c r="BB16" s="42" t="s">
        <v>15</v>
      </c>
      <c r="BC16" t="s">
        <v>61</v>
      </c>
      <c r="BD16" t="str">
        <f>"LBS_"&amp;Prep!$E$9&amp;"_CommOk"</f>
        <v>LBS_Sxx_SIOy_CommOk</v>
      </c>
      <c r="BE16" t="s">
        <v>62</v>
      </c>
      <c r="BT16" t="str">
        <f>IF(ISNUMBER(SEARCH(".O.",Header_Config04)),"","X")</f>
        <v/>
      </c>
      <c r="BU16" t="s">
        <v>99</v>
      </c>
      <c r="BV16" s="30" t="s">
        <v>299</v>
      </c>
      <c r="BY16" s="42"/>
      <c r="CB16" s="42"/>
      <c r="CE16" s="30"/>
      <c r="CH16" s="42"/>
      <c r="CN16" s="30"/>
      <c r="CP16" t="s">
        <v>12</v>
      </c>
      <c r="CQ16" s="40"/>
      <c r="CR16" s="30"/>
    </row>
    <row r="17" spans="2:96" x14ac:dyDescent="0.35">
      <c r="B17" s="4" t="str">
        <f t="shared" ref="B17" si="55">IF(LEN(BT17)=0,Header_LB_Name,"&lt;BLANK&gt;")</f>
        <v>IO_BLOCK_SxxAAyBKz</v>
      </c>
      <c r="C17" s="4"/>
      <c r="D17" s="4" t="str">
        <f t="shared" ref="D17" si="56">IF(BC17="CUSTOM",BV17,IF(BB17="ENTRY","From_",IF(BB17="EXIT","To_","&lt;invalid&gt;"))&amp;IF(OR(BC17="RBT",BC17="KEY",BC17="SNS"),IF(BE17="",BC17,BC17&amp;"_"&amp;BE17),IF(BC17="OPR",IF(BE17="",BC17&amp;"_"&amp;BD17,BC17&amp;"_"&amp;BE17),IF(BC17="LBS",IF(BE17="",BD17,BE17),BC17)))&amp;"_"&amp;IF(BC17="OPR",IF(BB17="ENTRY","end",IF(BB17="EXIT","start","&lt;invalid&gt;")),BV17))</f>
        <v>From_SIM_SafeIOUsed</v>
      </c>
      <c r="E17" s="4" t="str">
        <f t="shared" ref="E17" si="57">IF(OR(BC17="PLC",BC17="PSF"),IF(Header_PLC_Type="CLX",AX17,IF(LEFT(Header_PLC_Type,2)="S7",AU17,"&lt;invalid PLC type&gt;")),IF(BB17="ENTRY",IF(BC17="LBS",IF(BD17&lt;&gt;"",IF(BF17="",BC17&amp;"_"&amp;BD17&amp;"_To_"&amp;B17&amp;"_"&amp;BV17,BC17&amp;"_"&amp;BD17&amp;"_To_"&amp;BF17&amp;"_"&amp;BV17),"&lt;missing other LB/group name&gt;"),IF(OR(BC17="SNS",BC17="KEY"),IF(BD17&lt;&gt;"",BC17&amp;"_"&amp;BD17&amp;"_"&amp;BV17,"&lt;missing unique identifier&gt;"),IF(OR(BC17="RBT",BC17="OPR"),IF(BD17&lt;&gt;"",BD17&amp;"_"&amp;IF(BC17="OPR","end",IF(BG17&lt;&gt;"",BG17,BV17)),"&lt;missing unique identifier&gt;"),IF(BC17="CUSTOM",BD17,"&lt;invalid connection&gt;")))),IF(BB17="EXIT",IF(BC17="LBS",IF(BD17&lt;&gt;"",BC17&amp;"_"&amp;B17&amp;"_To_"&amp;BD17&amp;"_"&amp;BV17,"&lt;missing other LB/group name&gt;"),IF(OR(BC17="RBT",BC17="OPR"),IF(BD17&lt;&gt;"",BD17&amp;"_"&amp;IF(BC17="OPR","start",IF(BG17&lt;&gt;"",BG17,BV17)),"&lt;missing unique identifier&gt;"),IF(BC17="CUSTOM",BD17,"&lt;invalid connection (sensor or key signal can't be exit)&gt;"))),"&lt;invalid entry/exit&gt;")))</f>
        <v>LBS_ZZZ_BOOL_TRUE</v>
      </c>
      <c r="F17" s="4" t="str">
        <f t="shared" ref="F17" si="58">IF(BC17="CUSTOM",BE17,IF(OR(AND(BB17="ENTRY",OR(BC17="PLC",BC17="PSF")),AND(BB17="EXIT",OR(BC17="RBT",BC17="OPR"))),"Q","I"))</f>
        <v>I</v>
      </c>
      <c r="G17" s="4" t="str">
        <f t="shared" ref="G17" si="59">IF(Header_PLC_Type="S7-ADD",IF(OR(BC17="PSF",BC17="PLC"),IF(BY17&lt;&gt;"",IF(AT17="BOOL",BY17&amp;"."&amp;BZ17,BY17),"&lt;missing&gt;"),""),"")</f>
        <v/>
      </c>
      <c r="H17" s="4" t="str">
        <f t="shared" ref="H17" si="60">IF(OR(BC17="PLC",BC17="PSF"),IF(Header_PLC_Type="CLX",AY17&amp;CR17,IF(LEFT(Header_PLC_Type,2)="S7",AW17&amp;CE17,"&lt;invalid PLC type&gt;")),IF(Header_PLC_Type="CLX",IF(CR17&lt;&gt;"",CR17,""),IF(LEFT(Header_PLC_Type,2)="S7",IF(CE17&lt;&gt;"",CE17,""),"&lt;invalid PLC type&gt;")))</f>
        <v/>
      </c>
      <c r="I17" s="4" t="str">
        <f t="shared" ref="I17" si="61">IF(OR(BC17="PLC",BC17="PSF"),BD17,IF(AND(BC17="CUSTOM",BF17&lt;&gt;""),BF17,""))</f>
        <v/>
      </c>
      <c r="J17" s="4"/>
      <c r="K17" s="56" t="str">
        <f t="shared" ref="K17" si="62">AT17</f>
        <v>BOOL</v>
      </c>
      <c r="L17" s="56" t="str">
        <f t="shared" si="4"/>
        <v>TOOLING\SxxAAy</v>
      </c>
      <c r="M17" s="56" t="str">
        <f t="shared" si="5"/>
        <v>STELLANTIS\Common\ToolPrototype\Devices</v>
      </c>
      <c r="N17" s="56" t="str">
        <f t="shared" si="6"/>
        <v>STELLANTIS_EIP_AB1732_IO_BLOCK_ENET_8IN_8OUT.v00</v>
      </c>
      <c r="O17" s="56" t="str">
        <f t="shared" ref="O17" si="63">IF(AND(OR(BC17="SNS",BC17="OPR",BC17="RBT"),BF17&lt;&gt;""),BF17,IF(OR(BC17="PSF",BC17="PLC"),IF(BB17="ENTRY",IF(OR(ISLOGICAL(BF17),ISNUMBER(BF17)),LOWER(TEXT(BF17,"General")),IF((ISTEXT(BF17)),"CEE_To_VC_"&amp;BE17&amp;"_"&amp;BF17,"")),IF((ISTEXT(BF17)),"CEE_From_VC_"&amp;BE17&amp;"_"&amp;BF17,"")),IF(BC17="CUSTOM",IF(BH17&lt;&gt;"",BH17,""),"")))</f>
        <v/>
      </c>
      <c r="P17" s="56" t="str">
        <f t="shared" ref="P17" si="64">IF(OR(BC17="SNS",BC17="OPR"),IF(BG17&lt;&gt;"",BG17,""),IF(BC17="RBT",BD17,IF(BC17="CUSTOM",IF(BG17&lt;&gt;"",BG17,""),"")))</f>
        <v/>
      </c>
      <c r="Q17" s="56" t="str">
        <f t="shared" ref="Q17" si="65">IF(BC17="OPR",IF(BV17&lt;&gt;"",BV17,"NONSIM"),IF(BC17="RBT",IF(BH17&lt;&gt;"",BH17,""),IF(BC17="SNS",IF(BH17&lt;&gt;"",BH17,L17),IF(OR(BC17="PLC",BC17="PSF"),IF(BG17&lt;&gt;"",BG17,""),""))))</f>
        <v/>
      </c>
      <c r="R17" s="56" t="str">
        <f t="shared" ref="R17" si="66">IF(OR(BC17="PLC",BC17="PSF",BC17="OPR"),IF(BH17&lt;&gt;"",BH17,""),IF(BC17="RBT",IF(BI17&lt;&gt;"",BI17,""),IF(BC17="SNS",IF(BI17&lt;&gt;"",BI17,"PHOTOELECTRIC"),"")))</f>
        <v/>
      </c>
      <c r="S17" s="56" t="str">
        <f t="shared" ref="S17" si="67">IF(OR(BC17="PLC",BC17="PSF",BC17="OPR",AND(BC17="CUSTOM",OR(BU17="PLC",BU17="PSF"))),IF(BI17&lt;&gt;"",BI17,""),IF(BC17="SNS",IF(BJ17&lt;&gt;"",BJ17,""),""))</f>
        <v/>
      </c>
      <c r="T17" s="56" t="str">
        <f t="shared" ref="T17" si="68">IF(AND(Header_PLC_Type="CLX",BC17="PSF",BB17="EXIT"),CJ17&amp;CK17,IF(BC17="OPR",IF(BJ17&lt;&gt;"",BJ17,""),""))</f>
        <v/>
      </c>
      <c r="U17" s="56" t="str">
        <f t="shared" ref="U17" si="69">IF(OR(BC17="SNS",BC17="OPR"),IF(BK17&lt;&gt;"",BK17,""),"")</f>
        <v/>
      </c>
      <c r="V17" s="56" t="str">
        <f t="shared" ref="V17" si="70">IF(OR(BC17="SNS",BC17="OPR"),IF(BL17&lt;&gt;"",BL17,""),"")</f>
        <v/>
      </c>
      <c r="W17" s="56"/>
      <c r="X17" s="56"/>
      <c r="Y17" s="56"/>
      <c r="Z17" s="56" t="str">
        <f t="shared" ref="Z17" si="71">IF(BP17="","",BP17)</f>
        <v/>
      </c>
      <c r="AA17" s="56" t="str">
        <f t="shared" si="43"/>
        <v/>
      </c>
      <c r="AB17" s="56" t="str">
        <f t="shared" si="9"/>
        <v>ToolPrototype</v>
      </c>
      <c r="AC17" s="56" t="str">
        <f t="shared" ref="AC17" si="72">IF(ISBLANK(BT17),"","Optional")</f>
        <v>Optional</v>
      </c>
      <c r="AD17" s="56" t="str">
        <f t="shared" si="10"/>
        <v/>
      </c>
      <c r="AE17" s="56" t="str">
        <f t="shared" si="11"/>
        <v/>
      </c>
      <c r="AF17"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ref="AN17" si="73">IF(BR17&lt;&gt;"",BR17,"")</f>
        <v/>
      </c>
      <c r="AO17" s="56" t="str">
        <f t="shared" ref="AO17" si="74">IF(BS17&lt;&gt;"",BS17,"")</f>
        <v/>
      </c>
      <c r="AP17" s="56" t="str">
        <f t="shared" ref="AP17" si="75">IF(BC17&lt;&gt;"CUSTOM",BC17,BU17)</f>
        <v>LBS</v>
      </c>
      <c r="AQ17" s="56" t="str">
        <f t="shared" ref="AQ17" si="76">BB17</f>
        <v>ENTRY</v>
      </c>
      <c r="AR17" s="39" t="s">
        <v>127</v>
      </c>
      <c r="AT17" s="44" t="str">
        <f t="shared" ref="AT17" si="77">IF(Header_PLC_Type="CLX",IF(CP17&lt;&gt;"",CP17,"&lt;noType&gt;"),IF(LEFT(Header_PLC_Type,2)="S7",IF(CD17&lt;&gt;"",CD17,"&lt;noType&gt;"),"&lt;noPLC&gt;"))</f>
        <v>BOOL</v>
      </c>
      <c r="AU17" s="23" t="str">
        <f t="shared" ref="AU17" si="78">IF(OR(BC17="PLC",BC17="PSF"),CA17,"")</f>
        <v/>
      </c>
      <c r="AV17" s="23" t="str">
        <f t="shared" ref="AV17" si="79">IF(OR(BC17="PLC",BC17="PSF"),IF(AT17="BOOL",F17,IF(AT17="BYTE",F17&amp;"B",IF(OR(AT17="WORD",AT17="INT"),F17&amp;"W",IF(OR(AT17="DWORD",AT17="DINT",AT17="REAL"),F17&amp;"D","&lt;invalid&gt;")))),"")</f>
        <v/>
      </c>
      <c r="AW17" s="23" t="str">
        <f t="shared" ref="AW17" si="80">IF(OR(BC17="PLC",BC17="PSF"),""&amp;AV17&amp;IF(AT17="BOOL",BY17&amp;"."&amp;BZ17,BY17)&amp; IF(CA17&lt;&gt;"",": &lt;"&amp;CA17&amp;"&gt; - ",": "),"")</f>
        <v/>
      </c>
      <c r="AX17" s="23" t="str">
        <f t="shared" ref="AX17" si="81">IF(OR(BC17="PLC",BC17="PSF"),IF(AND(BB17="EXIT",BC17="PSF"),CH17&amp;SUBSTITUTE(CJ17,":","_")&amp;CK17,CJ17&amp;CK17),"")</f>
        <v/>
      </c>
      <c r="AY17" s="36" t="str">
        <f t="shared" ref="AY17" si="82">IF(OR(BC17="PLC",BC17="PSF"),IF(CM17&lt;&gt;"",CM17 &amp; ": &lt;" &amp; CN17&amp;CO17 &amp; "&gt; - ","Controller: &lt;"&amp;CJ17&amp;CK17&amp;"&gt; - "),"")</f>
        <v/>
      </c>
      <c r="BB17" s="42" t="s">
        <v>15</v>
      </c>
      <c r="BC17" t="s">
        <v>61</v>
      </c>
      <c r="BD17" t="s">
        <v>302</v>
      </c>
      <c r="BE17" t="s">
        <v>62</v>
      </c>
      <c r="BT17" t="str">
        <f>IF(ISNUMBER(SEARCH(".O.",Header_Config04)),"","X")</f>
        <v/>
      </c>
      <c r="BU17" t="s">
        <v>99</v>
      </c>
      <c r="BV17" s="30" t="s">
        <v>303</v>
      </c>
      <c r="BY17" s="42"/>
      <c r="CB17" s="42"/>
      <c r="CE17" s="30"/>
      <c r="CH17" s="42"/>
      <c r="CN17" s="30"/>
      <c r="CP17" t="s">
        <v>12</v>
      </c>
      <c r="CQ17" s="40"/>
      <c r="CR17" s="30"/>
    </row>
    <row r="18" spans="2:96" x14ac:dyDescent="0.35">
      <c r="B18" s="4" t="str">
        <f t="shared" si="26"/>
        <v>IO_BLOCK_SxxAAyBKz</v>
      </c>
      <c r="C18" s="4"/>
      <c r="D18" s="4" t="str">
        <f t="shared" si="27"/>
        <v>From_KEY_UnplugEnet</v>
      </c>
      <c r="E18" s="4" t="str">
        <f t="shared" si="28"/>
        <v>KEY_IO_BLOCK_SxxAAyBKz_UnplugEnet</v>
      </c>
      <c r="F18" s="4" t="str">
        <f t="shared" si="29"/>
        <v>I</v>
      </c>
      <c r="G18" s="4" t="str">
        <f t="shared" si="30"/>
        <v/>
      </c>
      <c r="H18" s="4" t="str">
        <f t="shared" si="31"/>
        <v/>
      </c>
      <c r="I18" s="4" t="str">
        <f t="shared" si="32"/>
        <v/>
      </c>
      <c r="J18" s="4"/>
      <c r="K18" s="56" t="str">
        <f t="shared" si="33"/>
        <v>BOOL</v>
      </c>
      <c r="L18" s="56" t="str">
        <f t="shared" si="4"/>
        <v>TOOLING\SxxAAy</v>
      </c>
      <c r="M18" s="56" t="str">
        <f t="shared" si="5"/>
        <v>STELLANTIS\Common\ToolPrototype\Devices</v>
      </c>
      <c r="N18" s="56" t="str">
        <f t="shared" si="6"/>
        <v>STELLANTIS_EIP_AB1732_IO_BLOCK_ENET_8IN_8OUT.v00</v>
      </c>
      <c r="O18" s="56" t="str">
        <f t="shared" si="34"/>
        <v/>
      </c>
      <c r="P18" s="56" t="str">
        <f t="shared" si="35"/>
        <v/>
      </c>
      <c r="Q18" s="56" t="str">
        <f t="shared" si="36"/>
        <v/>
      </c>
      <c r="R18" s="56" t="str">
        <f t="shared" si="37"/>
        <v/>
      </c>
      <c r="S18" s="56" t="str">
        <f t="shared" si="38"/>
        <v/>
      </c>
      <c r="T18" s="56" t="str">
        <f t="shared" si="39"/>
        <v/>
      </c>
      <c r="U18" s="56" t="str">
        <f t="shared" si="40"/>
        <v/>
      </c>
      <c r="V18" s="56" t="str">
        <f t="shared" si="41"/>
        <v/>
      </c>
      <c r="W18" s="56"/>
      <c r="X18" s="56"/>
      <c r="Y18" s="56"/>
      <c r="Z18" s="56" t="str">
        <f t="shared" si="42"/>
        <v/>
      </c>
      <c r="AA18" s="56" t="str">
        <f t="shared" si="43"/>
        <v/>
      </c>
      <c r="AB18" s="56" t="str">
        <f t="shared" si="9"/>
        <v>ToolPrototype</v>
      </c>
      <c r="AC18" s="56" t="str">
        <f t="shared" si="44"/>
        <v/>
      </c>
      <c r="AD18" s="56" t="str">
        <f t="shared" si="10"/>
        <v/>
      </c>
      <c r="AE18" s="56" t="str">
        <f t="shared" si="11"/>
        <v/>
      </c>
      <c r="AF18"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5"/>
        <v/>
      </c>
      <c r="AO18" s="56" t="str">
        <f t="shared" si="46"/>
        <v>KEYS_LIGHTS_HORNS:DEVICES\IO_BLOCK\SxxAAyBKz</v>
      </c>
      <c r="AP18" s="56" t="str">
        <f t="shared" si="47"/>
        <v>KEY</v>
      </c>
      <c r="AQ18" s="56" t="str">
        <f t="shared" si="48"/>
        <v>ENTRY</v>
      </c>
      <c r="AR18" s="39" t="s">
        <v>127</v>
      </c>
      <c r="AT18" s="44" t="str">
        <f t="shared" si="49"/>
        <v>BOOL</v>
      </c>
      <c r="AU18" s="23" t="str">
        <f t="shared" si="50"/>
        <v/>
      </c>
      <c r="AV18" s="23" t="str">
        <f t="shared" si="51"/>
        <v/>
      </c>
      <c r="AW18" s="23" t="str">
        <f t="shared" si="52"/>
        <v/>
      </c>
      <c r="AX18" s="23" t="str">
        <f t="shared" si="53"/>
        <v/>
      </c>
      <c r="AY18" s="36" t="str">
        <f t="shared" si="54"/>
        <v/>
      </c>
      <c r="BB18" s="42" t="s">
        <v>15</v>
      </c>
      <c r="BC18" t="s">
        <v>97</v>
      </c>
      <c r="BD18" t="str">
        <f>Header_LB_Name</f>
        <v>IO_BLOCK_SxxAAyBKz</v>
      </c>
      <c r="BS18" t="str">
        <f>"KEYS_LIGHTS_HORNS:DEVICES\"&amp;Header_LB_Type&amp;"\"&amp;SUBSTITUTE(Header_LB_Unique_ID,":","")</f>
        <v>KEYS_LIGHTS_HORNS:DEVICES\IO_BLOCK\SxxAAyBKz</v>
      </c>
      <c r="BV18" s="30" t="s">
        <v>254</v>
      </c>
      <c r="BY18" s="42"/>
      <c r="CB18" s="42"/>
      <c r="CE18" s="30"/>
      <c r="CH18" s="42"/>
      <c r="CN18" s="30"/>
      <c r="CP18" t="s">
        <v>12</v>
      </c>
      <c r="CQ18" s="40"/>
      <c r="CR18" s="30"/>
    </row>
    <row r="19" spans="2:96" x14ac:dyDescent="0.35">
      <c r="B19" s="4" t="str">
        <f t="shared" ref="B19" si="83">IF(LEN(BT19)=0,Header_LB_Name,"&lt;BLANK&gt;")</f>
        <v>IO_BLOCK_SxxAAyBKz</v>
      </c>
      <c r="C19" s="4"/>
      <c r="D19" s="4" t="str">
        <f t="shared" ref="D19" si="84">IF(BC19="CUSTOM",BV19,IF(BB19="ENTRY","From_",IF(BB19="EXIT","To_","&lt;invalid&gt;"))&amp;IF(OR(BC19="RBT",BC19="KEY",BC19="SNS"),IF(BE19="",BC19,BC19&amp;"_"&amp;BE19),IF(BC19="OPR",IF(BE19="",BC19&amp;"_"&amp;BD19,BC19&amp;"_"&amp;BE19),IF(BC19="LBS",IF(BE19="",BD19,BE19),BC19)))&amp;"_"&amp;IF(BC19="OPR",IF(BB19="ENTRY","end",IF(BB19="EXIT","start","&lt;invalid&gt;")),BV19))</f>
        <v>From_SIM_InputPwrOk</v>
      </c>
      <c r="E19" s="4" t="str">
        <f t="shared" ref="E19" si="85">IF(OR(BC19="PLC",BC19="PSF"),IF(Header_PLC_Type="CLX",AX19,IF(LEFT(Header_PLC_Type,2)="S7",AU19,"&lt;invalid PLC type&gt;")),IF(BB19="ENTRY",IF(BC19="LBS",IF(BD19&lt;&gt;"",IF(BF19="",BC19&amp;"_"&amp;BD19&amp;"_To_"&amp;B19&amp;"_"&amp;BV19,BC19&amp;"_"&amp;BD19&amp;"_To_"&amp;BF19&amp;"_"&amp;BV19),"&lt;missing other LB/group name&gt;"),IF(OR(BC19="SNS",BC19="KEY"),IF(BD19&lt;&gt;"",BC19&amp;"_"&amp;BD19&amp;"_"&amp;BV19,"&lt;missing unique identifier&gt;"),IF(OR(BC19="RBT",BC19="OPR"),IF(BD19&lt;&gt;"",BD19&amp;"_"&amp;IF(BC19="OPR","end",IF(BG19&lt;&gt;"",BG19,BV19)),"&lt;missing unique identifier&gt;"),IF(BC19="CUSTOM",BD19,"&lt;invalid connection&gt;")))),IF(BB19="EXIT",IF(BC19="LBS",IF(BD19&lt;&gt;"",BC19&amp;"_"&amp;B19&amp;"_To_"&amp;BD19&amp;"_"&amp;BV19,"&lt;missing other LB/group name&gt;"),IF(OR(BC19="RBT",BC19="OPR"),IF(BD19&lt;&gt;"",BD19&amp;"_"&amp;IF(BC19="OPR","start",IF(BG19&lt;&gt;"",BG19,BV19)),"&lt;missing unique identifier&gt;"),IF(BC19="CUSTOM",BD19,"&lt;invalid connection (sensor or key signal can't be exit)&gt;"))),"&lt;invalid entry/exit&gt;")))</f>
        <v>LBS_Sxx_SIOy_OUT_aa_bb_OutputPwr</v>
      </c>
      <c r="F19" s="4" t="str">
        <f t="shared" ref="F19" si="86">IF(BC19="CUSTOM",BE19,IF(OR(AND(BB19="ENTRY",OR(BC19="PLC",BC19="PSF")),AND(BB19="EXIT",OR(BC19="RBT",BC19="OPR"))),"Q","I"))</f>
        <v>I</v>
      </c>
      <c r="G19" s="4" t="str">
        <f t="shared" ref="G19" si="87">IF(Header_PLC_Type="S7-ADD",IF(OR(BC19="PSF",BC19="PLC"),IF(BY19&lt;&gt;"",IF(AT19="BOOL",BY19&amp;"."&amp;BZ19,BY19),"&lt;missing&gt;"),""),"")</f>
        <v/>
      </c>
      <c r="H19" s="4" t="str">
        <f t="shared" ref="H19" si="88">IF(OR(BC19="PLC",BC19="PSF"),IF(Header_PLC_Type="CLX",AY19&amp;CR19,IF(LEFT(Header_PLC_Type,2)="S7",AW19&amp;CE19,"&lt;invalid PLC type&gt;")),IF(Header_PLC_Type="CLX",IF(CR19&lt;&gt;"",CR19,""),IF(LEFT(Header_PLC_Type,2)="S7",IF(CE19&lt;&gt;"",CE19,""),"&lt;invalid PLC type&gt;")))</f>
        <v/>
      </c>
      <c r="I19" s="4" t="str">
        <f t="shared" ref="I19" si="89">IF(OR(BC19="PLC",BC19="PSF"),BD19,IF(AND(BC19="CUSTOM",BF19&lt;&gt;""),BF19,""))</f>
        <v/>
      </c>
      <c r="J19" s="4"/>
      <c r="K19" s="56" t="str">
        <f t="shared" ref="K19" si="90">AT19</f>
        <v>BOOL</v>
      </c>
      <c r="L19" s="56" t="str">
        <f t="shared" si="4"/>
        <v>TOOLING\SxxAAy</v>
      </c>
      <c r="M19" s="56" t="str">
        <f t="shared" si="5"/>
        <v>STELLANTIS\Common\ToolPrototype\Devices</v>
      </c>
      <c r="N19" s="56" t="str">
        <f t="shared" si="6"/>
        <v>STELLANTIS_EIP_AB1732_IO_BLOCK_ENET_8IN_8OUT.v00</v>
      </c>
      <c r="O19" s="56" t="str">
        <f t="shared" ref="O19" si="91">IF(AND(OR(BC19="SNS",BC19="OPR",BC19="RBT"),BF19&lt;&gt;""),BF19,IF(OR(BC19="PSF",BC19="PLC"),IF(BB19="ENTRY",IF(OR(ISLOGICAL(BF19),ISNUMBER(BF19)),LOWER(TEXT(BF19,"General")),IF((ISTEXT(BF19)),"CEE_To_VC_"&amp;BE19&amp;"_"&amp;BF19,"")),IF((ISTEXT(BF19)),"CEE_From_VC_"&amp;BE19&amp;"_"&amp;BF19,"")),IF(BC19="CUSTOM",IF(BH19&lt;&gt;"",BH19,""),"")))</f>
        <v/>
      </c>
      <c r="P19" s="56" t="str">
        <f t="shared" ref="P19" si="92">IF(OR(BC19="SNS",BC19="OPR"),IF(BG19&lt;&gt;"",BG19,""),IF(BC19="RBT",BD19,IF(BC19="CUSTOM",IF(BG19&lt;&gt;"",BG19,""),"")))</f>
        <v/>
      </c>
      <c r="Q19" s="56" t="str">
        <f t="shared" ref="Q19" si="93">IF(BC19="OPR",IF(BV19&lt;&gt;"",BV19,"NONSIM"),IF(BC19="RBT",IF(BH19&lt;&gt;"",BH19,""),IF(BC19="SNS",IF(BH19&lt;&gt;"",BH19,L19),IF(OR(BC19="PLC",BC19="PSF"),IF(BG19&lt;&gt;"",BG19,""),""))))</f>
        <v/>
      </c>
      <c r="R19" s="56" t="str">
        <f t="shared" ref="R19" si="94">IF(OR(BC19="PLC",BC19="PSF",BC19="OPR"),IF(BH19&lt;&gt;"",BH19,""),IF(BC19="RBT",IF(BI19&lt;&gt;"",BI19,""),IF(BC19="SNS",IF(BI19&lt;&gt;"",BI19,"PHOTOELECTRIC"),"")))</f>
        <v/>
      </c>
      <c r="S19" s="56" t="str">
        <f t="shared" ref="S19" si="95">IF(OR(BC19="PLC",BC19="PSF",BC19="OPR",AND(BC19="CUSTOM",OR(BU19="PLC",BU19="PSF"))),IF(BI19&lt;&gt;"",BI19,""),IF(BC19="SNS",IF(BJ19&lt;&gt;"",BJ19,""),""))</f>
        <v/>
      </c>
      <c r="T19" s="56" t="str">
        <f t="shared" ref="T19" si="96">IF(AND(Header_PLC_Type="CLX",BC19="PSF",BB19="EXIT"),CJ19&amp;CK19,IF(BC19="OPR",IF(BJ19&lt;&gt;"",BJ19,""),""))</f>
        <v/>
      </c>
      <c r="U19" s="56" t="str">
        <f t="shared" ref="U19" si="97">IF(OR(BC19="SNS",BC19="OPR"),IF(BK19&lt;&gt;"",BK19,""),"")</f>
        <v/>
      </c>
      <c r="V19" s="56" t="str">
        <f t="shared" ref="V19" si="98">IF(OR(BC19="SNS",BC19="OPR"),IF(BL19&lt;&gt;"",BL19,""),"")</f>
        <v/>
      </c>
      <c r="W19" s="56"/>
      <c r="X19" s="56"/>
      <c r="Y19" s="56"/>
      <c r="Z19" s="56" t="str">
        <f t="shared" ref="Z19" si="99">IF(BP19="","",BP19)</f>
        <v/>
      </c>
      <c r="AA19" s="56" t="str">
        <f t="shared" ref="AA19:AA20" si="100">IF($BQ19="","",$BQ19)</f>
        <v/>
      </c>
      <c r="AB19" s="56" t="str">
        <f t="shared" si="9"/>
        <v>ToolPrototype</v>
      </c>
      <c r="AC19" s="56" t="str">
        <f t="shared" ref="AC19" si="101">IF(ISBLANK(BT19),"","Optional")</f>
        <v/>
      </c>
      <c r="AD19" s="56" t="str">
        <f t="shared" si="10"/>
        <v/>
      </c>
      <c r="AE19" s="56" t="str">
        <f t="shared" si="11"/>
        <v/>
      </c>
      <c r="AF19"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ref="AN19" si="102">IF(BR19&lt;&gt;"",BR19,"")</f>
        <v/>
      </c>
      <c r="AO19" s="56" t="str">
        <f t="shared" ref="AO19" si="103">IF(BS19&lt;&gt;"",BS19,"")</f>
        <v/>
      </c>
      <c r="AP19" s="56" t="str">
        <f t="shared" ref="AP19" si="104">IF(BC19&lt;&gt;"CUSTOM",BC19,BU19)</f>
        <v>LBS</v>
      </c>
      <c r="AQ19" s="56" t="str">
        <f t="shared" ref="AQ19" si="105">BB19</f>
        <v>ENTRY</v>
      </c>
      <c r="AR19" s="39" t="s">
        <v>127</v>
      </c>
      <c r="AT19" s="44" t="str">
        <f t="shared" ref="AT19" si="106">IF(Header_PLC_Type="CLX",IF(CP19&lt;&gt;"",CP19,"&lt;noType&gt;"),IF(LEFT(Header_PLC_Type,2)="S7",IF(CD19&lt;&gt;"",CD19,"&lt;noType&gt;"),"&lt;noPLC&gt;"))</f>
        <v>BOOL</v>
      </c>
      <c r="AU19" s="23" t="str">
        <f t="shared" ref="AU19" si="107">IF(OR(BC19="PLC",BC19="PSF"),CA19,"")</f>
        <v/>
      </c>
      <c r="AV19" s="23" t="str">
        <f t="shared" ref="AV19" si="108">IF(OR(BC19="PLC",BC19="PSF"),IF(AT19="BOOL",F19,IF(AT19="BYTE",F19&amp;"B",IF(OR(AT19="WORD",AT19="INT"),F19&amp;"W",IF(OR(AT19="DWORD",AT19="DINT",AT19="REAL"),F19&amp;"D","&lt;invalid&gt;")))),"")</f>
        <v/>
      </c>
      <c r="AW19" s="23" t="str">
        <f t="shared" ref="AW19" si="109">IF(OR(BC19="PLC",BC19="PSF"),""&amp;AV19&amp;IF(AT19="BOOL",BY19&amp;"."&amp;BZ19,BY19)&amp; IF(CA19&lt;&gt;"",": &lt;"&amp;CA19&amp;"&gt; - ",": "),"")</f>
        <v/>
      </c>
      <c r="AX19" s="23" t="str">
        <f t="shared" ref="AX19" si="110">IF(OR(BC19="PLC",BC19="PSF"),IF(AND(BB19="EXIT",BC19="PSF"),CH19&amp;SUBSTITUTE(CJ19,":","_")&amp;CK19,CJ19&amp;CK19),"")</f>
        <v/>
      </c>
      <c r="AY19" s="36" t="str">
        <f t="shared" ref="AY19" si="111">IF(OR(BC19="PLC",BC19="PSF"),IF(CM19&lt;&gt;"",CM19 &amp; ": &lt;" &amp; CN19&amp;CO19 &amp; "&gt; - ","Controller: &lt;"&amp;CJ19&amp;CK19&amp;"&gt; - "),"")</f>
        <v/>
      </c>
      <c r="BB19" s="42" t="s">
        <v>15</v>
      </c>
      <c r="BC19" t="s">
        <v>61</v>
      </c>
      <c r="BD19" t="str">
        <f>"LBS_"&amp;IF(ISNUMBER(SEARCH(".O.",Header_Config04)),Prep!$D$9&amp;"_OUT_"&amp;Prep!$G$9&amp;"_"&amp;Prep!$H$9&amp;"_OutputPwr",SUBSTITUTE(Prep!$C$8,":","_")&amp;"_MP")</f>
        <v>LBS_Sxx_SIOy_OUT_aa_bb_OutputPwr</v>
      </c>
      <c r="BE19" t="s">
        <v>62</v>
      </c>
      <c r="BU19" t="s">
        <v>99</v>
      </c>
      <c r="BV19" s="30" t="s">
        <v>290</v>
      </c>
      <c r="BY19" s="42"/>
      <c r="CB19" s="42"/>
      <c r="CE19" s="30"/>
      <c r="CH19" s="42"/>
      <c r="CN19" s="30"/>
      <c r="CP19" t="s">
        <v>12</v>
      </c>
      <c r="CQ19" s="40"/>
      <c r="CR19" s="30"/>
    </row>
    <row r="20" spans="2:96" x14ac:dyDescent="0.35">
      <c r="B20" s="4" t="str">
        <f t="shared" ref="B20" si="112">IF(LEN(BT20)=0,Header_LB_Name,"&lt;BLANK&gt;")</f>
        <v>IO_BLOCK_SxxAAyBKz</v>
      </c>
      <c r="C20" s="4"/>
      <c r="D20" s="4" t="str">
        <f t="shared" ref="D20" si="113">IF(BC20="CUSTOM",BV20,IF(BB20="ENTRY","From_",IF(BB20="EXIT","To_","&lt;invalid&gt;"))&amp;IF(OR(BC20="RBT",BC20="KEY",BC20="SNS"),IF(BE20="",BC20,BC20&amp;"_"&amp;BE20),IF(BC20="OPR",IF(BE20="",BC20&amp;"_"&amp;BD20,BC20&amp;"_"&amp;BE20),IF(BC20="LBS",IF(BE20="",BD20,BE20),BC20)))&amp;"_"&amp;IF(BC20="OPR",IF(BB20="ENTRY","end",IF(BB20="EXIT","start","&lt;invalid&gt;")),BV20))</f>
        <v>From_SIM_OutputPwOk</v>
      </c>
      <c r="E20" s="4" t="str">
        <f t="shared" ref="E20" si="114">IF(OR(BC20="PLC",BC20="PSF"),IF(Header_PLC_Type="CLX",AX20,IF(LEFT(Header_PLC_Type,2)="S7",AU20,"&lt;invalid PLC type&gt;")),IF(BB20="ENTRY",IF(BC20="LBS",IF(BD20&lt;&gt;"",IF(BF20="",BC20&amp;"_"&amp;BD20&amp;"_To_"&amp;B20&amp;"_"&amp;BV20,BC20&amp;"_"&amp;BD20&amp;"_To_"&amp;BF20&amp;"_"&amp;BV20),"&lt;missing other LB/group name&gt;"),IF(OR(BC20="SNS",BC20="KEY"),IF(BD20&lt;&gt;"",BC20&amp;"_"&amp;BD20&amp;"_"&amp;BV20,"&lt;missing unique identifier&gt;"),IF(OR(BC20="RBT",BC20="OPR"),IF(BD20&lt;&gt;"",BD20&amp;"_"&amp;IF(BC20="OPR","end",IF(BG20&lt;&gt;"",BG20,BV20)),"&lt;missing unique identifier&gt;"),IF(BC20="CUSTOM",BD20,"&lt;invalid connection&gt;")))),IF(BB20="EXIT",IF(BC20="LBS",IF(BD20&lt;&gt;"",BC20&amp;"_"&amp;B20&amp;"_To_"&amp;BD20&amp;"_"&amp;BV20,"&lt;missing other LB/group name&gt;"),IF(OR(BC20="RBT",BC20="OPR"),IF(BD20&lt;&gt;"",BD20&amp;"_"&amp;IF(BC20="OPR","start",IF(BG20&lt;&gt;"",BG20,BV20)),"&lt;missing unique identifier&gt;"),IF(BC20="CUSTOM",BD20,"&lt;invalid connection (sensor or key signal can't be exit)&gt;"))),"&lt;invalid entry/exit&gt;")))</f>
        <v>LBS_Sxx_SIOy_OUT_aa_bb_DCPwr</v>
      </c>
      <c r="F20" s="4" t="str">
        <f t="shared" ref="F20" si="115">IF(BC20="CUSTOM",BE20,IF(OR(AND(BB20="ENTRY",OR(BC20="PLC",BC20="PSF")),AND(BB20="EXIT",OR(BC20="RBT",BC20="OPR"))),"Q","I"))</f>
        <v>I</v>
      </c>
      <c r="G20" s="4" t="str">
        <f t="shared" ref="G20" si="116">IF(Header_PLC_Type="S7-ADD",IF(OR(BC20="PSF",BC20="PLC"),IF(BY20&lt;&gt;"",IF(AT20="BOOL",BY20&amp;"."&amp;BZ20,BY20),"&lt;missing&gt;"),""),"")</f>
        <v/>
      </c>
      <c r="H20" s="4" t="str">
        <f t="shared" ref="H20" si="117">IF(OR(BC20="PLC",BC20="PSF"),IF(Header_PLC_Type="CLX",AY20&amp;CR20,IF(LEFT(Header_PLC_Type,2)="S7",AW20&amp;CE20,"&lt;invalid PLC type&gt;")),IF(Header_PLC_Type="CLX",IF(CR20&lt;&gt;"",CR20,""),IF(LEFT(Header_PLC_Type,2)="S7",IF(CE20&lt;&gt;"",CE20,""),"&lt;invalid PLC type&gt;")))</f>
        <v/>
      </c>
      <c r="I20" s="4" t="str">
        <f t="shared" ref="I20" si="118">IF(OR(BC20="PLC",BC20="PSF"),BD20,IF(AND(BC20="CUSTOM",BF20&lt;&gt;""),BF20,""))</f>
        <v/>
      </c>
      <c r="J20" s="4"/>
      <c r="K20" s="56" t="str">
        <f t="shared" ref="K20" si="119">AT20</f>
        <v>BOOL</v>
      </c>
      <c r="L20" s="56" t="str">
        <f t="shared" si="4"/>
        <v>TOOLING\SxxAAy</v>
      </c>
      <c r="M20" s="56" t="str">
        <f t="shared" si="5"/>
        <v>STELLANTIS\Common\ToolPrototype\Devices</v>
      </c>
      <c r="N20" s="56" t="str">
        <f t="shared" si="6"/>
        <v>STELLANTIS_EIP_AB1732_IO_BLOCK_ENET_8IN_8OUT.v00</v>
      </c>
      <c r="O20" s="56" t="str">
        <f t="shared" ref="O20" si="120">IF(AND(OR(BC20="SNS",BC20="OPR",BC20="RBT"),BF20&lt;&gt;""),BF20,IF(OR(BC20="PSF",BC20="PLC"),IF(BB20="ENTRY",IF(OR(ISLOGICAL(BF20),ISNUMBER(BF20)),LOWER(TEXT(BF20,"General")),IF((ISTEXT(BF20)),"CEE_To_VC_"&amp;BE20&amp;"_"&amp;BF20,"")),IF((ISTEXT(BF20)),"CEE_From_VC_"&amp;BE20&amp;"_"&amp;BF20,"")),IF(BC20="CUSTOM",IF(BH20&lt;&gt;"",BH20,""),"")))</f>
        <v/>
      </c>
      <c r="P20" s="56" t="str">
        <f t="shared" ref="P20" si="121">IF(OR(BC20="SNS",BC20="OPR"),IF(BG20&lt;&gt;"",BG20,""),IF(BC20="RBT",BD20,IF(BC20="CUSTOM",IF(BG20&lt;&gt;"",BG20,""),"")))</f>
        <v/>
      </c>
      <c r="Q20" s="56" t="str">
        <f t="shared" ref="Q20" si="122">IF(BC20="OPR",IF(BV20&lt;&gt;"",BV20,"NONSIM"),IF(BC20="RBT",IF(BH20&lt;&gt;"",BH20,""),IF(BC20="SNS",IF(BH20&lt;&gt;"",BH20,L20),IF(OR(BC20="PLC",BC20="PSF"),IF(BG20&lt;&gt;"",BG20,""),""))))</f>
        <v/>
      </c>
      <c r="R20" s="56" t="str">
        <f t="shared" ref="R20" si="123">IF(OR(BC20="PLC",BC20="PSF",BC20="OPR"),IF(BH20&lt;&gt;"",BH20,""),IF(BC20="RBT",IF(BI20&lt;&gt;"",BI20,""),IF(BC20="SNS",IF(BI20&lt;&gt;"",BI20,"PHOTOELECTRIC"),"")))</f>
        <v/>
      </c>
      <c r="S20" s="56" t="str">
        <f t="shared" ref="S20" si="124">IF(OR(BC20="PLC",BC20="PSF",BC20="OPR",AND(BC20="CUSTOM",OR(BU20="PLC",BU20="PSF"))),IF(BI20&lt;&gt;"",BI20,""),IF(BC20="SNS",IF(BJ20&lt;&gt;"",BJ20,""),""))</f>
        <v/>
      </c>
      <c r="T20" s="56" t="str">
        <f t="shared" ref="T20" si="125">IF(AND(Header_PLC_Type="CLX",BC20="PSF",BB20="EXIT"),CJ20&amp;CK20,IF(BC20="OPR",IF(BJ20&lt;&gt;"",BJ20,""),""))</f>
        <v/>
      </c>
      <c r="U20" s="56" t="str">
        <f t="shared" ref="U20" si="126">IF(OR(BC20="SNS",BC20="OPR"),IF(BK20&lt;&gt;"",BK20,""),"")</f>
        <v/>
      </c>
      <c r="V20" s="56" t="str">
        <f t="shared" ref="V20" si="127">IF(OR(BC20="SNS",BC20="OPR"),IF(BL20&lt;&gt;"",BL20,""),"")</f>
        <v/>
      </c>
      <c r="W20" s="56"/>
      <c r="X20" s="56"/>
      <c r="Y20" s="56"/>
      <c r="Z20" s="56" t="str">
        <f t="shared" ref="Z20" si="128">IF(BP20="","",BP20)</f>
        <v/>
      </c>
      <c r="AA20" s="56" t="str">
        <f t="shared" si="100"/>
        <v/>
      </c>
      <c r="AB20" s="56" t="str">
        <f t="shared" si="9"/>
        <v>ToolPrototype</v>
      </c>
      <c r="AC20" s="56" t="str">
        <f t="shared" ref="AC20" si="129">IF(ISBLANK(BT20),"","Optional")</f>
        <v/>
      </c>
      <c r="AD20" s="56" t="str">
        <f t="shared" si="10"/>
        <v/>
      </c>
      <c r="AE20" s="56" t="str">
        <f t="shared" si="11"/>
        <v/>
      </c>
      <c r="AF20" s="56" t="str">
        <f t="shared" si="12"/>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ref="AN20" si="130">IF(BR20&lt;&gt;"",BR20,"")</f>
        <v/>
      </c>
      <c r="AO20" s="56" t="str">
        <f t="shared" ref="AO20" si="131">IF(BS20&lt;&gt;"",BS20,"")</f>
        <v/>
      </c>
      <c r="AP20" s="56" t="str">
        <f t="shared" ref="AP20" si="132">IF(BC20&lt;&gt;"CUSTOM",BC20,BU20)</f>
        <v>LBS</v>
      </c>
      <c r="AQ20" s="56" t="str">
        <f t="shared" ref="AQ20" si="133">BB20</f>
        <v>ENTRY</v>
      </c>
      <c r="AR20" s="39" t="s">
        <v>127</v>
      </c>
      <c r="AT20" s="44" t="str">
        <f t="shared" ref="AT20" si="134">IF(Header_PLC_Type="CLX",IF(CP20&lt;&gt;"",CP20,"&lt;noType&gt;"),IF(LEFT(Header_PLC_Type,2)="S7",IF(CD20&lt;&gt;"",CD20,"&lt;noType&gt;"),"&lt;noPLC&gt;"))</f>
        <v>BOOL</v>
      </c>
      <c r="AU20" s="23" t="str">
        <f t="shared" ref="AU20" si="135">IF(OR(BC20="PLC",BC20="PSF"),CA20,"")</f>
        <v/>
      </c>
      <c r="AV20" s="23" t="str">
        <f t="shared" ref="AV20" si="136">IF(OR(BC20="PLC",BC20="PSF"),IF(AT20="BOOL",F20,IF(AT20="BYTE",F20&amp;"B",IF(OR(AT20="WORD",AT20="INT"),F20&amp;"W",IF(OR(AT20="DWORD",AT20="DINT",AT20="REAL"),F20&amp;"D","&lt;invalid&gt;")))),"")</f>
        <v/>
      </c>
      <c r="AW20" s="23" t="str">
        <f t="shared" ref="AW20" si="137">IF(OR(BC20="PLC",BC20="PSF"),""&amp;AV20&amp;IF(AT20="BOOL",BY20&amp;"."&amp;BZ20,BY20)&amp; IF(CA20&lt;&gt;"",": &lt;"&amp;CA20&amp;"&gt; - ",": "),"")</f>
        <v/>
      </c>
      <c r="AX20" s="23" t="str">
        <f t="shared" ref="AX20" si="138">IF(OR(BC20="PLC",BC20="PSF"),IF(AND(BB20="EXIT",BC20="PSF"),CH20&amp;SUBSTITUTE(CJ20,":","_")&amp;CK20,CJ20&amp;CK20),"")</f>
        <v/>
      </c>
      <c r="AY20" s="36" t="str">
        <f t="shared" ref="AY20" si="139">IF(OR(BC20="PLC",BC20="PSF"),IF(CM20&lt;&gt;"",CM20 &amp; ": &lt;" &amp; CN20&amp;CO20 &amp; "&gt; - ","Controller: &lt;"&amp;CJ20&amp;CK20&amp;"&gt; - "),"")</f>
        <v/>
      </c>
      <c r="BB20" s="42" t="s">
        <v>15</v>
      </c>
      <c r="BC20" t="s">
        <v>61</v>
      </c>
      <c r="BD20" t="str">
        <f>"LBS_"&amp;IF(ISNUMBER(SEARCH(".O.",Header_Config04)),Prep!$D$9&amp;"_OUT_"&amp;Prep!$G$9&amp;"_"&amp;Prep!$H$9&amp;"_DCPwr",SUBSTITUTE(Prep!$C$8,":","_")&amp;"_NMP")</f>
        <v>LBS_Sxx_SIOy_OUT_aa_bb_DCPwr</v>
      </c>
      <c r="BE20" t="s">
        <v>62</v>
      </c>
      <c r="BU20" t="s">
        <v>99</v>
      </c>
      <c r="BV20" s="30" t="s">
        <v>291</v>
      </c>
      <c r="BY20" s="42"/>
      <c r="CB20" s="42"/>
      <c r="CE20" s="30"/>
      <c r="CH20" s="42"/>
      <c r="CN20" s="30"/>
      <c r="CP20" t="s">
        <v>12</v>
      </c>
      <c r="CQ20" s="40"/>
      <c r="CR20" s="30"/>
    </row>
    <row r="21" spans="2:96" x14ac:dyDescent="0.35">
      <c r="B21" s="4" t="str">
        <f t="shared" ref="B21:B25" si="140">IF(LEN(BT21)=0,Header_LB_Name,"&lt;BLANK&gt;")</f>
        <v>IO_BLOCK_SxxAAyBKz</v>
      </c>
      <c r="C21" s="4"/>
      <c r="D21" s="4" t="str">
        <f t="shared" ref="D21:D25" si="141">IF(BC21="CUSTOM",BV21,IF(BB21="ENTRY","From_",IF(BB21="EXIT","To_","&lt;invalid&gt;"))&amp;IF(OR(BC21="RBT",BC21="KEY",BC21="SNS"),IF(BE21="",BC21,BC21&amp;"_"&amp;BE21),IF(BC21="OPR",IF(BE21="",BC21&amp;"_"&amp;BD21,BC21&amp;"_"&amp;BE21),IF(BC21="LBS",IF(BE21="",BD21,BE21),BC21)))&amp;"_"&amp;IF(BC21="OPR",IF(BB21="ENTRY","end",IF(BB21="EXIT","start","&lt;invalid&gt;")),BV21))</f>
        <v>From_SIM_CommOk</v>
      </c>
      <c r="E21" s="4" t="str">
        <f t="shared" ref="E21:E25" si="142">IF(OR(BC21="PLC",BC21="PSF"),IF(Header_PLC_Type="CLX",AX21,IF(LEFT(Header_PLC_Type,2)="S7",AU21,"&lt;invalid PLC type&gt;")),IF(BB21="ENTRY",IF(BC21="LBS",IF(BD21&lt;&gt;"",IF(BF21="",BC21&amp;"_"&amp;BD21&amp;"_To_"&amp;B21&amp;"_"&amp;BV21,BC21&amp;"_"&amp;BD21&amp;"_To_"&amp;BF21&amp;"_"&amp;BV21),"&lt;missing other LB/group name&gt;"),IF(OR(BC21="SNS",BC21="KEY"),IF(BD21&lt;&gt;"",BC21&amp;"_"&amp;BD21&amp;"_"&amp;BV21,"&lt;missing unique identifier&gt;"),IF(OR(BC21="RBT",BC21="OPR"),IF(BD21&lt;&gt;"",BD21&amp;"_"&amp;IF(BC21="OPR","end",IF(BG21&lt;&gt;"",BG21,BV21)),"&lt;missing unique identifier&gt;"),IF(BC21="CUSTOM",BD21,"&lt;invalid connection&gt;")))),IF(BB21="EXIT",IF(BC21="LBS",IF(BD21&lt;&gt;"",BC21&amp;"_"&amp;B21&amp;"_To_"&amp;BD21&amp;"_"&amp;BV21,"&lt;missing other LB/group name&gt;"),IF(OR(BC21="RBT",BC21="OPR"),IF(BD21&lt;&gt;"",BD21&amp;"_"&amp;IF(BC21="OPR","start",IF(BG21&lt;&gt;"",BG21,BV21)),"&lt;missing unique identifier&gt;"),IF(BC21="CUSTOM",BD21,"&lt;invalid connection (sensor or key signal can't be exit)&gt;"))),"&lt;invalid entry/exit&gt;")))</f>
        <v>LBS_SxxESWy_CommOk</v>
      </c>
      <c r="F21" s="4" t="str">
        <f t="shared" ref="F21:F25" si="143">IF(BC21="CUSTOM",BE21,IF(OR(AND(BB21="ENTRY",OR(BC21="PLC",BC21="PSF")),AND(BB21="EXIT",OR(BC21="RBT",BC21="OPR"))),"Q","I"))</f>
        <v>I</v>
      </c>
      <c r="G21" s="4" t="str">
        <f t="shared" ref="G21:G25" si="144">IF(Header_PLC_Type="S7-ADD",IF(OR(BC21="PSF",BC21="PLC"),IF(BY21&lt;&gt;"",IF(AT21="BOOL",BY21&amp;"."&amp;BZ21,BY21),"&lt;missing&gt;"),""),"")</f>
        <v/>
      </c>
      <c r="H21" s="4" t="str">
        <f t="shared" ref="H21:H25" si="145">IF(OR(BC21="PLC",BC21="PSF"),IF(Header_PLC_Type="CLX",AY21&amp;CR21,IF(LEFT(Header_PLC_Type,2)="S7",AW21&amp;CE21,"&lt;invalid PLC type&gt;")),IF(Header_PLC_Type="CLX",IF(CR21&lt;&gt;"",CR21,""),IF(LEFT(Header_PLC_Type,2)="S7",IF(CE21&lt;&gt;"",CE21,""),"&lt;invalid PLC type&gt;")))</f>
        <v/>
      </c>
      <c r="I21" s="4" t="str">
        <f t="shared" ref="I21:I25" si="146">IF(OR(BC21="PLC",BC21="PSF"),BD21,IF(AND(BC21="CUSTOM",BF21&lt;&gt;""),BF21,""))</f>
        <v/>
      </c>
      <c r="J21" s="4"/>
      <c r="K21" s="56" t="str">
        <f t="shared" ref="K21:K25" si="147">AT21</f>
        <v>BOOL</v>
      </c>
      <c r="L21" s="56" t="str">
        <f t="shared" ref="L21:L26" si="148">Header_Resource_Compound</f>
        <v>TOOLING\SxxAAy</v>
      </c>
      <c r="M21" s="56" t="str">
        <f t="shared" ref="M21:M26" si="149">Header_Sysroot_Folder</f>
        <v>STELLANTIS\Common\ToolPrototype\Devices</v>
      </c>
      <c r="N21" s="56" t="str">
        <f t="shared" ref="N21:N26" si="150">Header_COJT_Full_Name</f>
        <v>STELLANTIS_EIP_AB1732_IO_BLOCK_ENET_8IN_8OUT.v00</v>
      </c>
      <c r="O21" s="56" t="str">
        <f t="shared" ref="O21:O25" si="151">IF(AND(OR(BC21="SNS",BC21="OPR",BC21="RBT"),BF21&lt;&gt;""),BF21,IF(OR(BC21="PSF",BC21="PLC"),IF(BB21="ENTRY",IF(OR(ISLOGICAL(BF21),ISNUMBER(BF21)),LOWER(TEXT(BF21,"General")),IF((ISTEXT(BF21)),"CEE_To_VC_"&amp;BE21&amp;"_"&amp;BF21,"")),IF((ISTEXT(BF21)),"CEE_From_VC_"&amp;BE21&amp;"_"&amp;BF21,"")),IF(BC21="CUSTOM",IF(BH21&lt;&gt;"",BH21,""),"")))</f>
        <v/>
      </c>
      <c r="P21" s="56" t="str">
        <f t="shared" ref="P21:P25" si="152">IF(OR(BC21="SNS",BC21="OPR"),IF(BG21&lt;&gt;"",BG21,""),IF(BC21="RBT",BD21,IF(BC21="CUSTOM",IF(BG21&lt;&gt;"",BG21,""),"")))</f>
        <v/>
      </c>
      <c r="Q21" s="56" t="str">
        <f t="shared" ref="Q21:Q25" si="153">IF(BC21="OPR",IF(BV21&lt;&gt;"",BV21,"NONSIM"),IF(BC21="RBT",IF(BH21&lt;&gt;"",BH21,""),IF(BC21="SNS",IF(BH21&lt;&gt;"",BH21,L21),IF(OR(BC21="PLC",BC21="PSF"),IF(BG21&lt;&gt;"",BG21,""),""))))</f>
        <v/>
      </c>
      <c r="R21" s="56" t="str">
        <f t="shared" ref="R21:R25" si="154">IF(OR(BC21="PLC",BC21="PSF",BC21="OPR"),IF(BH21&lt;&gt;"",BH21,""),IF(BC21="RBT",IF(BI21&lt;&gt;"",BI21,""),IF(BC21="SNS",IF(BI21&lt;&gt;"",BI21,"PHOTOELECTRIC"),"")))</f>
        <v/>
      </c>
      <c r="S21" s="56" t="str">
        <f t="shared" ref="S21:S25" si="155">IF(OR(BC21="PLC",BC21="PSF",BC21="OPR",AND(BC21="CUSTOM",OR(BU21="PLC",BU21="PSF"))),IF(BI21&lt;&gt;"",BI21,""),IF(BC21="SNS",IF(BJ21&lt;&gt;"",BJ21,""),""))</f>
        <v/>
      </c>
      <c r="T21" s="56" t="str">
        <f t="shared" ref="T21:T23" si="156">IF(AND(Header_PLC_Type="CLX",BC21="PSF",BB21="EXIT"),CJ21&amp;CK21,IF(BC21="OPR",IF(BJ21&lt;&gt;"",BJ21,""),""))</f>
        <v/>
      </c>
      <c r="U21" s="56" t="str">
        <f t="shared" ref="U21:U25" si="157">IF(OR(BC21="SNS",BC21="OPR"),IF(BK21&lt;&gt;"",BK21,""),"")</f>
        <v/>
      </c>
      <c r="V21" s="56" t="str">
        <f t="shared" ref="V21:V25" si="158">IF(OR(BC21="SNS",BC21="OPR"),IF(BL21&lt;&gt;"",BL21,""),"")</f>
        <v/>
      </c>
      <c r="W21" s="56"/>
      <c r="X21" s="56"/>
      <c r="Y21" s="56"/>
      <c r="Z21" s="56" t="str">
        <f t="shared" ref="Z21:Z25" si="159">IF(BP21="","",BP21)</f>
        <v/>
      </c>
      <c r="AA21" s="56" t="str">
        <f t="shared" ref="AA21:AA26" si="160">IF($BQ21="","",$BQ21)</f>
        <v/>
      </c>
      <c r="AB21" s="56" t="str">
        <f t="shared" ref="AB21:AB26" si="161">IF(Header_COJT_Type_Definition="","ToolPrototype",Header_COJT_Type_Definition)</f>
        <v>ToolPrototype</v>
      </c>
      <c r="AC21" s="56" t="str">
        <f t="shared" ref="AC21:AC25" si="162">IF(ISBLANK(BT21),"","Optional")</f>
        <v/>
      </c>
      <c r="AD21" s="56" t="str">
        <f t="shared" ref="AD21:AD26" si="163">IF(Export_VC_Forms="","",Export_VC_Forms)</f>
        <v/>
      </c>
      <c r="AE21" s="56" t="str">
        <f t="shared" ref="AE21:AE26" si="164">IF(Export_Setup_Tracker="","",Export_Setup_Tracker)</f>
        <v/>
      </c>
      <c r="AF21" s="56" t="str">
        <f t="shared" ref="AF21:AF26" si="165">IF(Export_Validation_Tracker="","",Export_Validation_Tracker)</f>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1" s="56" t="str">
        <f t="shared" ref="AG21:AG26" si="166">IF(Export_Spare_04="","",Export_Spare_04)</f>
        <v/>
      </c>
      <c r="AH21" s="56" t="str">
        <f t="shared" ref="AH21:AH26" si="167">IF(Export_Spare_05="","",Export_Spare_05)</f>
        <v/>
      </c>
      <c r="AI21" s="56" t="str">
        <f t="shared" ref="AI21:AI26" si="168">IF(Export_Spare_06="","",Export_Spare_06)</f>
        <v/>
      </c>
      <c r="AJ21" s="56" t="str">
        <f t="shared" ref="AJ21:AJ26" si="169">IF(Export_Spare_07="","",Export_Spare_07)</f>
        <v/>
      </c>
      <c r="AK21" s="56" t="str">
        <f t="shared" ref="AK21:AK26" si="170">IF(Export_Spare_08="","",Export_Spare_08)</f>
        <v/>
      </c>
      <c r="AL21" s="56" t="str">
        <f t="shared" ref="AL21:AL26" si="171">IF(Export_Spare_09="","",Export_Spare_09)</f>
        <v/>
      </c>
      <c r="AM21" s="56" t="str">
        <f t="shared" ref="AM21:AM26" si="172">IF(Export_Spare_10="","",Export_Spare_10)</f>
        <v/>
      </c>
      <c r="AN21" s="56" t="str">
        <f t="shared" ref="AN21:AN25" si="173">IF(BR21&lt;&gt;"",BR21,"")</f>
        <v/>
      </c>
      <c r="AO21" s="56" t="str">
        <f t="shared" ref="AO21:AO25" si="174">IF(BS21&lt;&gt;"",BS21,"")</f>
        <v/>
      </c>
      <c r="AP21" s="56" t="str">
        <f t="shared" ref="AP21:AP25" si="175">IF(BC21&lt;&gt;"CUSTOM",BC21,BU21)</f>
        <v>LBS</v>
      </c>
      <c r="AQ21" s="56" t="str">
        <f t="shared" ref="AQ21:AQ25" si="176">BB21</f>
        <v>ENTRY</v>
      </c>
      <c r="AR21" s="39" t="s">
        <v>127</v>
      </c>
      <c r="AT21" s="44" t="str">
        <f t="shared" ref="AT21:AT25" si="177">IF(Header_PLC_Type="CLX",IF(CP21&lt;&gt;"",CP21,"&lt;noType&gt;"),IF(LEFT(Header_PLC_Type,2)="S7",IF(CD21&lt;&gt;"",CD21,"&lt;noType&gt;"),"&lt;noPLC&gt;"))</f>
        <v>BOOL</v>
      </c>
      <c r="AU21" s="23" t="str">
        <f t="shared" ref="AU21:AU25" si="178">IF(OR(BC21="PLC",BC21="PSF"),CA21,"")</f>
        <v/>
      </c>
      <c r="AV21" s="23" t="str">
        <f t="shared" ref="AV21:AV25" si="179">IF(OR(BC21="PLC",BC21="PSF"),IF(AT21="BOOL",F21,IF(AT21="BYTE",F21&amp;"B",IF(OR(AT21="WORD",AT21="INT"),F21&amp;"W",IF(OR(AT21="DWORD",AT21="DINT",AT21="REAL"),F21&amp;"D","&lt;invalid&gt;")))),"")</f>
        <v/>
      </c>
      <c r="AW21" s="23" t="str">
        <f t="shared" ref="AW21:AW25" si="180">IF(OR(BC21="PLC",BC21="PSF"),""&amp;AV21&amp;IF(AT21="BOOL",BY21&amp;"."&amp;BZ21,BY21)&amp; IF(CA21&lt;&gt;"",": &lt;"&amp;CA21&amp;"&gt; - ",": "),"")</f>
        <v/>
      </c>
      <c r="AX21" s="23" t="str">
        <f t="shared" ref="AX21:AX23" si="181">IF(OR(BC21="PLC",BC21="PSF"),IF(AND(BB21="EXIT",BC21="PSF"),CH21&amp;SUBSTITUTE(CJ21,":","_")&amp;CK21,CJ21&amp;CK21),"")</f>
        <v/>
      </c>
      <c r="AY21" s="36" t="str">
        <f t="shared" ref="AY21:AY23" si="182">IF(OR(BC21="PLC",BC21="PSF"),IF(CM21&lt;&gt;"",CM21 &amp; ": &lt;" &amp; CN21&amp;CO21 &amp; "&gt; - ","Controller: &lt;"&amp;CJ21&amp;CK21&amp;"&gt; - "),"")</f>
        <v/>
      </c>
      <c r="BB21" s="42" t="s">
        <v>15</v>
      </c>
      <c r="BC21" t="s">
        <v>61</v>
      </c>
      <c r="BD21" t="str">
        <f>IF(ISNUMBER(FIND(":",Header_Config03)),"LBS_"&amp;LEFT(Header_Config03,FIND(":",Header_Config03)-1)&amp;"_CommOk","LBS_"&amp;Header_Config03&amp;"_CommOk")</f>
        <v>LBS_SxxESWy_CommOk</v>
      </c>
      <c r="BE21" t="s">
        <v>62</v>
      </c>
      <c r="BU21" t="s">
        <v>99</v>
      </c>
      <c r="BV21" s="30" t="s">
        <v>255</v>
      </c>
      <c r="BY21" s="42"/>
      <c r="CB21" s="42"/>
      <c r="CE21" s="30"/>
      <c r="CH21" s="42"/>
      <c r="CN21" s="30"/>
      <c r="CP21" t="s">
        <v>12</v>
      </c>
      <c r="CQ21" s="40"/>
      <c r="CR21" s="30"/>
    </row>
    <row r="22" spans="2:96" x14ac:dyDescent="0.35">
      <c r="B22" s="4" t="str">
        <f t="shared" si="140"/>
        <v>IO_BLOCK_SxxAAyBKz</v>
      </c>
      <c r="C22" s="4"/>
      <c r="D22" s="4" t="str">
        <f t="shared" si="141"/>
        <v>To_PLC_EntryStatus</v>
      </c>
      <c r="E22" s="4" t="str">
        <f t="shared" si="142"/>
        <v>ENET_STAT_4thSYS_ID[126].EntryStatus</v>
      </c>
      <c r="F22" s="4" t="str">
        <f t="shared" si="143"/>
        <v>I</v>
      </c>
      <c r="G22" s="4" t="str">
        <f t="shared" si="144"/>
        <v/>
      </c>
      <c r="H22" s="4" t="str">
        <f t="shared" si="145"/>
        <v>Controller: &lt;ENET_STAT_4thSYS_ID[126].EntryStatus&gt; - SxxAAyBKz Module Entry Status</v>
      </c>
      <c r="I22" s="4" t="str">
        <f t="shared" si="146"/>
        <v>AB_RACKx_SLOTa</v>
      </c>
      <c r="J22" s="4"/>
      <c r="K22" s="56" t="str">
        <f t="shared" si="147"/>
        <v>INT</v>
      </c>
      <c r="L22" s="56" t="str">
        <f t="shared" si="148"/>
        <v>TOOLING\SxxAAy</v>
      </c>
      <c r="M22" s="56" t="str">
        <f t="shared" si="149"/>
        <v>STELLANTIS\Common\ToolPrototype\Devices</v>
      </c>
      <c r="N22" s="56" t="str">
        <f t="shared" si="150"/>
        <v>STELLANTIS_EIP_AB1732_IO_BLOCK_ENET_8IN_8OUT.v00</v>
      </c>
      <c r="O22" s="56" t="str">
        <f t="shared" si="151"/>
        <v/>
      </c>
      <c r="P22" s="56" t="str">
        <f t="shared" si="152"/>
        <v/>
      </c>
      <c r="Q22" s="56" t="str">
        <f t="shared" si="153"/>
        <v/>
      </c>
      <c r="R22" s="56" t="str">
        <f t="shared" si="154"/>
        <v/>
      </c>
      <c r="S22" s="56" t="str">
        <f t="shared" si="155"/>
        <v/>
      </c>
      <c r="T22" s="56" t="str">
        <f t="shared" si="156"/>
        <v/>
      </c>
      <c r="U22" s="56" t="str">
        <f t="shared" si="157"/>
        <v/>
      </c>
      <c r="V22" s="56" t="str">
        <f t="shared" si="158"/>
        <v/>
      </c>
      <c r="W22" s="56"/>
      <c r="X22" s="56"/>
      <c r="Y22" s="56"/>
      <c r="Z22" s="56" t="str">
        <f t="shared" si="159"/>
        <v/>
      </c>
      <c r="AA22" s="56" t="str">
        <f t="shared" si="160"/>
        <v/>
      </c>
      <c r="AB22" s="56" t="str">
        <f t="shared" si="161"/>
        <v>ToolPrototype</v>
      </c>
      <c r="AC22" s="56" t="str">
        <f t="shared" si="162"/>
        <v/>
      </c>
      <c r="AD22" s="56" t="str">
        <f t="shared" si="163"/>
        <v/>
      </c>
      <c r="AE22" s="56" t="str">
        <f t="shared" si="164"/>
        <v/>
      </c>
      <c r="AF22" s="56" t="str">
        <f t="shared" si="165"/>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2" s="56" t="str">
        <f t="shared" si="166"/>
        <v/>
      </c>
      <c r="AH22" s="56" t="str">
        <f t="shared" si="167"/>
        <v/>
      </c>
      <c r="AI22" s="56" t="str">
        <f t="shared" si="168"/>
        <v/>
      </c>
      <c r="AJ22" s="56" t="str">
        <f t="shared" si="169"/>
        <v/>
      </c>
      <c r="AK22" s="56" t="str">
        <f t="shared" si="170"/>
        <v/>
      </c>
      <c r="AL22" s="56" t="str">
        <f t="shared" si="171"/>
        <v/>
      </c>
      <c r="AM22" s="56" t="str">
        <f t="shared" si="172"/>
        <v/>
      </c>
      <c r="AN22" s="56" t="str">
        <f t="shared" si="173"/>
        <v/>
      </c>
      <c r="AO22" s="56" t="str">
        <f t="shared" si="174"/>
        <v/>
      </c>
      <c r="AP22" s="56" t="str">
        <f t="shared" si="175"/>
        <v>PLC</v>
      </c>
      <c r="AQ22" s="56" t="str">
        <f t="shared" si="176"/>
        <v>EXIT</v>
      </c>
      <c r="AR22" s="39" t="s">
        <v>127</v>
      </c>
      <c r="AT22" s="44" t="str">
        <f t="shared" si="177"/>
        <v>INT</v>
      </c>
      <c r="AU22" s="23">
        <f t="shared" si="178"/>
        <v>0</v>
      </c>
      <c r="AV22" s="23" t="str">
        <f t="shared" si="179"/>
        <v>IW</v>
      </c>
      <c r="AW22" s="23" t="str">
        <f t="shared" si="180"/>
        <v xml:space="preserve">IW: </v>
      </c>
      <c r="AX22" s="23" t="str">
        <f t="shared" si="181"/>
        <v>ENET_STAT_4thSYS_ID[126].EntryStatus</v>
      </c>
      <c r="AY22" s="36" t="str">
        <f t="shared" si="182"/>
        <v xml:space="preserve">Controller: &lt;ENET_STAT_4thSYS_ID[126].EntryStatus&gt; - </v>
      </c>
      <c r="BB22" s="42" t="s">
        <v>17</v>
      </c>
      <c r="BC22" t="s">
        <v>16</v>
      </c>
      <c r="BD22" t="str">
        <f>Header_Config01</f>
        <v>AB_RACKx_SLOTa</v>
      </c>
      <c r="BV22" s="30" t="s">
        <v>256</v>
      </c>
      <c r="BY22" s="42"/>
      <c r="CB22" s="42"/>
      <c r="CE22" s="30"/>
      <c r="CH22" s="42"/>
      <c r="CJ22" t="str">
        <f t="shared" ref="CJ22:CK22" si="183">CN22</f>
        <v>ENET_STAT_4thSYS_ID[126].</v>
      </c>
      <c r="CK22" t="str">
        <f t="shared" si="183"/>
        <v>EntryStatus</v>
      </c>
      <c r="CM22" t="s">
        <v>72</v>
      </c>
      <c r="CN22" s="30" t="str">
        <f>IF(LEFT(Header_Config01,3)="OPC","_"&amp;Header_Config01&amp;"_","")&amp;"ENET_STAT_"&amp;LEFT(Header_Config02,FIND(":",Header_Config02)-1)&amp;"SYS_ID["&amp;MID(Header_Config02,FIND(":",Header_Config02)+1,3)&amp;"]."</f>
        <v>ENET_STAT_4thSYS_ID[126].</v>
      </c>
      <c r="CO22" t="s">
        <v>256</v>
      </c>
      <c r="CP22" t="s">
        <v>96</v>
      </c>
      <c r="CQ22" s="40"/>
      <c r="CR22" s="30" t="str">
        <f>Header_LB_Unique_ID&amp;" Module Entry Status"</f>
        <v>SxxAAyBKz Module Entry Status</v>
      </c>
    </row>
    <row r="23" spans="2:96" x14ac:dyDescent="0.35">
      <c r="B23" s="4" t="str">
        <f t="shared" si="140"/>
        <v>IO_BLOCK_SxxAAyBKz</v>
      </c>
      <c r="C23" s="4"/>
      <c r="D23" s="4" t="str">
        <f t="shared" si="141"/>
        <v>To_PLC_SwitchPort</v>
      </c>
      <c r="E23" s="4" t="str">
        <f t="shared" si="142"/>
        <v>SxxESWy:I.Data[6].0</v>
      </c>
      <c r="F23" s="4" t="str">
        <f t="shared" si="143"/>
        <v>I</v>
      </c>
      <c r="G23" s="4" t="str">
        <f t="shared" si="144"/>
        <v/>
      </c>
      <c r="H23" s="4" t="str">
        <f t="shared" si="145"/>
        <v>Controller: &lt;SxxESWy.I1.16&gt; - SxxAAyBKz ENET Switch SxxESWy Port 17</v>
      </c>
      <c r="I23" s="4" t="str">
        <f t="shared" si="146"/>
        <v>AB_RACKx_SLOTa</v>
      </c>
      <c r="J23" s="4"/>
      <c r="K23" s="56" t="str">
        <f t="shared" si="147"/>
        <v>BOOL</v>
      </c>
      <c r="L23" s="56" t="str">
        <f t="shared" si="148"/>
        <v>TOOLING\SxxAAy</v>
      </c>
      <c r="M23" s="56" t="str">
        <f t="shared" si="149"/>
        <v>STELLANTIS\Common\ToolPrototype\Devices</v>
      </c>
      <c r="N23" s="56" t="str">
        <f t="shared" si="150"/>
        <v>STELLANTIS_EIP_AB1732_IO_BLOCK_ENET_8IN_8OUT.v00</v>
      </c>
      <c r="O23" s="56" t="str">
        <f t="shared" si="151"/>
        <v/>
      </c>
      <c r="P23" s="56" t="str">
        <f t="shared" si="152"/>
        <v/>
      </c>
      <c r="Q23" s="56" t="str">
        <f t="shared" si="153"/>
        <v/>
      </c>
      <c r="R23" s="56" t="str">
        <f t="shared" si="154"/>
        <v/>
      </c>
      <c r="S23" s="56" t="str">
        <f t="shared" si="155"/>
        <v/>
      </c>
      <c r="T23" s="56" t="str">
        <f t="shared" si="156"/>
        <v/>
      </c>
      <c r="U23" s="56" t="str">
        <f t="shared" si="157"/>
        <v/>
      </c>
      <c r="V23" s="56" t="str">
        <f t="shared" si="158"/>
        <v/>
      </c>
      <c r="W23" s="56"/>
      <c r="X23" s="56"/>
      <c r="Y23" s="56"/>
      <c r="Z23" s="56" t="str">
        <f t="shared" si="159"/>
        <v/>
      </c>
      <c r="AA23" s="56" t="str">
        <f t="shared" si="160"/>
        <v/>
      </c>
      <c r="AB23" s="56" t="str">
        <f t="shared" si="161"/>
        <v>ToolPrototype</v>
      </c>
      <c r="AC23" s="56" t="str">
        <f t="shared" si="162"/>
        <v>Optional</v>
      </c>
      <c r="AD23" s="56" t="str">
        <f t="shared" si="163"/>
        <v/>
      </c>
      <c r="AE23" s="56" t="str">
        <f t="shared" si="164"/>
        <v/>
      </c>
      <c r="AF23" s="56" t="str">
        <f t="shared" si="165"/>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3" s="56" t="str">
        <f t="shared" si="166"/>
        <v/>
      </c>
      <c r="AH23" s="56" t="str">
        <f t="shared" si="167"/>
        <v/>
      </c>
      <c r="AI23" s="56" t="str">
        <f t="shared" si="168"/>
        <v/>
      </c>
      <c r="AJ23" s="56" t="str">
        <f t="shared" si="169"/>
        <v/>
      </c>
      <c r="AK23" s="56" t="str">
        <f t="shared" si="170"/>
        <v/>
      </c>
      <c r="AL23" s="56" t="str">
        <f t="shared" si="171"/>
        <v/>
      </c>
      <c r="AM23" s="56" t="str">
        <f t="shared" si="172"/>
        <v/>
      </c>
      <c r="AN23" s="56" t="str">
        <f t="shared" si="173"/>
        <v/>
      </c>
      <c r="AO23" s="56" t="str">
        <f t="shared" si="174"/>
        <v/>
      </c>
      <c r="AP23" s="56" t="str">
        <f t="shared" si="175"/>
        <v>PLC</v>
      </c>
      <c r="AQ23" s="56" t="str">
        <f t="shared" si="176"/>
        <v>EXIT</v>
      </c>
      <c r="AR23" s="39" t="s">
        <v>127</v>
      </c>
      <c r="AT23" s="44" t="str">
        <f t="shared" si="177"/>
        <v>BOOL</v>
      </c>
      <c r="AU23" s="23">
        <f t="shared" si="178"/>
        <v>0</v>
      </c>
      <c r="AV23" s="23" t="str">
        <f t="shared" si="179"/>
        <v>I</v>
      </c>
      <c r="AW23" s="23" t="str">
        <f t="shared" si="180"/>
        <v xml:space="preserve">I.: </v>
      </c>
      <c r="AX23" s="23" t="str">
        <f t="shared" si="181"/>
        <v>SxxESWy:I.Data[6].0</v>
      </c>
      <c r="AY23" s="36" t="str">
        <f t="shared" si="182"/>
        <v xml:space="preserve">Controller: &lt;SxxESWy.I1.16&gt; - </v>
      </c>
      <c r="BB23" s="42" t="s">
        <v>17</v>
      </c>
      <c r="BC23" t="s">
        <v>16</v>
      </c>
      <c r="BD23" t="str">
        <f>Header_Config01</f>
        <v>AB_RACKx_SLOTa</v>
      </c>
      <c r="BT23" t="str">
        <f>IF(ISNUMBER(FIND(":",Header_Config03)),"","X")</f>
        <v/>
      </c>
      <c r="BV23" s="30" t="s">
        <v>257</v>
      </c>
      <c r="BY23" s="42"/>
      <c r="CB23" s="42"/>
      <c r="CE23" s="30"/>
      <c r="CH23" s="42"/>
      <c r="CJ23" t="str">
        <f>LEFT(Header_Config03,FIND(":",Header_Config03)-1)&amp;":I.Data["&amp;DEC2OCT(CO23/8)+4&amp;"]."</f>
        <v>SxxESWy:I.Data[6].</v>
      </c>
      <c r="CK23" t="str">
        <f>DEC2OCT(CO23-(DEC2OCT(CO23/8)*8))</f>
        <v>0</v>
      </c>
      <c r="CM23" t="s">
        <v>72</v>
      </c>
      <c r="CN23" s="30" t="str">
        <f>LEFT(Header_Config03,FIND(":",Header_Config03)-1)&amp;".I1."</f>
        <v>SxxESWy.I1.</v>
      </c>
      <c r="CO23">
        <f>IF(ISNUMBER(SEARCH(":P",Header_Config03)),MID(Header_Config03,SEARCH(":P",Header_Config03)+2,3)-1,MID(Header_Config03,FIND(":",Header_Config03)+1,3)-1)</f>
        <v>16</v>
      </c>
      <c r="CP23" t="s">
        <v>12</v>
      </c>
      <c r="CQ23" s="40"/>
      <c r="CR23" s="30" t="str">
        <f>Header_LB_Unique_ID&amp;" ENET Switch "&amp;LEFT(Header_Config03,FIND(":",Header_Config03)-1)&amp;" Port"&amp; " "&amp;CO23+1</f>
        <v>SxxAAyBKz ENET Switch SxxESWy Port 17</v>
      </c>
    </row>
    <row r="24" spans="2:96" x14ac:dyDescent="0.35">
      <c r="B24" s="4" t="str">
        <f t="shared" ref="B24" si="184">IF(LEN(BT24)=0,Header_LB_Name,"&lt;BLANK&gt;")</f>
        <v>IO_BLOCK_SxxAAyBKz</v>
      </c>
      <c r="C24" s="4"/>
      <c r="D24" s="4" t="str">
        <f t="shared" ref="D24" si="185">IF(BC24="CUSTOM",BV24,IF(BB24="ENTRY","From_",IF(BB24="EXIT","To_","&lt;invalid&gt;"))&amp;IF(OR(BC24="RBT",BC24="KEY",BC24="SNS"),IF(BE24="",BC24,BC24&amp;"_"&amp;BE24),IF(BC24="OPR",IF(BE24="",BC24&amp;"_"&amp;BD24,BC24&amp;"_"&amp;BE24),IF(BC24="LBS",IF(BE24="",BD24,BE24),BC24)))&amp;"_"&amp;IF(BC24="OPR",IF(BB24="ENTRY","end",IF(BB24="EXIT","start","&lt;invalid&gt;")),BV24))</f>
        <v>To_PLC_Fault</v>
      </c>
      <c r="E24" s="4" t="str">
        <f t="shared" ref="E24" si="186">IF(OR(BC24="PLC",BC24="PSF"),IF(Header_PLC_Type="CLX",AX24,IF(LEFT(Header_PLC_Type,2)="S7",AU24,"&lt;invalid PLC type&gt;")),IF(BB24="ENTRY",IF(BC24="LBS",IF(BD24&lt;&gt;"",IF(BF24="",BC24&amp;"_"&amp;BD24&amp;"_To_"&amp;B24&amp;"_"&amp;BV24,BC24&amp;"_"&amp;BD24&amp;"_To_"&amp;BF24&amp;"_"&amp;BV24),"&lt;missing other LB/group name&gt;"),IF(OR(BC24="SNS",BC24="KEY"),IF(BD24&lt;&gt;"",BC24&amp;"_"&amp;BD24&amp;"_"&amp;BV24,"&lt;missing unique identifier&gt;"),IF(OR(BC24="RBT",BC24="OPR"),IF(BD24&lt;&gt;"",BD24&amp;"_"&amp;IF(BC24="OPR","end",IF(BG24&lt;&gt;"",BG24,BV24)),"&lt;missing unique identifier&gt;"),IF(BC24="CUSTOM",BD24,"&lt;invalid connection&gt;")))),IF(BB24="EXIT",IF(BC24="LBS",IF(BD24&lt;&gt;"",BC24&amp;"_"&amp;B24&amp;"_To_"&amp;BD24&amp;"_"&amp;BV24,"&lt;missing other LB/group name&gt;"),IF(OR(BC24="RBT",BC24="OPR"),IF(BD24&lt;&gt;"",BD24&amp;"_"&amp;IF(BC24="OPR","start",IF(BG24&lt;&gt;"",BG24,BV24)),"&lt;missing unique identifier&gt;"),IF(BC24="CUSTOM",BD24,"&lt;invalid connection (sensor or key signal can't be exit)&gt;"))),"&lt;invalid entry/exit&gt;")))</f>
        <v>SxxAAyBKz:I.Fault</v>
      </c>
      <c r="F24" s="4" t="str">
        <f t="shared" ref="F24" si="187">IF(BC24="CUSTOM",BE24,IF(OR(AND(BB24="ENTRY",OR(BC24="PLC",BC24="PSF")),AND(BB24="EXIT",OR(BC24="RBT",BC24="OPR"))),"Q","I"))</f>
        <v>I</v>
      </c>
      <c r="G24" s="4" t="str">
        <f t="shared" ref="G24" si="188">IF(Header_PLC_Type="S7-ADD",IF(OR(BC24="PSF",BC24="PLC"),IF(BY24&lt;&gt;"",IF(AT24="BOOL",BY24&amp;"."&amp;BZ24,BY24),"&lt;missing&gt;"),""),"")</f>
        <v/>
      </c>
      <c r="H24" s="4" t="str">
        <f t="shared" ref="H24" si="189">IF(OR(BC24="PLC",BC24="PSF"),IF(Header_PLC_Type="CLX",AY24&amp;CR24,IF(LEFT(Header_PLC_Type,2)="S7",AW24&amp;CE24,"&lt;invalid PLC type&gt;")),IF(Header_PLC_Type="CLX",IF(CR24&lt;&gt;"",CR24,""),IF(LEFT(Header_PLC_Type,2)="S7",IF(CE24&lt;&gt;"",CE24,""),"&lt;invalid PLC type&gt;")))</f>
        <v>Controller: &lt;SxxAAyBKz:I.Fault&gt; - SxxAAyBKz Fault</v>
      </c>
      <c r="I24" s="4" t="str">
        <f t="shared" ref="I24" si="190">IF(OR(BC24="PLC",BC24="PSF"),BD24,IF(AND(BC24="CUSTOM",BF24&lt;&gt;""),BF24,""))</f>
        <v>AB_RACKx_SLOTa</v>
      </c>
      <c r="J24" s="4"/>
      <c r="K24" s="56" t="str">
        <f t="shared" ref="K24" si="191">AT24</f>
        <v>DINT</v>
      </c>
      <c r="L24" s="56" t="str">
        <f t="shared" si="148"/>
        <v>TOOLING\SxxAAy</v>
      </c>
      <c r="M24" s="56" t="str">
        <f t="shared" si="149"/>
        <v>STELLANTIS\Common\ToolPrototype\Devices</v>
      </c>
      <c r="N24" s="56" t="str">
        <f t="shared" si="150"/>
        <v>STELLANTIS_EIP_AB1732_IO_BLOCK_ENET_8IN_8OUT.v00</v>
      </c>
      <c r="O24" s="56" t="str">
        <f t="shared" ref="O24" si="192">IF(AND(OR(BC24="SNS",BC24="OPR",BC24="RBT"),BF24&lt;&gt;""),BF24,IF(OR(BC24="PSF",BC24="PLC"),IF(BB24="ENTRY",IF(OR(ISLOGICAL(BF24),ISNUMBER(BF24)),LOWER(TEXT(BF24,"General")),IF((ISTEXT(BF24)),"CEE_To_VC_"&amp;BE24&amp;"_"&amp;BF24,"")),IF((ISTEXT(BF24)),"CEE_From_VC_"&amp;BE24&amp;"_"&amp;BF24,"")),IF(BC24="CUSTOM",IF(BH24&lt;&gt;"",BH24,""),"")))</f>
        <v/>
      </c>
      <c r="P24" s="56" t="str">
        <f t="shared" ref="P24" si="193">IF(OR(BC24="SNS",BC24="OPR"),IF(BG24&lt;&gt;"",BG24,""),IF(BC24="RBT",BD24,IF(BC24="CUSTOM",IF(BG24&lt;&gt;"",BG24,""),"")))</f>
        <v/>
      </c>
      <c r="Q24" s="56" t="str">
        <f t="shared" ref="Q24" si="194">IF(BC24="OPR",IF(BV24&lt;&gt;"",BV24,"NONSIM"),IF(BC24="RBT",IF(BH24&lt;&gt;"",BH24,""),IF(BC24="SNS",IF(BH24&lt;&gt;"",BH24,L24),IF(OR(BC24="PLC",BC24="PSF"),IF(BG24&lt;&gt;"",BG24,""),""))))</f>
        <v>SxxAAyBKz:</v>
      </c>
      <c r="R24" s="56" t="str">
        <f t="shared" ref="R24" si="195">IF(OR(BC24="PLC",BC24="PSF",BC24="OPR"),IF(BH24&lt;&gt;"",BH24,""),IF(BC24="RBT",IF(BI24&lt;&gt;"",BI24,""),IF(BC24="SNS",IF(BI24&lt;&gt;"",BI24,"PHOTOELECTRIC"),"")))</f>
        <v>SxxAAyBKz:I.Data.0|SxxAAyBKz:I.Data.1|SxxAAyBKz:I.Data.2|SxxAAyBKz:I.Data.3|SxxAAyBKz:I.Data.4|SxxAAyBKz:I.Data.5|SxxAAyBKz:I.Data.6|SxxAAyBKz:I.Data.7|SxxAAyBKz:O.Data.0|SxxAAyBKz:O.Data.1|SxxAAyBKz:O.Data.2|SxxAAyBKz:O.Data.3|SxxAAyBKz:O.Data.4|SxxAAyBKz:O.Data.5|SxxAAyBKz:O.Data.6|SxxAAyBKz:O.Data.7</v>
      </c>
      <c r="S24" s="56" t="str">
        <f t="shared" ref="S24" si="196">IF(OR(BC24="PLC",BC24="PSF",BC24="OPR",AND(BC24="CUSTOM",OR(BU24="PLC",BU24="PSF"))),IF(BI24&lt;&gt;"",BI24,""),IF(BC24="SNS",IF(BJ24&lt;&gt;"",BJ24,""),""))</f>
        <v/>
      </c>
      <c r="T24" s="56" t="str">
        <f>IF(AND(Header_PLC_Type="CLX",BC24="PSF",BB24="EXIT"),CJ24&amp;CK24,IF(BC24="OPR",IF(BJ24&lt;&gt;"",BJ24,""),""))</f>
        <v/>
      </c>
      <c r="U24" s="56" t="str">
        <f t="shared" ref="U24" si="197">IF(OR(BC24="SNS",BC24="OPR"),IF(BK24&lt;&gt;"",BK24,""),"")</f>
        <v/>
      </c>
      <c r="V24" s="56" t="str">
        <f t="shared" ref="V24" si="198">IF(OR(BC24="SNS",BC24="OPR"),IF(BL24&lt;&gt;"",BL24,""),"")</f>
        <v/>
      </c>
      <c r="W24" s="56"/>
      <c r="X24" s="56"/>
      <c r="Y24" s="56"/>
      <c r="Z24" s="56" t="str">
        <f t="shared" ref="Z24" si="199">IF(BP24="","",BP24)</f>
        <v/>
      </c>
      <c r="AA24" s="56" t="str">
        <f t="shared" si="160"/>
        <v/>
      </c>
      <c r="AB24" s="56" t="str">
        <f t="shared" si="161"/>
        <v>ToolPrototype</v>
      </c>
      <c r="AC24" s="56" t="str">
        <f t="shared" ref="AC24" si="200">IF(ISBLANK(BT24),"","Optional")</f>
        <v/>
      </c>
      <c r="AD24" s="56" t="str">
        <f t="shared" si="163"/>
        <v/>
      </c>
      <c r="AE24" s="56" t="str">
        <f t="shared" si="164"/>
        <v/>
      </c>
      <c r="AF24" s="56" t="str">
        <f t="shared" si="165"/>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4" s="56" t="str">
        <f t="shared" si="166"/>
        <v/>
      </c>
      <c r="AH24" s="56" t="str">
        <f t="shared" si="167"/>
        <v/>
      </c>
      <c r="AI24" s="56" t="str">
        <f t="shared" si="168"/>
        <v/>
      </c>
      <c r="AJ24" s="56" t="str">
        <f t="shared" si="169"/>
        <v/>
      </c>
      <c r="AK24" s="56" t="str">
        <f t="shared" si="170"/>
        <v/>
      </c>
      <c r="AL24" s="56" t="str">
        <f t="shared" si="171"/>
        <v/>
      </c>
      <c r="AM24" s="56" t="str">
        <f t="shared" si="172"/>
        <v/>
      </c>
      <c r="AN24" s="56" t="str">
        <f t="shared" ref="AN24" si="201">IF(BR24&lt;&gt;"",BR24,"")</f>
        <v/>
      </c>
      <c r="AO24" s="56" t="str">
        <f t="shared" ref="AO24" si="202">IF(BS24&lt;&gt;"",BS24,"")</f>
        <v/>
      </c>
      <c r="AP24" s="56" t="str">
        <f t="shared" ref="AP24" si="203">IF(BC24&lt;&gt;"CUSTOM",BC24,BU24)</f>
        <v>PLC</v>
      </c>
      <c r="AQ24" s="56" t="str">
        <f t="shared" ref="AQ24" si="204">BB24</f>
        <v>EXIT</v>
      </c>
      <c r="AR24" s="39" t="s">
        <v>127</v>
      </c>
      <c r="AT24" s="44" t="str">
        <f t="shared" ref="AT24" si="205">IF(Header_PLC_Type="CLX",IF(CP24&lt;&gt;"",CP24,"&lt;noType&gt;"),IF(LEFT(Header_PLC_Type,2)="S7",IF(CD24&lt;&gt;"",CD24,"&lt;noType&gt;"),"&lt;noPLC&gt;"))</f>
        <v>DINT</v>
      </c>
      <c r="AU24" s="23">
        <f t="shared" ref="AU24" si="206">IF(OR(BC24="PLC",BC24="PSF"),CA24,"")</f>
        <v>0</v>
      </c>
      <c r="AV24" s="23" t="str">
        <f t="shared" ref="AV24" si="207">IF(OR(BC24="PLC",BC24="PSF"),IF(AT24="BOOL",F24,IF(AT24="BYTE",F24&amp;"B",IF(OR(AT24="WORD",AT24="INT"),F24&amp;"W",IF(OR(AT24="DWORD",AT24="DINT",AT24="REAL"),F24&amp;"D","&lt;invalid&gt;")))),"")</f>
        <v>ID</v>
      </c>
      <c r="AW24" s="23" t="str">
        <f t="shared" ref="AW24" si="208">IF(OR(BC24="PLC",BC24="PSF"),""&amp;AV24&amp;IF(AT24="BOOL",BY24&amp;"."&amp;BZ24,BY24)&amp; IF(CA24&lt;&gt;"",": &lt;"&amp;CA24&amp;"&gt; - ",": "),"")</f>
        <v xml:space="preserve">ID: </v>
      </c>
      <c r="AX24" s="23" t="str">
        <f>IF(OR(BC24="PLC",BC24="PSF"),IF(AND(BB24="EXIT",BC24="PSF"),CH24&amp;SUBSTITUTE(CJ24,":","_")&amp;CK24,CJ24&amp;CK24),"")</f>
        <v>SxxAAyBKz:I.Fault</v>
      </c>
      <c r="AY24" s="36" t="str">
        <f>IF(OR(BC24="PLC",BC24="PSF"),IF(CM24&lt;&gt;"",CM24 &amp; ": &lt;" &amp; CN24&amp;CO24 &amp; "&gt; - ","Controller: &lt;"&amp;CJ24&amp;CK24&amp;"&gt; - "),"")</f>
        <v xml:space="preserve">Controller: &lt;SxxAAyBKz:I.Fault&gt; - </v>
      </c>
      <c r="BB24" s="42" t="s">
        <v>17</v>
      </c>
      <c r="BC24" t="s">
        <v>16</v>
      </c>
      <c r="BD24" t="str">
        <f>Header_Config01</f>
        <v>AB_RACKx_SLOTa</v>
      </c>
      <c r="BG24" t="str">
        <f>Header_LB_Unique_ID&amp;":"</f>
        <v>SxxAAyBKz:</v>
      </c>
      <c r="BH24" t="str">
        <f>Prep!$N$2</f>
        <v>SxxAAyBKz:I.Data.0|SxxAAyBKz:I.Data.1|SxxAAyBKz:I.Data.2|SxxAAyBKz:I.Data.3|SxxAAyBKz:I.Data.4|SxxAAyBKz:I.Data.5|SxxAAyBKz:I.Data.6|SxxAAyBKz:I.Data.7|SxxAAyBKz:O.Data.0|SxxAAyBKz:O.Data.1|SxxAAyBKz:O.Data.2|SxxAAyBKz:O.Data.3|SxxAAyBKz:O.Data.4|SxxAAyBKz:O.Data.5|SxxAAyBKz:O.Data.6|SxxAAyBKz:O.Data.7</v>
      </c>
      <c r="BV24" s="30" t="s">
        <v>264</v>
      </c>
      <c r="BY24" s="42"/>
      <c r="CB24" s="42"/>
      <c r="CE24" s="30"/>
      <c r="CH24" s="42"/>
      <c r="CJ24" t="str">
        <f>Header_LB_Unique_ID&amp;":I."</f>
        <v>SxxAAyBKz:I.</v>
      </c>
      <c r="CK24" t="str">
        <f>IF(Prep!$E$3="","Fault","Data[0]")</f>
        <v>Fault</v>
      </c>
      <c r="CN24" s="30"/>
      <c r="CP24" t="s">
        <v>272</v>
      </c>
      <c r="CQ24" s="40"/>
      <c r="CR24" s="30" t="str">
        <f>Header_LB_Unique_ID&amp;" Fault"</f>
        <v>SxxAAyBKz Fault</v>
      </c>
    </row>
    <row r="25" spans="2:96" x14ac:dyDescent="0.35">
      <c r="B25" s="4" t="str">
        <f t="shared" si="140"/>
        <v>IO_BLOCK_SxxAAyBKz</v>
      </c>
      <c r="C25" s="4"/>
      <c r="D25" s="4" t="str">
        <f t="shared" si="141"/>
        <v>To_SIM_CommOk</v>
      </c>
      <c r="E25" s="4" t="str">
        <f t="shared" si="142"/>
        <v>LBS_SxxAAyBKz_CommOk</v>
      </c>
      <c r="F25" s="4" t="str">
        <f t="shared" si="143"/>
        <v>I</v>
      </c>
      <c r="G25" s="4" t="str">
        <f t="shared" si="144"/>
        <v/>
      </c>
      <c r="H25" s="4" t="str">
        <f t="shared" si="145"/>
        <v/>
      </c>
      <c r="I25" s="4" t="str">
        <f t="shared" si="146"/>
        <v/>
      </c>
      <c r="J25" s="4"/>
      <c r="K25" s="56" t="str">
        <f t="shared" si="147"/>
        <v>BOOL</v>
      </c>
      <c r="L25" s="56" t="str">
        <f t="shared" si="148"/>
        <v>TOOLING\SxxAAy</v>
      </c>
      <c r="M25" s="56" t="str">
        <f t="shared" si="149"/>
        <v>STELLANTIS\Common\ToolPrototype\Devices</v>
      </c>
      <c r="N25" s="56" t="str">
        <f t="shared" si="150"/>
        <v>STELLANTIS_EIP_AB1732_IO_BLOCK_ENET_8IN_8OUT.v00</v>
      </c>
      <c r="O25" s="56" t="str">
        <f t="shared" si="151"/>
        <v/>
      </c>
      <c r="P25" s="56" t="str">
        <f t="shared" si="152"/>
        <v/>
      </c>
      <c r="Q25" s="56" t="str">
        <f t="shared" si="153"/>
        <v/>
      </c>
      <c r="R25" s="56" t="str">
        <f t="shared" si="154"/>
        <v/>
      </c>
      <c r="S25" s="56" t="str">
        <f t="shared" si="155"/>
        <v/>
      </c>
      <c r="T25" s="56" t="str">
        <f>IF(AND(Header_PLC_Type="CLX",BC25="PSF",BB25="EXIT"),CJ25&amp;CK25,IF(BC25="OPR",IF(BJ25&lt;&gt;"",BJ25,""),""))</f>
        <v/>
      </c>
      <c r="U25" s="56" t="str">
        <f t="shared" si="157"/>
        <v/>
      </c>
      <c r="V25" s="56" t="str">
        <f t="shared" si="158"/>
        <v/>
      </c>
      <c r="W25" s="56"/>
      <c r="X25" s="56"/>
      <c r="Y25" s="56"/>
      <c r="Z25" s="56" t="str">
        <f t="shared" si="159"/>
        <v/>
      </c>
      <c r="AA25" s="56" t="str">
        <f t="shared" si="160"/>
        <v/>
      </c>
      <c r="AB25" s="56" t="str">
        <f t="shared" si="161"/>
        <v>ToolPrototype</v>
      </c>
      <c r="AC25" s="56" t="str">
        <f t="shared" si="162"/>
        <v/>
      </c>
      <c r="AD25" s="56" t="str">
        <f t="shared" si="163"/>
        <v/>
      </c>
      <c r="AE25" s="56" t="str">
        <f t="shared" si="164"/>
        <v/>
      </c>
      <c r="AF25" s="56" t="str">
        <f t="shared" si="165"/>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5" s="56" t="str">
        <f t="shared" si="166"/>
        <v/>
      </c>
      <c r="AH25" s="56" t="str">
        <f t="shared" si="167"/>
        <v/>
      </c>
      <c r="AI25" s="56" t="str">
        <f t="shared" si="168"/>
        <v/>
      </c>
      <c r="AJ25" s="56" t="str">
        <f t="shared" si="169"/>
        <v/>
      </c>
      <c r="AK25" s="56" t="str">
        <f t="shared" si="170"/>
        <v/>
      </c>
      <c r="AL25" s="56" t="str">
        <f t="shared" si="171"/>
        <v/>
      </c>
      <c r="AM25" s="56" t="str">
        <f t="shared" si="172"/>
        <v/>
      </c>
      <c r="AN25" s="56" t="str">
        <f t="shared" si="173"/>
        <v/>
      </c>
      <c r="AO25" s="56" t="str">
        <f t="shared" si="174"/>
        <v/>
      </c>
      <c r="AP25" s="56" t="str">
        <f t="shared" si="175"/>
        <v>LBS</v>
      </c>
      <c r="AQ25" s="56" t="str">
        <f t="shared" si="176"/>
        <v>EXIT</v>
      </c>
      <c r="AR25" s="39" t="s">
        <v>127</v>
      </c>
      <c r="AT25" s="44" t="str">
        <f t="shared" si="177"/>
        <v>BOOL</v>
      </c>
      <c r="AU25" s="23" t="str">
        <f t="shared" si="178"/>
        <v/>
      </c>
      <c r="AV25" s="23" t="str">
        <f t="shared" si="179"/>
        <v/>
      </c>
      <c r="AW25" s="23" t="str">
        <f t="shared" si="180"/>
        <v/>
      </c>
      <c r="AX25" s="23" t="str">
        <f>IF(OR(BC25="PLC",BC25="PSF"),IF(AND(BB25="EXIT",BC25="PSF"),CH25&amp;SUBSTITUTE(CJ25,":","_")&amp;CK25,CJ25&amp;CK25),"")</f>
        <v/>
      </c>
      <c r="AY25" s="36" t="str">
        <f>IF(OR(BC25="PLC",BC25="PSF"),IF(CM25&lt;&gt;"",CM25 &amp; ": &lt;" &amp; CN25&amp;CO25 &amp; "&gt; - ","Controller: &lt;"&amp;CJ25&amp;CK25&amp;"&gt; - "),"")</f>
        <v/>
      </c>
      <c r="BB25" s="42" t="s">
        <v>17</v>
      </c>
      <c r="BC25" t="s">
        <v>61</v>
      </c>
      <c r="BD25" t="str">
        <f>"LBS_"&amp;Header_LB_Unique_ID&amp;"_CommOk"</f>
        <v>LBS_SxxAAyBKz_CommOk</v>
      </c>
      <c r="BE25" t="s">
        <v>62</v>
      </c>
      <c r="BU25" t="s">
        <v>99</v>
      </c>
      <c r="BV25" s="30" t="s">
        <v>249</v>
      </c>
      <c r="BY25" s="42"/>
      <c r="CB25" s="42"/>
      <c r="CE25" s="30"/>
      <c r="CH25" s="42"/>
      <c r="CN25" s="30"/>
      <c r="CP25" t="s">
        <v>12</v>
      </c>
      <c r="CQ25" s="40"/>
      <c r="CR25" s="30"/>
    </row>
    <row r="26" spans="2:96" x14ac:dyDescent="0.35">
      <c r="B26" s="4" t="str">
        <f t="shared" ref="B26" si="209">IF(LEN(BT26)=0,Header_LB_Name,"&lt;BLANK&gt;")</f>
        <v>IO_BLOCK_SxxAAyBKz</v>
      </c>
      <c r="C26" s="4"/>
      <c r="D26" s="4" t="str">
        <f t="shared" ref="D26" si="210">IF(BC26="CUSTOM",BV26,IF(BB26="ENTRY","From_",IF(BB26="EXIT","To_","&lt;invalid&gt;"))&amp;IF(OR(BC26="RBT",BC26="KEY",BC26="SNS"),IF(BE26="",BC26,BC26&amp;"_"&amp;BE26),IF(BC26="OPR",IF(BE26="",BC26&amp;"_"&amp;BD26,BC26&amp;"_"&amp;BE26),IF(BC26="LBS",IF(BE26="",BD26,BE26),BC26)))&amp;"_"&amp;IF(BC26="OPR",IF(BB26="ENTRY","end",IF(BB26="EXIT","start","&lt;invalid&gt;")),BV26))</f>
        <v>To_SIM_OutputPwrOk</v>
      </c>
      <c r="E26" s="4" t="str">
        <f t="shared" ref="E26" si="211">IF(OR(BC26="PLC",BC26="PSF"),IF(Header_PLC_Type="CLX",AX26,IF(LEFT(Header_PLC_Type,2)="S7",AU26,"&lt;invalid PLC type&gt;")),IF(BB26="ENTRY",IF(BC26="LBS",IF(BD26&lt;&gt;"",IF(BF26="",BC26&amp;"_"&amp;BD26&amp;"_To_"&amp;B26&amp;"_"&amp;BV26,BC26&amp;"_"&amp;BD26&amp;"_To_"&amp;BF26&amp;"_"&amp;BV26),"&lt;missing other LB/group name&gt;"),IF(OR(BC26="SNS",BC26="KEY"),IF(BD26&lt;&gt;"",BC26&amp;"_"&amp;BD26&amp;"_"&amp;BV26,"&lt;missing unique identifier&gt;"),IF(OR(BC26="RBT",BC26="OPR"),IF(BD26&lt;&gt;"",BD26&amp;"_"&amp;IF(BC26="OPR","end",IF(BG26&lt;&gt;"",BG26,BV26)),"&lt;missing unique identifier&gt;"),IF(BC26="CUSTOM",BD26,"&lt;invalid connection&gt;")))),IF(BB26="EXIT",IF(BC26="LBS",IF(BD26&lt;&gt;"",BC26&amp;"_"&amp;B26&amp;"_To_"&amp;BD26&amp;"_"&amp;BV26,"&lt;missing other LB/group name&gt;"),IF(OR(BC26="RBT",BC26="OPR"),IF(BD26&lt;&gt;"",BD26&amp;"_"&amp;IF(BC26="OPR","start",IF(BG26&lt;&gt;"",BG26,BV26)),"&lt;missing unique identifier&gt;"),IF(BC26="CUSTOM",BD26,"&lt;invalid connection (sensor or key signal can't be exit)&gt;"))),"&lt;invalid entry/exit&gt;")))</f>
        <v>LBS_SxxAAyBKz_OutputPwrOk</v>
      </c>
      <c r="F26" s="4" t="str">
        <f t="shared" ref="F26" si="212">IF(BC26="CUSTOM",BE26,IF(OR(AND(BB26="ENTRY",OR(BC26="PLC",BC26="PSF")),AND(BB26="EXIT",OR(BC26="RBT",BC26="OPR"))),"Q","I"))</f>
        <v>I</v>
      </c>
      <c r="G26" s="4" t="str">
        <f t="shared" ref="G26" si="213">IF(Header_PLC_Type="S7-ADD",IF(OR(BC26="PSF",BC26="PLC"),IF(BY26&lt;&gt;"",IF(AT26="BOOL",BY26&amp;"."&amp;BZ26,BY26),"&lt;missing&gt;"),""),"")</f>
        <v/>
      </c>
      <c r="H26" s="4" t="str">
        <f t="shared" ref="H26" si="214">IF(OR(BC26="PLC",BC26="PSF"),IF(Header_PLC_Type="CLX",AY26&amp;CR26,IF(LEFT(Header_PLC_Type,2)="S7",AW26&amp;CE26,"&lt;invalid PLC type&gt;")),IF(Header_PLC_Type="CLX",IF(CR26&lt;&gt;"",CR26,""),IF(LEFT(Header_PLC_Type,2)="S7",IF(CE26&lt;&gt;"",CE26,""),"&lt;invalid PLC type&gt;")))</f>
        <v/>
      </c>
      <c r="I26" s="4" t="str">
        <f t="shared" ref="I26" si="215">IF(OR(BC26="PLC",BC26="PSF"),BD26,IF(AND(BC26="CUSTOM",BF26&lt;&gt;""),BF26,""))</f>
        <v/>
      </c>
      <c r="J26" s="4"/>
      <c r="K26" s="56" t="str">
        <f t="shared" ref="K26" si="216">AT26</f>
        <v>BOOL</v>
      </c>
      <c r="L26" s="56" t="str">
        <f t="shared" si="148"/>
        <v>TOOLING\SxxAAy</v>
      </c>
      <c r="M26" s="56" t="str">
        <f t="shared" si="149"/>
        <v>STELLANTIS\Common\ToolPrototype\Devices</v>
      </c>
      <c r="N26" s="56" t="str">
        <f t="shared" si="150"/>
        <v>STELLANTIS_EIP_AB1732_IO_BLOCK_ENET_8IN_8OUT.v00</v>
      </c>
      <c r="O26" s="56" t="str">
        <f t="shared" ref="O26" si="217">IF(AND(OR(BC26="SNS",BC26="OPR",BC26="RBT"),BF26&lt;&gt;""),BF26,IF(OR(BC26="PSF",BC26="PLC"),IF(BB26="ENTRY",IF(OR(ISLOGICAL(BF26),ISNUMBER(BF26)),LOWER(TEXT(BF26,"General")),IF((ISTEXT(BF26)),"CEE_To_VC_"&amp;BE26&amp;"_"&amp;BF26,"")),IF((ISTEXT(BF26)),"CEE_From_VC_"&amp;BE26&amp;"_"&amp;BF26,"")),IF(BC26="CUSTOM",IF(BH26&lt;&gt;"",BH26,""),"")))</f>
        <v/>
      </c>
      <c r="P26" s="56" t="str">
        <f t="shared" ref="P26" si="218">IF(OR(BC26="SNS",BC26="OPR"),IF(BG26&lt;&gt;"",BG26,""),IF(BC26="RBT",BD26,IF(BC26="CUSTOM",IF(BG26&lt;&gt;"",BG26,""),"")))</f>
        <v/>
      </c>
      <c r="Q26" s="56" t="str">
        <f t="shared" ref="Q26" si="219">IF(BC26="OPR",IF(BV26&lt;&gt;"",BV26,"NONSIM"),IF(BC26="RBT",IF(BH26&lt;&gt;"",BH26,""),IF(BC26="SNS",IF(BH26&lt;&gt;"",BH26,L26),IF(OR(BC26="PLC",BC26="PSF"),IF(BG26&lt;&gt;"",BG26,""),""))))</f>
        <v/>
      </c>
      <c r="R26" s="56" t="str">
        <f t="shared" ref="R26" si="220">IF(OR(BC26="PLC",BC26="PSF",BC26="OPR"),IF(BH26&lt;&gt;"",BH26,""),IF(BC26="RBT",IF(BI26&lt;&gt;"",BI26,""),IF(BC26="SNS",IF(BI26&lt;&gt;"",BI26,"PHOTOELECTRIC"),"")))</f>
        <v/>
      </c>
      <c r="S26" s="56" t="str">
        <f t="shared" ref="S26" si="221">IF(OR(BC26="PLC",BC26="PSF",BC26="OPR",AND(BC26="CUSTOM",OR(BU26="PLC",BU26="PSF"))),IF(BI26&lt;&gt;"",BI26,""),IF(BC26="SNS",IF(BJ26&lt;&gt;"",BJ26,""),""))</f>
        <v/>
      </c>
      <c r="T26" s="56" t="str">
        <f>IF(AND(Header_PLC_Type="CLX",BC26="PSF",BB26="EXIT"),CJ26&amp;CK26,IF(BC26="OPR",IF(BJ26&lt;&gt;"",BJ26,""),""))</f>
        <v/>
      </c>
      <c r="U26" s="56" t="str">
        <f t="shared" ref="U26" si="222">IF(OR(BC26="SNS",BC26="OPR"),IF(BK26&lt;&gt;"",BK26,""),"")</f>
        <v/>
      </c>
      <c r="V26" s="56" t="str">
        <f t="shared" ref="V26" si="223">IF(OR(BC26="SNS",BC26="OPR"),IF(BL26&lt;&gt;"",BL26,""),"")</f>
        <v/>
      </c>
      <c r="W26" s="56"/>
      <c r="X26" s="56"/>
      <c r="Y26" s="56"/>
      <c r="Z26" s="56" t="str">
        <f t="shared" ref="Z26" si="224">IF(BP26="","",BP26)</f>
        <v/>
      </c>
      <c r="AA26" s="56" t="str">
        <f t="shared" si="160"/>
        <v/>
      </c>
      <c r="AB26" s="56" t="str">
        <f t="shared" si="161"/>
        <v>ToolPrototype</v>
      </c>
      <c r="AC26" s="56" t="str">
        <f t="shared" ref="AC26" si="225">IF(ISBLANK(BT26),"","Optional")</f>
        <v/>
      </c>
      <c r="AD26" s="56" t="str">
        <f t="shared" si="163"/>
        <v/>
      </c>
      <c r="AE26" s="56" t="str">
        <f t="shared" si="164"/>
        <v/>
      </c>
      <c r="AF26" s="56" t="str">
        <f t="shared" si="165"/>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c r="AG26" s="56" t="str">
        <f t="shared" si="166"/>
        <v/>
      </c>
      <c r="AH26" s="56" t="str">
        <f t="shared" si="167"/>
        <v/>
      </c>
      <c r="AI26" s="56" t="str">
        <f t="shared" si="168"/>
        <v/>
      </c>
      <c r="AJ26" s="56" t="str">
        <f t="shared" si="169"/>
        <v/>
      </c>
      <c r="AK26" s="56" t="str">
        <f t="shared" si="170"/>
        <v/>
      </c>
      <c r="AL26" s="56" t="str">
        <f t="shared" si="171"/>
        <v/>
      </c>
      <c r="AM26" s="56" t="str">
        <f t="shared" si="172"/>
        <v/>
      </c>
      <c r="AN26" s="56" t="str">
        <f t="shared" ref="AN26" si="226">IF(BR26&lt;&gt;"",BR26,"")</f>
        <v/>
      </c>
      <c r="AO26" s="56" t="str">
        <f t="shared" ref="AO26" si="227">IF(BS26&lt;&gt;"",BS26,"")</f>
        <v/>
      </c>
      <c r="AP26" s="56" t="str">
        <f t="shared" ref="AP26" si="228">IF(BC26&lt;&gt;"CUSTOM",BC26,BU26)</f>
        <v>LBS</v>
      </c>
      <c r="AQ26" s="56" t="str">
        <f t="shared" ref="AQ26" si="229">BB26</f>
        <v>EXIT</v>
      </c>
      <c r="AR26" s="39" t="s">
        <v>127</v>
      </c>
      <c r="AT26" s="44" t="str">
        <f t="shared" ref="AT26" si="230">IF(Header_PLC_Type="CLX",IF(CP26&lt;&gt;"",CP26,"&lt;noType&gt;"),IF(LEFT(Header_PLC_Type,2)="S7",IF(CD26&lt;&gt;"",CD26,"&lt;noType&gt;"),"&lt;noPLC&gt;"))</f>
        <v>BOOL</v>
      </c>
      <c r="AU26" s="23" t="str">
        <f t="shared" ref="AU26" si="231">IF(OR(BC26="PLC",BC26="PSF"),CA26,"")</f>
        <v/>
      </c>
      <c r="AV26" s="23" t="str">
        <f t="shared" ref="AV26" si="232">IF(OR(BC26="PLC",BC26="PSF"),IF(AT26="BOOL",F26,IF(AT26="BYTE",F26&amp;"B",IF(OR(AT26="WORD",AT26="INT"),F26&amp;"W",IF(OR(AT26="DWORD",AT26="DINT",AT26="REAL"),F26&amp;"D","&lt;invalid&gt;")))),"")</f>
        <v/>
      </c>
      <c r="AW26" s="23" t="str">
        <f t="shared" ref="AW26" si="233">IF(OR(BC26="PLC",BC26="PSF"),""&amp;AV26&amp;IF(AT26="BOOL",BY26&amp;"."&amp;BZ26,BY26)&amp; IF(CA26&lt;&gt;"",": &lt;"&amp;CA26&amp;"&gt; - ",": "),"")</f>
        <v/>
      </c>
      <c r="AX26" s="23" t="str">
        <f>IF(OR(BC26="PLC",BC26="PSF"),IF(AND(BB26="EXIT",BC26="PSF"),CH26&amp;SUBSTITUTE(CJ26,":","_")&amp;CK26,CJ26&amp;CK26),"")</f>
        <v/>
      </c>
      <c r="AY26" s="36" t="str">
        <f>IF(OR(BC26="PLC",BC26="PSF"),IF(CM26&lt;&gt;"",CM26 &amp; ": &lt;" &amp; CN26&amp;CO26 &amp; "&gt; - ","Controller: &lt;"&amp;CJ26&amp;CK26&amp;"&gt; - "),"")</f>
        <v/>
      </c>
      <c r="BB26" s="42" t="s">
        <v>17</v>
      </c>
      <c r="BC26" t="s">
        <v>61</v>
      </c>
      <c r="BD26" t="str">
        <f>"LBS_"&amp;Header_LB_Unique_ID&amp;"_OutputPwrOk"</f>
        <v>LBS_SxxAAyBKz_OutputPwrOk</v>
      </c>
      <c r="BE26" t="s">
        <v>62</v>
      </c>
      <c r="BU26" t="s">
        <v>99</v>
      </c>
      <c r="BV26" s="30" t="s">
        <v>289</v>
      </c>
      <c r="BY26" s="42"/>
      <c r="CB26" s="42"/>
      <c r="CE26" s="30"/>
      <c r="CH26" s="42"/>
      <c r="CN26" s="30"/>
      <c r="CP26" t="s">
        <v>12</v>
      </c>
      <c r="CQ26" s="40"/>
      <c r="CR26" s="30"/>
    </row>
    <row r="27" spans="2:96" x14ac:dyDescent="0.35">
      <c r="B27" s="4"/>
      <c r="C27" s="4"/>
      <c r="D27" s="4"/>
      <c r="E27" s="4"/>
      <c r="F27" s="4"/>
      <c r="G27" s="4"/>
      <c r="H27" s="4"/>
      <c r="I27" s="4"/>
      <c r="J27" s="4"/>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39"/>
      <c r="AT27" s="44"/>
      <c r="AU27" s="23"/>
      <c r="AV27" s="23"/>
      <c r="AW27" s="23"/>
      <c r="AX27" s="23"/>
      <c r="AY27" s="36"/>
      <c r="BB27" s="42"/>
      <c r="BV27" s="30"/>
      <c r="BY27" s="42"/>
      <c r="CB27" s="42"/>
      <c r="CE27" s="30"/>
      <c r="CH27" s="42"/>
      <c r="CN27" s="30"/>
      <c r="CQ27" s="40"/>
      <c r="CR27" s="30"/>
    </row>
  </sheetData>
  <conditionalFormatting sqref="BF14:BF27">
    <cfRule type="expression" dxfId="25" priority="296">
      <formula>AND(OR(AND($BC14="LBS",$BB14="EXIT"),AND($BC14="CUSTOM",$BU14&lt;&gt;"PLC",$BU14&lt;&gt;"PSF")),$B14&lt;&gt;"")</formula>
    </cfRule>
  </conditionalFormatting>
  <conditionalFormatting sqref="CL14:CL27 CH14:CI27">
    <cfRule type="expression" dxfId="24" priority="318">
      <formula>AND(OR($BB14="ENTRY",$BC14&lt;&gt;"PSF"),$B14&lt;&gt;"")</formula>
    </cfRule>
  </conditionalFormatting>
  <conditionalFormatting sqref="CM14:CO27 BY14:BZ27 CJ14:CK27">
    <cfRule type="expression" dxfId="23" priority="321">
      <formula>AND($BC14&lt;&gt;"PLC",$BC14&lt;&gt;"PSF",$B14&lt;&gt;"")</formula>
    </cfRule>
  </conditionalFormatting>
  <conditionalFormatting sqref="BH14:BI27">
    <cfRule type="expression" dxfId="22" priority="298">
      <formula>AND($BC14&lt;&gt;"PLC",$BC14&lt;&gt;"PSF",$BC14&lt;&gt;"SNS",$BC14&lt;&gt;"OPR",$BC14&lt;&gt;"RBT",$BC14&lt;&gt;"CUSTOM",$B14&lt;&gt;"")</formula>
    </cfRule>
  </conditionalFormatting>
  <conditionalFormatting sqref="BU14:BU27">
    <cfRule type="expression" dxfId="21" priority="304">
      <formula>AND($BC14&lt;&gt;"CUSTOM",$B14&lt;&gt;"")</formula>
    </cfRule>
  </conditionalFormatting>
  <conditionalFormatting sqref="BG14:BG27">
    <cfRule type="expression" dxfId="20" priority="297">
      <formula>AND($BC14&lt;&gt;"PLC",$BC14&lt;&gt;"PSF",$BC14&lt;&gt;"RBT",$BC14&lt;&gt;"OPR",$BC14&lt;&gt;"SNS",$BC14&lt;&gt;"CUSTOM",$B14&lt;&gt;"")</formula>
    </cfRule>
  </conditionalFormatting>
  <conditionalFormatting sqref="BT14:BT27">
    <cfRule type="expression" dxfId="19" priority="8">
      <formula>NOT(ISBLANK($BT14))</formula>
    </cfRule>
  </conditionalFormatting>
  <conditionalFormatting sqref="BJ14:BL27">
    <cfRule type="expression" dxfId="18" priority="300">
      <formula>AND($BC14&lt;&gt;"SNS",$BC14&lt;&gt;"OPR",$B14&lt;&gt;"")</formula>
    </cfRule>
  </conditionalFormatting>
  <conditionalFormatting sqref="B14:J27">
    <cfRule type="expression" dxfId="17" priority="243">
      <formula>AND($BB14="ENTRY",$BC14="PLC")</formula>
    </cfRule>
    <cfRule type="expression" dxfId="16" priority="245">
      <formula>AND($BB14="EXIT",$BC14="PLC")</formula>
    </cfRule>
    <cfRule type="expression" dxfId="15" priority="247">
      <formula>AND($BB14="ENTRY",$BC14="PSF")</formula>
    </cfRule>
    <cfRule type="expression" dxfId="14" priority="249">
      <formula>AND($BB14="EXIT",$BC14="PSF")</formula>
    </cfRule>
    <cfRule type="expression" dxfId="13" priority="250">
      <formula>AND($BB14="ENTRY",$BC14="RBT")</formula>
    </cfRule>
    <cfRule type="expression" dxfId="12" priority="251">
      <formula>AND($BB14="EXIT",$BC14="RBT")</formula>
    </cfRule>
    <cfRule type="expression" dxfId="11" priority="252">
      <formula>AND($BB14="ENTRY",$BC14="OPR")</formula>
    </cfRule>
    <cfRule type="expression" dxfId="10" priority="253">
      <formula>AND($BB14="EXIT",$BC14="OPR")</formula>
    </cfRule>
    <cfRule type="expression" dxfId="9" priority="255">
      <formula>AND($BB14="ENTRY",$BC14="LBS")</formula>
    </cfRule>
    <cfRule type="expression" dxfId="8" priority="256">
      <formula>AND($BB14="EXIT",$BC14="LBS")</formula>
    </cfRule>
    <cfRule type="expression" dxfId="7" priority="257">
      <formula>AND($BB14="ENTRY",$BC14="SNS")</formula>
    </cfRule>
    <cfRule type="expression" dxfId="6" priority="258">
      <formula>AND($BB14="ENTRY",$BC14="KEY")</formula>
    </cfRule>
    <cfRule type="expression" dxfId="5" priority="293">
      <formula>AND($BB14="ENTRY",$BC14="CUSTOM")</formula>
    </cfRule>
    <cfRule type="expression" dxfId="4" priority="294">
      <formula>AND($BB14="EXIT",$BC14="CUSTOM")</formula>
    </cfRule>
  </conditionalFormatting>
  <conditionalFormatting sqref="B14:CR27">
    <cfRule type="expression" dxfId="3" priority="4">
      <formula>$B14=""</formula>
    </cfRule>
  </conditionalFormatting>
  <conditionalFormatting sqref="AT14:CR27">
    <cfRule type="expression" dxfId="2" priority="3">
      <formula>AND(OR($BB14&lt;&gt;$BB13,$BC14&lt;&gt;$BC13),AT$13&lt;&gt;"x")</formula>
    </cfRule>
  </conditionalFormatting>
  <conditionalFormatting sqref="BM14:BO27">
    <cfRule type="expression" dxfId="1" priority="7">
      <formula>AND(TRUE,$B14&lt;&gt;"")</formula>
    </cfRule>
  </conditionalFormatting>
  <conditionalFormatting sqref="AT27:CR27">
    <cfRule type="expression" dxfId="0" priority="323">
      <formula>AND(OR($BB27&lt;&gt;$BB25,$BC27&lt;&gt;$BC25),AT$13&lt;&gt;"x")</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BB14:BB17 BB18:BB26</xm:sqref>
        </x14:dataValidation>
        <x14:dataValidation type="list" allowBlank="1" showInputMessage="1" showErrorMessage="1" xr:uid="{00000000-0002-0000-0200-000001000000}">
          <x14:formula1>
            <xm:f>Lists!$C$3:$C$10</xm:f>
          </x14:formula1>
          <xm:sqref>BC14:BC17 BC18:BC26</xm:sqref>
        </x14:dataValidation>
        <x14:dataValidation type="list" allowBlank="1" showInputMessage="1" xr:uid="{00000000-0002-0000-0200-000002000000}">
          <x14:formula1>
            <xm:f>Lists!$E$3:$E$10</xm:f>
          </x14:formula1>
          <xm:sqref>BU14:BU17 BU18:BU26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6" sqref="C6"/>
    </sheetView>
  </sheetViews>
  <sheetFormatPr defaultRowHeight="14.5" x14ac:dyDescent="0.35"/>
  <cols>
    <col min="1" max="1" width="2.81640625" customWidth="1"/>
    <col min="2" max="2" width="27" bestFit="1" customWidth="1"/>
    <col min="3" max="3" width="146.7265625" customWidth="1"/>
  </cols>
  <sheetData>
    <row r="2" spans="2:3" x14ac:dyDescent="0.35">
      <c r="C2" s="68" t="s">
        <v>208</v>
      </c>
    </row>
    <row r="4" spans="2:3" x14ac:dyDescent="0.35">
      <c r="B4" s="66" t="s">
        <v>186</v>
      </c>
      <c r="C4" s="65"/>
    </row>
    <row r="5" spans="2:3" x14ac:dyDescent="0.35">
      <c r="B5" s="66" t="s">
        <v>196</v>
      </c>
      <c r="C5" s="65"/>
    </row>
    <row r="6" spans="2:3" ht="145" x14ac:dyDescent="0.35">
      <c r="B6" s="66" t="s">
        <v>187</v>
      </c>
      <c r="C6" s="65" t="str">
        <f>"
&lt;trackeritem&gt;
"&amp;Prep!$D$21&amp;"
"&amp;Prep!$D$22&amp;"
"&amp;Prep!$D$23&amp;"
"&amp;Prep!$D$24&amp;"
"&amp;Prep!$D$25&amp;"
"&amp;Prep!$D$26&amp;"
"&amp;Prep!$D$27&amp;"
&lt;/trackeritem&gt;"</f>
        <v xml:space="preserve">
&lt;trackeritem&gt;
&lt;component&gt;STELLANTIS_EIP_AB1732_IO_BLOCK_ENET_8IN_8OUT&lt;/component&gt;
&lt;type&gt;IO Block&lt;/type&gt;
&lt;name&gt;SxxAAyBKz&lt;/name&gt;
&lt;enet_node&gt;ENET_STAT_4thSYS_ID[126]&lt;/enet_node&gt;
&lt;enet_port&gt;SxxESWy:17&lt;/enet_port&gt;
&lt;module_generic&gt;FALSE&lt;/module_generic&gt;
&lt;module_eds&gt;TRUE&lt;/module_eds&gt;
&lt;/trackeritem&gt;</v>
      </c>
    </row>
    <row r="7" spans="2:3" x14ac:dyDescent="0.35">
      <c r="B7" s="66" t="s">
        <v>189</v>
      </c>
      <c r="C7" s="65"/>
    </row>
    <row r="8" spans="2:3" x14ac:dyDescent="0.35">
      <c r="B8" s="66" t="s">
        <v>190</v>
      </c>
      <c r="C8" s="65"/>
    </row>
    <row r="9" spans="2:3" x14ac:dyDescent="0.35">
      <c r="B9" s="66" t="s">
        <v>191</v>
      </c>
      <c r="C9" s="65"/>
    </row>
    <row r="10" spans="2:3" x14ac:dyDescent="0.35">
      <c r="B10" s="66" t="s">
        <v>192</v>
      </c>
      <c r="C10" s="65"/>
    </row>
    <row r="11" spans="2:3" x14ac:dyDescent="0.35">
      <c r="B11" s="66" t="s">
        <v>193</v>
      </c>
      <c r="C11" s="65"/>
    </row>
    <row r="12" spans="2:3" x14ac:dyDescent="0.35">
      <c r="B12" s="66" t="s">
        <v>194</v>
      </c>
      <c r="C12" s="65"/>
    </row>
    <row r="13" spans="2:3" x14ac:dyDescent="0.35">
      <c r="B13" s="66" t="s">
        <v>195</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11"/>
  <sheetViews>
    <sheetView topLeftCell="A27" zoomScale="115" zoomScaleNormal="115" workbookViewId="0">
      <pane xSplit="2" topLeftCell="C1" activePane="topRight" state="frozenSplit"/>
      <selection activeCell="A34" sqref="A34"/>
      <selection pane="topRight" activeCell="D41" sqref="D41"/>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1" t="s">
        <v>304</v>
      </c>
      <c r="B2" s="17" t="s">
        <v>12</v>
      </c>
      <c r="C2" s="81" t="s">
        <v>164</v>
      </c>
      <c r="D2" s="16"/>
      <c r="E2" s="16"/>
      <c r="F2" s="16"/>
      <c r="G2" s="16"/>
      <c r="H2" s="16"/>
      <c r="I2" s="11"/>
      <c r="J2" s="11"/>
      <c r="K2" s="11"/>
      <c r="L2" s="11"/>
    </row>
    <row r="3" spans="1:12" s="15" customFormat="1" x14ac:dyDescent="0.35">
      <c r="A3" s="81" t="s">
        <v>305</v>
      </c>
      <c r="B3" s="17" t="s">
        <v>12</v>
      </c>
      <c r="C3" s="81" t="s">
        <v>164</v>
      </c>
      <c r="D3" s="16"/>
      <c r="E3" s="16"/>
      <c r="F3" s="16"/>
      <c r="G3" s="16"/>
      <c r="H3" s="16"/>
      <c r="I3" s="11"/>
      <c r="J3" s="11"/>
      <c r="K3" s="11"/>
      <c r="L3" s="11"/>
    </row>
    <row r="4" spans="1:12" s="15" customFormat="1" x14ac:dyDescent="0.35">
      <c r="A4" s="81" t="s">
        <v>299</v>
      </c>
      <c r="B4" s="17" t="s">
        <v>12</v>
      </c>
      <c r="C4" s="81" t="s">
        <v>164</v>
      </c>
      <c r="D4" s="16"/>
      <c r="E4" s="16"/>
      <c r="F4" s="16"/>
      <c r="G4" s="16"/>
      <c r="H4" s="16"/>
      <c r="I4" s="11"/>
      <c r="J4" s="11"/>
      <c r="K4" s="11"/>
      <c r="L4" s="11"/>
    </row>
    <row r="5" spans="1:12" s="15" customFormat="1" x14ac:dyDescent="0.35">
      <c r="A5" s="81" t="s">
        <v>303</v>
      </c>
      <c r="B5" s="17" t="s">
        <v>12</v>
      </c>
      <c r="C5" s="81" t="s">
        <v>164</v>
      </c>
      <c r="D5" s="16"/>
      <c r="E5" s="16"/>
      <c r="F5" s="16"/>
      <c r="G5" s="16"/>
      <c r="H5" s="16"/>
      <c r="I5" s="11"/>
      <c r="J5" s="11"/>
      <c r="K5" s="11"/>
      <c r="L5" s="11"/>
    </row>
    <row r="6" spans="1:12" s="15" customFormat="1" x14ac:dyDescent="0.35">
      <c r="A6" s="81" t="s">
        <v>258</v>
      </c>
      <c r="B6" s="17" t="s">
        <v>12</v>
      </c>
      <c r="C6" s="81" t="s">
        <v>127</v>
      </c>
      <c r="D6" s="16"/>
      <c r="E6" s="16"/>
      <c r="F6" s="16"/>
      <c r="G6" s="16"/>
      <c r="H6" s="16"/>
      <c r="I6" s="11"/>
      <c r="J6" s="11"/>
      <c r="K6" s="11"/>
      <c r="L6" s="11"/>
    </row>
    <row r="7" spans="1:12" s="15" customFormat="1" x14ac:dyDescent="0.35">
      <c r="A7" s="81" t="s">
        <v>290</v>
      </c>
      <c r="B7" s="17" t="s">
        <v>12</v>
      </c>
      <c r="C7" s="81" t="s">
        <v>127</v>
      </c>
      <c r="D7" s="16"/>
      <c r="E7" s="16"/>
      <c r="F7" s="16"/>
      <c r="G7" s="16"/>
      <c r="H7" s="16"/>
      <c r="I7" s="11"/>
      <c r="J7" s="11"/>
      <c r="K7" s="11"/>
      <c r="L7" s="11"/>
    </row>
    <row r="8" spans="1:12" s="15" customFormat="1" x14ac:dyDescent="0.35">
      <c r="A8" s="81" t="s">
        <v>291</v>
      </c>
      <c r="B8" s="17" t="s">
        <v>12</v>
      </c>
      <c r="C8" s="81" t="s">
        <v>127</v>
      </c>
      <c r="D8" s="16"/>
      <c r="E8" s="16"/>
      <c r="F8" s="16"/>
      <c r="G8" s="16"/>
      <c r="H8" s="16"/>
      <c r="I8" s="11"/>
      <c r="J8" s="11"/>
      <c r="K8" s="11"/>
      <c r="L8" s="11"/>
    </row>
    <row r="9" spans="1:12" s="15" customFormat="1" x14ac:dyDescent="0.35">
      <c r="A9" s="81" t="s">
        <v>255</v>
      </c>
      <c r="B9" s="17" t="s">
        <v>12</v>
      </c>
      <c r="C9" s="81" t="s">
        <v>127</v>
      </c>
      <c r="D9" s="16"/>
      <c r="E9" s="16"/>
      <c r="F9" s="16"/>
      <c r="G9" s="16"/>
      <c r="H9" s="16"/>
      <c r="I9" s="11"/>
      <c r="J9" s="11"/>
      <c r="K9" s="11"/>
      <c r="L9" s="11"/>
    </row>
    <row r="10" spans="1:12" s="15" customFormat="1" x14ac:dyDescent="0.35">
      <c r="A10" s="81"/>
      <c r="B10" s="17"/>
      <c r="C10" s="81"/>
      <c r="D10" s="16"/>
      <c r="E10" s="16"/>
      <c r="F10" s="16"/>
      <c r="G10" s="16"/>
      <c r="H10" s="16"/>
      <c r="I10" s="11"/>
      <c r="J10" s="11"/>
      <c r="K10" s="11"/>
      <c r="L10" s="11"/>
    </row>
    <row r="11" spans="1:12" s="15" customFormat="1" x14ac:dyDescent="0.35">
      <c r="A11" s="81"/>
      <c r="B11" s="17"/>
      <c r="C11" s="81"/>
      <c r="D11" s="16"/>
      <c r="E11" s="16"/>
      <c r="F11" s="16"/>
      <c r="G11" s="16"/>
      <c r="H11" s="16"/>
      <c r="I11" s="11"/>
      <c r="J11" s="11"/>
      <c r="K11" s="11"/>
      <c r="L11" s="11"/>
    </row>
    <row r="12" spans="1:12" s="15" customFormat="1" x14ac:dyDescent="0.35">
      <c r="A12" s="81"/>
      <c r="B12" s="17"/>
      <c r="C12" s="81"/>
      <c r="D12" s="16"/>
      <c r="E12" s="16"/>
      <c r="F12" s="16"/>
      <c r="G12" s="16"/>
      <c r="H12" s="16"/>
      <c r="I12" s="11"/>
      <c r="J12" s="11"/>
      <c r="K12" s="11"/>
      <c r="L12" s="11"/>
    </row>
    <row r="13" spans="1:12" s="15" customFormat="1" x14ac:dyDescent="0.35">
      <c r="A13" s="81"/>
      <c r="B13" s="17"/>
      <c r="C13" s="81"/>
      <c r="D13" s="16"/>
      <c r="E13" s="16"/>
      <c r="F13" s="16"/>
      <c r="G13" s="16"/>
      <c r="H13" s="16"/>
      <c r="I13" s="11"/>
      <c r="J13" s="11"/>
      <c r="K13" s="11"/>
      <c r="L13" s="11"/>
    </row>
    <row r="14" spans="1:12" x14ac:dyDescent="0.35">
      <c r="A14" s="14" t="s">
        <v>56</v>
      </c>
      <c r="B14" s="14" t="s">
        <v>31</v>
      </c>
      <c r="C14" s="14" t="s">
        <v>11</v>
      </c>
      <c r="D14" s="14" t="s">
        <v>29</v>
      </c>
      <c r="E14" s="14" t="s">
        <v>155</v>
      </c>
      <c r="F14" s="14"/>
      <c r="G14" s="14"/>
      <c r="H14" s="14"/>
      <c r="I14" s="14"/>
      <c r="J14" s="14"/>
      <c r="K14" s="14"/>
      <c r="L14" s="14"/>
    </row>
    <row r="15" spans="1:12" s="15" customFormat="1" x14ac:dyDescent="0.35">
      <c r="A15" s="81" t="s">
        <v>259</v>
      </c>
      <c r="B15" s="17" t="s">
        <v>96</v>
      </c>
      <c r="C15" s="81" t="s">
        <v>127</v>
      </c>
      <c r="D15" s="82" t="s">
        <v>247</v>
      </c>
      <c r="E15" s="81"/>
      <c r="F15" s="16"/>
      <c r="G15" s="16"/>
      <c r="H15" s="16"/>
      <c r="I15" s="16"/>
      <c r="J15" s="20"/>
      <c r="K15" s="16"/>
      <c r="L15" s="16"/>
    </row>
    <row r="16" spans="1:12" s="15" customFormat="1" x14ac:dyDescent="0.35">
      <c r="A16" s="81" t="s">
        <v>260</v>
      </c>
      <c r="B16" s="17" t="s">
        <v>12</v>
      </c>
      <c r="C16" s="81" t="s">
        <v>164</v>
      </c>
      <c r="D16" s="82" t="s">
        <v>248</v>
      </c>
      <c r="E16" s="81"/>
      <c r="F16" s="16"/>
      <c r="G16" s="16"/>
      <c r="H16" s="16"/>
      <c r="I16" s="16"/>
      <c r="J16" s="20"/>
      <c r="K16" s="16"/>
      <c r="L16" s="16"/>
    </row>
    <row r="17" spans="1:12" s="15" customFormat="1" x14ac:dyDescent="0.35">
      <c r="A17" s="81" t="s">
        <v>273</v>
      </c>
      <c r="B17" s="17" t="s">
        <v>272</v>
      </c>
      <c r="C17" s="81" t="s">
        <v>127</v>
      </c>
      <c r="D17" s="82" t="s">
        <v>274</v>
      </c>
      <c r="E17" s="81"/>
      <c r="F17" s="16"/>
      <c r="G17" s="16"/>
      <c r="H17" s="16"/>
      <c r="I17" s="16"/>
      <c r="J17" s="20"/>
      <c r="K17" s="16"/>
      <c r="L17" s="16"/>
    </row>
    <row r="18" spans="1:12" s="15" customFormat="1" x14ac:dyDescent="0.35">
      <c r="A18" s="81" t="s">
        <v>249</v>
      </c>
      <c r="B18" s="17" t="s">
        <v>12</v>
      </c>
      <c r="C18" s="81" t="s">
        <v>127</v>
      </c>
      <c r="D18" s="82" t="s">
        <v>308</v>
      </c>
      <c r="E18" s="81"/>
      <c r="F18" s="16"/>
      <c r="G18" s="16"/>
      <c r="H18" s="16"/>
      <c r="I18" s="16"/>
      <c r="J18" s="20"/>
      <c r="K18" s="16"/>
      <c r="L18" s="16"/>
    </row>
    <row r="19" spans="1:12" s="15" customFormat="1" x14ac:dyDescent="0.35">
      <c r="A19" s="81" t="s">
        <v>289</v>
      </c>
      <c r="B19" s="17" t="s">
        <v>12</v>
      </c>
      <c r="C19" s="81" t="s">
        <v>127</v>
      </c>
      <c r="D19" s="82" t="s">
        <v>309</v>
      </c>
      <c r="E19" s="81"/>
      <c r="F19" s="16"/>
      <c r="G19" s="16"/>
      <c r="H19" s="16"/>
      <c r="I19" s="16"/>
      <c r="J19" s="20"/>
      <c r="K19" s="16"/>
      <c r="L19" s="16"/>
    </row>
    <row r="20" spans="1:12" s="15" customFormat="1" x14ac:dyDescent="0.35">
      <c r="A20" s="81"/>
      <c r="B20" s="17"/>
      <c r="C20" s="81"/>
      <c r="D20" s="82"/>
      <c r="E20" s="81"/>
      <c r="F20" s="16"/>
      <c r="G20" s="16"/>
      <c r="H20" s="16"/>
      <c r="I20" s="16"/>
      <c r="J20" s="20"/>
      <c r="K20" s="16"/>
      <c r="L20" s="16"/>
    </row>
    <row r="21" spans="1:12" s="15" customFormat="1" x14ac:dyDescent="0.35">
      <c r="A21" s="81"/>
      <c r="B21" s="17"/>
      <c r="C21" s="81"/>
      <c r="D21" s="82"/>
      <c r="E21" s="81"/>
      <c r="F21" s="16"/>
      <c r="G21" s="16"/>
      <c r="H21" s="16"/>
      <c r="I21" s="16"/>
      <c r="J21" s="20"/>
      <c r="K21" s="16"/>
      <c r="L21" s="16"/>
    </row>
    <row r="22" spans="1:12" s="15" customFormat="1" x14ac:dyDescent="0.35">
      <c r="A22" s="81"/>
      <c r="B22" s="17"/>
      <c r="C22" s="81"/>
      <c r="D22" s="82"/>
      <c r="E22" s="81"/>
      <c r="F22" s="16"/>
      <c r="G22" s="16"/>
      <c r="H22" s="16"/>
      <c r="I22" s="16"/>
      <c r="J22" s="20"/>
      <c r="K22" s="16"/>
      <c r="L22" s="16"/>
    </row>
    <row r="23" spans="1:12" s="15" customFormat="1" x14ac:dyDescent="0.35">
      <c r="A23" s="81"/>
      <c r="B23" s="17"/>
      <c r="C23" s="81"/>
      <c r="D23" s="82"/>
      <c r="E23" s="81"/>
      <c r="F23" s="16"/>
      <c r="G23" s="16"/>
      <c r="H23" s="16"/>
      <c r="I23" s="16"/>
      <c r="J23" s="20"/>
      <c r="K23" s="16"/>
      <c r="L23" s="16"/>
    </row>
    <row r="24" spans="1:12" s="15" customFormat="1" x14ac:dyDescent="0.35">
      <c r="A24" s="81"/>
      <c r="B24" s="17"/>
      <c r="C24" s="81"/>
      <c r="D24" s="82"/>
      <c r="E24" s="81"/>
      <c r="F24" s="16"/>
      <c r="G24" s="16"/>
      <c r="H24" s="16"/>
      <c r="I24" s="16"/>
      <c r="J24" s="20"/>
      <c r="K24" s="16"/>
      <c r="L24" s="16"/>
    </row>
    <row r="25" spans="1:12" x14ac:dyDescent="0.35">
      <c r="A25" s="14" t="s">
        <v>55</v>
      </c>
      <c r="B25" s="14" t="s">
        <v>31</v>
      </c>
      <c r="C25" s="14" t="s">
        <v>30</v>
      </c>
      <c r="D25" s="14"/>
      <c r="E25" s="14"/>
      <c r="F25" s="14"/>
      <c r="G25" s="14"/>
      <c r="H25" s="14"/>
      <c r="I25" s="14"/>
      <c r="J25" s="14"/>
      <c r="K25" s="14"/>
      <c r="L25" s="14"/>
    </row>
    <row r="26" spans="1:12" s="15" customFormat="1" x14ac:dyDescent="0.35">
      <c r="A26" s="17"/>
      <c r="B26" s="17"/>
      <c r="C26" s="17"/>
      <c r="D26" s="16"/>
      <c r="E26" s="16"/>
      <c r="F26" s="16"/>
      <c r="G26" s="16"/>
      <c r="H26" s="16"/>
      <c r="I26" s="16"/>
      <c r="J26" s="20"/>
      <c r="K26" s="16"/>
      <c r="L26" s="16"/>
    </row>
    <row r="27" spans="1:12" s="15" customFormat="1" x14ac:dyDescent="0.35">
      <c r="A27" s="17"/>
      <c r="B27" s="17"/>
      <c r="C27" s="17"/>
      <c r="D27" s="16"/>
      <c r="E27" s="16"/>
      <c r="F27" s="16"/>
      <c r="G27" s="16"/>
      <c r="H27" s="16"/>
      <c r="I27" s="16"/>
      <c r="J27" s="20"/>
      <c r="K27" s="16"/>
      <c r="L27" s="16"/>
    </row>
    <row r="28" spans="1:12" s="15" customFormat="1" x14ac:dyDescent="0.35">
      <c r="A28" s="17"/>
      <c r="B28" s="17"/>
      <c r="C28" s="17"/>
      <c r="D28" s="16"/>
      <c r="E28" s="16"/>
      <c r="F28" s="16"/>
      <c r="G28" s="16"/>
      <c r="H28" s="16"/>
      <c r="I28" s="16"/>
      <c r="J28" s="20"/>
      <c r="K28" s="16"/>
      <c r="L28" s="16"/>
    </row>
    <row r="29" spans="1:12" s="15" customFormat="1" x14ac:dyDescent="0.35">
      <c r="A29" s="17"/>
      <c r="B29" s="17"/>
      <c r="C29" s="17"/>
      <c r="D29" s="16"/>
      <c r="E29" s="16"/>
      <c r="F29" s="16"/>
      <c r="G29" s="16"/>
      <c r="H29" s="16"/>
      <c r="I29" s="16"/>
      <c r="J29" s="20"/>
      <c r="K29" s="16"/>
      <c r="L29" s="16"/>
    </row>
    <row r="30" spans="1:12" s="15" customFormat="1" x14ac:dyDescent="0.35">
      <c r="A30" s="17"/>
      <c r="B30" s="17"/>
      <c r="C30" s="17"/>
      <c r="D30" s="16"/>
      <c r="E30" s="16"/>
      <c r="F30" s="16"/>
      <c r="G30" s="16"/>
      <c r="H30" s="16"/>
      <c r="I30" s="16"/>
      <c r="J30" s="20"/>
      <c r="K30" s="16"/>
      <c r="L30" s="16"/>
    </row>
    <row r="31" spans="1:12" x14ac:dyDescent="0.35">
      <c r="A31" s="14" t="s">
        <v>54</v>
      </c>
      <c r="B31" s="14" t="s">
        <v>31</v>
      </c>
      <c r="C31" s="14" t="s">
        <v>30</v>
      </c>
      <c r="D31" s="14" t="s">
        <v>45</v>
      </c>
      <c r="E31" s="14" t="s">
        <v>53</v>
      </c>
      <c r="F31" s="14" t="s">
        <v>52</v>
      </c>
      <c r="G31" s="14" t="s">
        <v>51</v>
      </c>
      <c r="H31" s="14"/>
      <c r="I31" s="14"/>
      <c r="J31" s="14"/>
      <c r="K31" s="14"/>
      <c r="L31" s="14"/>
    </row>
    <row r="32" spans="1:12" s="15" customFormat="1" x14ac:dyDescent="0.35">
      <c r="A32" s="17"/>
      <c r="B32" s="17"/>
      <c r="C32" s="17"/>
      <c r="D32" s="82"/>
      <c r="E32" s="82"/>
      <c r="F32" s="82"/>
      <c r="G32" s="82"/>
      <c r="H32" s="20"/>
      <c r="I32" s="11"/>
      <c r="J32" s="11"/>
      <c r="K32" s="11"/>
      <c r="L32" s="11"/>
    </row>
    <row r="33" spans="1:12" s="15" customFormat="1" x14ac:dyDescent="0.35">
      <c r="A33" s="17"/>
      <c r="B33" s="17"/>
      <c r="C33" s="17"/>
      <c r="D33" s="82"/>
      <c r="E33" s="82"/>
      <c r="F33" s="82"/>
      <c r="G33" s="82"/>
      <c r="H33" s="20"/>
      <c r="I33" s="11"/>
      <c r="J33" s="11"/>
      <c r="K33" s="11"/>
      <c r="L33" s="11"/>
    </row>
    <row r="34" spans="1:12" s="15" customFormat="1" x14ac:dyDescent="0.35">
      <c r="A34" s="17"/>
      <c r="B34" s="17"/>
      <c r="C34" s="17"/>
      <c r="D34" s="82"/>
      <c r="E34" s="82"/>
      <c r="F34" s="82"/>
      <c r="G34" s="82"/>
      <c r="H34" s="20"/>
      <c r="I34" s="11"/>
      <c r="J34" s="11"/>
      <c r="K34" s="11"/>
      <c r="L34" s="11"/>
    </row>
    <row r="35" spans="1:12" s="15" customFormat="1" x14ac:dyDescent="0.35">
      <c r="A35" s="17"/>
      <c r="B35" s="17"/>
      <c r="C35" s="17"/>
      <c r="D35" s="82"/>
      <c r="E35" s="82"/>
      <c r="F35" s="82"/>
      <c r="G35" s="82"/>
      <c r="H35" s="20"/>
      <c r="I35" s="11"/>
      <c r="J35" s="11"/>
      <c r="K35" s="11"/>
      <c r="L35" s="11"/>
    </row>
    <row r="36" spans="1:12" s="15" customFormat="1" x14ac:dyDescent="0.35">
      <c r="A36" s="17"/>
      <c r="B36" s="17"/>
      <c r="C36" s="17"/>
      <c r="D36" s="82"/>
      <c r="E36" s="82"/>
      <c r="F36" s="82"/>
      <c r="G36" s="82"/>
      <c r="H36" s="20"/>
      <c r="I36" s="11"/>
      <c r="J36" s="11"/>
      <c r="K36" s="11"/>
      <c r="L36" s="11"/>
    </row>
    <row r="37" spans="1:12" x14ac:dyDescent="0.35">
      <c r="A37" s="14" t="s">
        <v>50</v>
      </c>
      <c r="B37" s="14" t="s">
        <v>31</v>
      </c>
      <c r="C37" s="14"/>
      <c r="D37" s="14" t="s">
        <v>29</v>
      </c>
      <c r="E37" s="14"/>
      <c r="F37" s="14"/>
      <c r="G37" s="14"/>
      <c r="H37" s="14"/>
      <c r="I37" s="14"/>
      <c r="J37" s="14"/>
      <c r="K37" s="14"/>
      <c r="L37" s="14"/>
    </row>
    <row r="38" spans="1:12" s="15" customFormat="1" x14ac:dyDescent="0.35">
      <c r="A38" s="17" t="s">
        <v>248</v>
      </c>
      <c r="B38" s="17" t="s">
        <v>12</v>
      </c>
      <c r="C38" s="16"/>
      <c r="D38" s="82" t="s">
        <v>292</v>
      </c>
      <c r="E38" s="11"/>
      <c r="F38" s="11"/>
      <c r="G38" s="11"/>
      <c r="H38" s="11"/>
      <c r="I38" s="11"/>
      <c r="J38" s="11"/>
      <c r="K38" s="11"/>
      <c r="L38" s="11"/>
    </row>
    <row r="39" spans="1:12" s="15" customFormat="1" x14ac:dyDescent="0.35">
      <c r="A39" s="17" t="s">
        <v>308</v>
      </c>
      <c r="B39" s="17" t="s">
        <v>12</v>
      </c>
      <c r="C39" s="16"/>
      <c r="D39" s="82" t="s">
        <v>310</v>
      </c>
      <c r="E39" s="11"/>
      <c r="F39" s="11"/>
      <c r="G39" s="11"/>
      <c r="H39" s="11"/>
      <c r="I39" s="11"/>
      <c r="J39" s="11"/>
      <c r="K39" s="11"/>
      <c r="L39" s="11"/>
    </row>
    <row r="40" spans="1:12" s="15" customFormat="1" ht="21" x14ac:dyDescent="0.35">
      <c r="A40" s="17" t="s">
        <v>309</v>
      </c>
      <c r="B40" s="17" t="s">
        <v>12</v>
      </c>
      <c r="C40" s="16"/>
      <c r="D40" s="82" t="s">
        <v>311</v>
      </c>
      <c r="E40" s="11"/>
      <c r="F40" s="11"/>
      <c r="G40" s="11"/>
      <c r="H40" s="11"/>
      <c r="I40" s="11"/>
      <c r="J40" s="11"/>
      <c r="K40" s="11"/>
      <c r="L40" s="11"/>
    </row>
    <row r="41" spans="1:12" s="15" customFormat="1" x14ac:dyDescent="0.35">
      <c r="A41" s="17"/>
      <c r="B41" s="17"/>
      <c r="C41" s="16"/>
      <c r="D41" s="82"/>
      <c r="E41" s="11"/>
      <c r="F41" s="11"/>
      <c r="G41" s="11"/>
      <c r="H41" s="11"/>
      <c r="I41" s="11"/>
      <c r="J41" s="11"/>
      <c r="K41" s="11"/>
      <c r="L41" s="11"/>
    </row>
    <row r="42" spans="1:12" s="15" customFormat="1" x14ac:dyDescent="0.35">
      <c r="A42" s="17"/>
      <c r="B42" s="17"/>
      <c r="C42" s="16"/>
      <c r="D42" s="82"/>
      <c r="E42" s="11"/>
      <c r="F42" s="11"/>
      <c r="G42" s="11"/>
      <c r="H42" s="11"/>
      <c r="I42" s="11"/>
      <c r="J42" s="11"/>
      <c r="K42" s="11"/>
      <c r="L42" s="11"/>
    </row>
    <row r="43" spans="1:12" s="15" customFormat="1" x14ac:dyDescent="0.35">
      <c r="A43" s="17"/>
      <c r="B43" s="17"/>
      <c r="C43" s="16"/>
      <c r="D43" s="82"/>
      <c r="E43" s="11"/>
      <c r="F43" s="11"/>
      <c r="G43" s="11"/>
      <c r="H43" s="11"/>
      <c r="I43" s="11"/>
      <c r="J43" s="11"/>
      <c r="K43" s="11"/>
      <c r="L43" s="11"/>
    </row>
    <row r="44" spans="1:12" s="15" customFormat="1" x14ac:dyDescent="0.35">
      <c r="A44" s="17"/>
      <c r="B44" s="17"/>
      <c r="C44" s="16"/>
      <c r="D44" s="82"/>
      <c r="E44" s="11"/>
      <c r="F44" s="11"/>
      <c r="G44" s="11"/>
      <c r="H44" s="11"/>
      <c r="I44" s="11"/>
      <c r="J44" s="11"/>
      <c r="K44" s="11"/>
      <c r="L44" s="11"/>
    </row>
    <row r="45" spans="1:12" s="15" customFormat="1" x14ac:dyDescent="0.35">
      <c r="A45" s="17"/>
      <c r="B45" s="17"/>
      <c r="C45" s="16"/>
      <c r="D45" s="82"/>
      <c r="E45" s="11"/>
      <c r="F45" s="11"/>
      <c r="G45" s="11"/>
      <c r="H45" s="11"/>
      <c r="I45" s="11"/>
      <c r="J45" s="11"/>
      <c r="K45" s="11"/>
      <c r="L45" s="11"/>
    </row>
    <row r="46" spans="1:12" x14ac:dyDescent="0.35">
      <c r="A46" s="19" t="s">
        <v>49</v>
      </c>
      <c r="B46" s="19" t="s">
        <v>31</v>
      </c>
      <c r="C46" s="19" t="s">
        <v>48</v>
      </c>
      <c r="D46" s="14"/>
      <c r="E46" s="14"/>
      <c r="F46" s="14"/>
      <c r="G46" s="14"/>
      <c r="H46" s="14"/>
      <c r="I46" s="14"/>
      <c r="J46" s="14"/>
      <c r="K46" s="14"/>
      <c r="L46" s="14"/>
    </row>
    <row r="47" spans="1:12" s="15" customFormat="1" x14ac:dyDescent="0.35">
      <c r="A47" s="17"/>
      <c r="B47" s="17"/>
      <c r="C47" s="17"/>
      <c r="D47" s="11"/>
      <c r="E47" s="11"/>
      <c r="F47" s="11"/>
      <c r="G47" s="11"/>
      <c r="H47" s="11"/>
      <c r="I47" s="11"/>
      <c r="J47" s="11"/>
      <c r="K47" s="11"/>
      <c r="L47" s="11"/>
    </row>
    <row r="48" spans="1:12" s="15" customFormat="1" x14ac:dyDescent="0.35">
      <c r="A48" s="17"/>
      <c r="B48" s="17"/>
      <c r="C48" s="17"/>
      <c r="D48" s="11"/>
      <c r="E48" s="11"/>
      <c r="F48" s="11"/>
      <c r="G48" s="11"/>
      <c r="H48" s="11"/>
      <c r="I48" s="11"/>
      <c r="J48" s="11"/>
      <c r="K48" s="11"/>
      <c r="L48" s="11"/>
    </row>
    <row r="49" spans="1:12" s="15" customFormat="1" x14ac:dyDescent="0.35">
      <c r="A49" s="17"/>
      <c r="B49" s="17"/>
      <c r="C49" s="17"/>
      <c r="D49" s="11"/>
      <c r="E49" s="11"/>
      <c r="F49" s="11"/>
      <c r="G49" s="11"/>
      <c r="H49" s="11"/>
      <c r="I49" s="11"/>
      <c r="J49" s="11"/>
      <c r="K49" s="11"/>
      <c r="L49" s="11"/>
    </row>
    <row r="50" spans="1:12" s="15" customFormat="1" x14ac:dyDescent="0.35">
      <c r="A50" s="17"/>
      <c r="B50" s="17"/>
      <c r="C50" s="17"/>
      <c r="D50" s="11"/>
      <c r="E50" s="11"/>
      <c r="F50" s="11"/>
      <c r="G50" s="11"/>
      <c r="H50" s="11"/>
      <c r="I50" s="11"/>
      <c r="J50" s="11"/>
      <c r="K50" s="11"/>
      <c r="L50" s="11"/>
    </row>
    <row r="51" spans="1:12" s="15" customFormat="1" x14ac:dyDescent="0.35">
      <c r="A51" s="17"/>
      <c r="B51" s="17"/>
      <c r="C51" s="17"/>
      <c r="D51" s="11"/>
      <c r="E51" s="11"/>
      <c r="F51" s="11"/>
      <c r="G51" s="11"/>
      <c r="H51" s="11"/>
      <c r="I51" s="11"/>
      <c r="J51" s="11"/>
      <c r="K51" s="11"/>
      <c r="L51" s="11"/>
    </row>
    <row r="52" spans="1:12" x14ac:dyDescent="0.35">
      <c r="A52" s="14" t="s">
        <v>47</v>
      </c>
      <c r="B52" s="14" t="s">
        <v>31</v>
      </c>
      <c r="C52" s="14"/>
      <c r="D52" s="14" t="s">
        <v>29</v>
      </c>
      <c r="E52" s="14"/>
      <c r="F52" s="14"/>
      <c r="G52" s="14"/>
      <c r="H52" s="14"/>
      <c r="I52" s="14"/>
      <c r="J52" s="14"/>
      <c r="K52" s="14"/>
      <c r="L52" s="14"/>
    </row>
    <row r="53" spans="1:12" s="15" customFormat="1" x14ac:dyDescent="0.35">
      <c r="A53" s="17"/>
      <c r="B53" s="17"/>
      <c r="C53" s="16"/>
      <c r="D53" s="17"/>
      <c r="E53" s="11"/>
      <c r="F53" s="11"/>
      <c r="G53" s="11"/>
      <c r="H53" s="11"/>
      <c r="I53" s="11"/>
      <c r="J53" s="11"/>
      <c r="K53" s="11"/>
      <c r="L53" s="11"/>
    </row>
    <row r="54" spans="1:12" s="15" customFormat="1" x14ac:dyDescent="0.35">
      <c r="A54" s="17"/>
      <c r="B54" s="17"/>
      <c r="C54" s="16"/>
      <c r="D54" s="17"/>
      <c r="E54" s="11"/>
      <c r="F54" s="11"/>
      <c r="G54" s="11"/>
      <c r="H54" s="11"/>
      <c r="I54" s="11"/>
      <c r="J54" s="11"/>
      <c r="K54" s="11"/>
      <c r="L54" s="11"/>
    </row>
    <row r="55" spans="1:12" s="15" customFormat="1" x14ac:dyDescent="0.35">
      <c r="A55" s="17"/>
      <c r="B55" s="17"/>
      <c r="C55" s="16"/>
      <c r="D55" s="17"/>
      <c r="E55" s="11"/>
      <c r="F55" s="11"/>
      <c r="G55" s="11"/>
      <c r="H55" s="11"/>
      <c r="I55" s="11"/>
      <c r="J55" s="11"/>
      <c r="K55" s="11"/>
      <c r="L55" s="11"/>
    </row>
    <row r="56" spans="1:12" s="15" customFormat="1" x14ac:dyDescent="0.35">
      <c r="A56" s="17"/>
      <c r="B56" s="17"/>
      <c r="C56" s="16"/>
      <c r="D56" s="17"/>
      <c r="E56" s="11"/>
      <c r="F56" s="11"/>
      <c r="G56" s="11"/>
      <c r="H56" s="11"/>
      <c r="I56" s="11"/>
      <c r="J56" s="11"/>
      <c r="K56" s="11"/>
      <c r="L56" s="11"/>
    </row>
    <row r="57" spans="1:12" s="15" customFormat="1" x14ac:dyDescent="0.35">
      <c r="A57" s="17"/>
      <c r="B57" s="17"/>
      <c r="C57" s="16"/>
      <c r="D57" s="17"/>
      <c r="E57" s="11"/>
      <c r="F57" s="11"/>
      <c r="G57" s="11"/>
      <c r="H57" s="11"/>
      <c r="I57" s="11"/>
      <c r="J57" s="11"/>
      <c r="K57" s="11"/>
      <c r="L57" s="11"/>
    </row>
    <row r="58" spans="1:12" x14ac:dyDescent="0.35">
      <c r="A58" s="14" t="s">
        <v>46</v>
      </c>
      <c r="B58" s="14" t="s">
        <v>31</v>
      </c>
      <c r="C58" s="14" t="s">
        <v>45</v>
      </c>
      <c r="D58" s="14" t="s">
        <v>29</v>
      </c>
      <c r="E58" s="14" t="s">
        <v>42</v>
      </c>
      <c r="F58" s="14" t="s">
        <v>44</v>
      </c>
      <c r="G58" s="14"/>
      <c r="H58" s="14"/>
      <c r="I58" s="14"/>
      <c r="J58" s="14"/>
      <c r="K58" s="14"/>
      <c r="L58" s="14"/>
    </row>
    <row r="59" spans="1:12" s="15" customFormat="1" x14ac:dyDescent="0.35">
      <c r="A59" s="17"/>
      <c r="B59" s="17"/>
      <c r="C59" s="17"/>
      <c r="D59" s="82"/>
      <c r="E59" s="82"/>
      <c r="F59" s="81"/>
      <c r="G59" s="16"/>
      <c r="H59" s="16"/>
      <c r="I59" s="11"/>
      <c r="J59" s="11"/>
      <c r="K59" s="11"/>
      <c r="L59" s="11"/>
    </row>
    <row r="60" spans="1:12" s="15" customFormat="1" x14ac:dyDescent="0.35">
      <c r="A60" s="17"/>
      <c r="B60" s="17"/>
      <c r="C60" s="17"/>
      <c r="D60" s="82"/>
      <c r="E60" s="82"/>
      <c r="F60" s="81"/>
      <c r="G60" s="16"/>
      <c r="H60" s="16"/>
      <c r="I60" s="11"/>
      <c r="J60" s="11"/>
      <c r="K60" s="11"/>
      <c r="L60" s="11"/>
    </row>
    <row r="61" spans="1:12" s="15" customFormat="1" x14ac:dyDescent="0.35">
      <c r="A61" s="17"/>
      <c r="B61" s="17"/>
      <c r="C61" s="17"/>
      <c r="D61" s="82"/>
      <c r="E61" s="82"/>
      <c r="F61" s="81"/>
      <c r="G61" s="16"/>
      <c r="H61" s="16"/>
      <c r="I61" s="11"/>
      <c r="J61" s="11"/>
      <c r="K61" s="11"/>
      <c r="L61" s="11"/>
    </row>
    <row r="62" spans="1:12" s="15" customFormat="1" x14ac:dyDescent="0.35">
      <c r="A62" s="17"/>
      <c r="B62" s="17"/>
      <c r="C62" s="17"/>
      <c r="D62" s="82"/>
      <c r="E62" s="82"/>
      <c r="F62" s="81"/>
      <c r="G62" s="16"/>
      <c r="H62" s="16"/>
      <c r="I62" s="11"/>
      <c r="J62" s="11"/>
      <c r="K62" s="11"/>
      <c r="L62" s="11"/>
    </row>
    <row r="63" spans="1:12" s="15" customFormat="1" x14ac:dyDescent="0.35">
      <c r="A63" s="17"/>
      <c r="B63" s="17"/>
      <c r="C63" s="17"/>
      <c r="D63" s="82"/>
      <c r="E63" s="82"/>
      <c r="F63" s="81"/>
      <c r="G63" s="16"/>
      <c r="H63" s="16"/>
      <c r="I63" s="11"/>
      <c r="J63" s="11"/>
      <c r="K63" s="11"/>
      <c r="L63" s="11"/>
    </row>
    <row r="64" spans="1:12" x14ac:dyDescent="0.35">
      <c r="A64" s="14" t="s">
        <v>43</v>
      </c>
      <c r="B64" s="14" t="s">
        <v>31</v>
      </c>
      <c r="C64" s="14" t="s">
        <v>30</v>
      </c>
      <c r="D64" s="14" t="s">
        <v>29</v>
      </c>
      <c r="E64" s="14" t="s">
        <v>42</v>
      </c>
      <c r="F64" s="14"/>
      <c r="G64" s="14"/>
      <c r="H64" s="14"/>
      <c r="I64" s="14"/>
      <c r="J64" s="14"/>
      <c r="K64" s="14"/>
      <c r="L64" s="14"/>
    </row>
    <row r="65" spans="1:12" x14ac:dyDescent="0.35">
      <c r="A65" s="18"/>
      <c r="B65" s="18"/>
      <c r="C65" s="18"/>
      <c r="D65" s="18"/>
      <c r="E65" s="18"/>
      <c r="F65" s="12"/>
      <c r="G65" s="12"/>
      <c r="H65" s="12"/>
      <c r="I65" s="12"/>
      <c r="J65" s="12"/>
      <c r="K65" s="12"/>
      <c r="L65" s="12"/>
    </row>
    <row r="66" spans="1:12" x14ac:dyDescent="0.35">
      <c r="A66" s="18"/>
      <c r="B66" s="18"/>
      <c r="C66" s="18"/>
      <c r="D66" s="18"/>
      <c r="E66" s="18"/>
      <c r="F66" s="12"/>
      <c r="G66" s="12"/>
      <c r="H66" s="12"/>
      <c r="I66" s="12"/>
      <c r="J66" s="12"/>
      <c r="K66" s="12"/>
      <c r="L66" s="12"/>
    </row>
    <row r="67" spans="1:12" x14ac:dyDescent="0.35">
      <c r="A67" s="18"/>
      <c r="B67" s="18"/>
      <c r="C67" s="18"/>
      <c r="D67" s="18"/>
      <c r="E67" s="18"/>
      <c r="F67" s="12"/>
      <c r="G67" s="12"/>
      <c r="H67" s="12"/>
      <c r="I67" s="12"/>
      <c r="J67" s="12"/>
      <c r="K67" s="12"/>
      <c r="L67" s="12"/>
    </row>
    <row r="68" spans="1:12" x14ac:dyDescent="0.35">
      <c r="A68" s="18"/>
      <c r="B68" s="18"/>
      <c r="C68" s="18"/>
      <c r="D68" s="18"/>
      <c r="E68" s="18"/>
      <c r="F68" s="12"/>
      <c r="G68" s="12"/>
      <c r="H68" s="12"/>
      <c r="I68" s="12"/>
      <c r="J68" s="12"/>
      <c r="K68" s="12"/>
      <c r="L68" s="12"/>
    </row>
    <row r="69" spans="1:12" x14ac:dyDescent="0.35">
      <c r="A69" s="18"/>
      <c r="B69" s="18"/>
      <c r="C69" s="18"/>
      <c r="D69" s="18"/>
      <c r="E69" s="18"/>
      <c r="F69" s="12"/>
      <c r="G69" s="12"/>
      <c r="H69" s="12"/>
      <c r="I69" s="12"/>
      <c r="J69" s="12"/>
      <c r="K69" s="12"/>
      <c r="L69" s="12"/>
    </row>
    <row r="70" spans="1:12" x14ac:dyDescent="0.35">
      <c r="A70" s="14" t="s">
        <v>41</v>
      </c>
      <c r="B70" s="14" t="s">
        <v>31</v>
      </c>
      <c r="C70" s="14" t="s">
        <v>30</v>
      </c>
      <c r="D70" s="14" t="s">
        <v>29</v>
      </c>
      <c r="E70" s="14" t="s">
        <v>40</v>
      </c>
      <c r="F70" s="14" t="s">
        <v>37</v>
      </c>
      <c r="G70" s="14" t="s">
        <v>36</v>
      </c>
      <c r="H70" s="14"/>
      <c r="I70" s="14"/>
      <c r="J70" s="14"/>
      <c r="K70" s="14"/>
      <c r="L70" s="14"/>
    </row>
    <row r="71" spans="1:12" s="15" customFormat="1" x14ac:dyDescent="0.35">
      <c r="A71" s="17"/>
      <c r="B71" s="17"/>
      <c r="C71" s="17"/>
      <c r="D71" s="82"/>
      <c r="E71" s="82"/>
      <c r="F71" s="82"/>
      <c r="G71" s="82"/>
      <c r="H71" s="11"/>
      <c r="I71" s="11"/>
      <c r="J71" s="11"/>
      <c r="K71" s="11"/>
      <c r="L71" s="11"/>
    </row>
    <row r="72" spans="1:12" s="15" customFormat="1" x14ac:dyDescent="0.35">
      <c r="A72" s="17"/>
      <c r="B72" s="17"/>
      <c r="C72" s="17"/>
      <c r="D72" s="82"/>
      <c r="E72" s="82"/>
      <c r="F72" s="82"/>
      <c r="G72" s="82"/>
      <c r="H72" s="11"/>
      <c r="I72" s="11"/>
      <c r="J72" s="11"/>
      <c r="K72" s="11"/>
      <c r="L72" s="11"/>
    </row>
    <row r="73" spans="1:12" s="15" customFormat="1" x14ac:dyDescent="0.35">
      <c r="A73" s="17"/>
      <c r="B73" s="17"/>
      <c r="C73" s="17"/>
      <c r="D73" s="82"/>
      <c r="E73" s="82"/>
      <c r="F73" s="82"/>
      <c r="G73" s="82"/>
      <c r="H73" s="11"/>
      <c r="I73" s="11"/>
      <c r="J73" s="11"/>
      <c r="K73" s="11"/>
      <c r="L73" s="11"/>
    </row>
    <row r="74" spans="1:12" s="15" customFormat="1" x14ac:dyDescent="0.35">
      <c r="A74" s="17"/>
      <c r="B74" s="17"/>
      <c r="C74" s="17"/>
      <c r="D74" s="82"/>
      <c r="E74" s="82"/>
      <c r="F74" s="82"/>
      <c r="G74" s="82"/>
      <c r="H74" s="11"/>
      <c r="I74" s="11"/>
      <c r="J74" s="11"/>
      <c r="K74" s="11"/>
      <c r="L74" s="11"/>
    </row>
    <row r="75" spans="1:12" s="15" customFormat="1" x14ac:dyDescent="0.35">
      <c r="A75" s="17"/>
      <c r="B75" s="17"/>
      <c r="C75" s="17"/>
      <c r="D75" s="82"/>
      <c r="E75" s="82"/>
      <c r="F75" s="82"/>
      <c r="G75" s="82"/>
      <c r="H75" s="11"/>
      <c r="I75" s="11"/>
      <c r="J75" s="11"/>
      <c r="K75" s="11"/>
      <c r="L75" s="11"/>
    </row>
    <row r="76" spans="1:12" customFormat="1" x14ac:dyDescent="0.35">
      <c r="A76" s="60" t="s">
        <v>157</v>
      </c>
      <c r="B76" s="60" t="s">
        <v>31</v>
      </c>
      <c r="C76" s="60" t="s">
        <v>30</v>
      </c>
      <c r="D76" s="60" t="s">
        <v>29</v>
      </c>
      <c r="E76" s="60" t="s">
        <v>28</v>
      </c>
      <c r="F76" s="60" t="s">
        <v>158</v>
      </c>
      <c r="G76" s="60" t="s">
        <v>37</v>
      </c>
      <c r="H76" s="60" t="s">
        <v>36</v>
      </c>
      <c r="I76" s="14"/>
      <c r="J76" s="14"/>
      <c r="K76" s="14"/>
      <c r="L76" s="14"/>
    </row>
    <row r="77" spans="1:12" customFormat="1" x14ac:dyDescent="0.35">
      <c r="A77" s="83"/>
      <c r="B77" s="83"/>
      <c r="C77" s="83"/>
      <c r="D77" s="83"/>
      <c r="E77" s="83"/>
      <c r="F77" s="83"/>
      <c r="G77" s="83"/>
      <c r="H77" s="83"/>
      <c r="I77" s="11"/>
      <c r="J77" s="11"/>
      <c r="K77" s="11"/>
      <c r="L77" s="11"/>
    </row>
    <row r="78" spans="1:12" customFormat="1" x14ac:dyDescent="0.35">
      <c r="A78" s="83"/>
      <c r="B78" s="83"/>
      <c r="C78" s="83"/>
      <c r="D78" s="83"/>
      <c r="E78" s="83"/>
      <c r="F78" s="83"/>
      <c r="G78" s="83"/>
      <c r="H78" s="83"/>
      <c r="I78" s="11"/>
      <c r="J78" s="11"/>
      <c r="K78" s="11"/>
      <c r="L78" s="11"/>
    </row>
    <row r="79" spans="1:12" customFormat="1" x14ac:dyDescent="0.35">
      <c r="A79" s="83"/>
      <c r="B79" s="83"/>
      <c r="C79" s="83"/>
      <c r="D79" s="83"/>
      <c r="E79" s="83"/>
      <c r="F79" s="83"/>
      <c r="G79" s="83"/>
      <c r="H79" s="83"/>
      <c r="I79" s="11"/>
      <c r="J79" s="11"/>
      <c r="K79" s="11"/>
      <c r="L79" s="11"/>
    </row>
    <row r="80" spans="1:12" customFormat="1" x14ac:dyDescent="0.35">
      <c r="A80" s="83"/>
      <c r="B80" s="83"/>
      <c r="C80" s="83"/>
      <c r="D80" s="83"/>
      <c r="E80" s="83"/>
      <c r="F80" s="83"/>
      <c r="G80" s="83"/>
      <c r="H80" s="83"/>
      <c r="I80" s="11"/>
      <c r="J80" s="11"/>
      <c r="K80" s="11"/>
      <c r="L80" s="11"/>
    </row>
    <row r="81" spans="1:12" customFormat="1" x14ac:dyDescent="0.35">
      <c r="A81" s="83"/>
      <c r="B81" s="83"/>
      <c r="C81" s="83"/>
      <c r="D81" s="83"/>
      <c r="E81" s="83"/>
      <c r="F81" s="83"/>
      <c r="G81" s="83"/>
      <c r="H81" s="83"/>
      <c r="I81" s="11"/>
      <c r="J81" s="11"/>
      <c r="K81" s="11"/>
      <c r="L81" s="11"/>
    </row>
    <row r="82" spans="1:12" x14ac:dyDescent="0.35">
      <c r="A82" s="14" t="s">
        <v>39</v>
      </c>
      <c r="B82" s="14" t="s">
        <v>31</v>
      </c>
      <c r="C82" s="14" t="s">
        <v>30</v>
      </c>
      <c r="D82" s="14" t="s">
        <v>29</v>
      </c>
      <c r="E82" s="14" t="s">
        <v>38</v>
      </c>
      <c r="F82" s="14" t="s">
        <v>37</v>
      </c>
      <c r="G82" s="14" t="s">
        <v>36</v>
      </c>
      <c r="H82" s="14"/>
      <c r="I82" s="14"/>
      <c r="J82" s="14"/>
      <c r="K82" s="14"/>
      <c r="L82" s="14"/>
    </row>
    <row r="83" spans="1:12" s="15" customFormat="1" x14ac:dyDescent="0.35">
      <c r="A83" s="17"/>
      <c r="B83" s="17"/>
      <c r="C83" s="17"/>
      <c r="D83" s="82"/>
      <c r="E83" s="82"/>
      <c r="F83" s="82"/>
      <c r="G83" s="82"/>
      <c r="H83" s="11"/>
      <c r="I83" s="11"/>
      <c r="J83" s="11"/>
      <c r="K83" s="11"/>
      <c r="L83" s="11"/>
    </row>
    <row r="84" spans="1:12" s="15" customFormat="1" x14ac:dyDescent="0.35">
      <c r="A84" s="17"/>
      <c r="B84" s="17"/>
      <c r="C84" s="17"/>
      <c r="D84" s="82"/>
      <c r="E84" s="82"/>
      <c r="F84" s="82"/>
      <c r="G84" s="82"/>
      <c r="H84" s="11"/>
      <c r="I84" s="11"/>
      <c r="J84" s="11"/>
      <c r="K84" s="11"/>
      <c r="L84" s="11"/>
    </row>
    <row r="85" spans="1:12" s="15" customFormat="1" x14ac:dyDescent="0.35">
      <c r="A85" s="17"/>
      <c r="B85" s="17"/>
      <c r="C85" s="17"/>
      <c r="D85" s="82"/>
      <c r="E85" s="82"/>
      <c r="F85" s="82"/>
      <c r="G85" s="82"/>
      <c r="H85" s="11"/>
      <c r="I85" s="11"/>
      <c r="J85" s="11"/>
      <c r="K85" s="11"/>
      <c r="L85" s="11"/>
    </row>
    <row r="86" spans="1:12" s="15" customFormat="1" x14ac:dyDescent="0.35">
      <c r="A86" s="17"/>
      <c r="B86" s="17"/>
      <c r="C86" s="17"/>
      <c r="D86" s="82"/>
      <c r="E86" s="82"/>
      <c r="F86" s="82"/>
      <c r="G86" s="82"/>
      <c r="H86" s="11"/>
      <c r="I86" s="11"/>
      <c r="J86" s="11"/>
      <c r="K86" s="11"/>
      <c r="L86" s="11"/>
    </row>
    <row r="87" spans="1:12" s="15" customFormat="1" x14ac:dyDescent="0.35">
      <c r="A87" s="17"/>
      <c r="B87" s="17"/>
      <c r="C87" s="17"/>
      <c r="D87" s="82"/>
      <c r="E87" s="82"/>
      <c r="F87" s="82"/>
      <c r="G87" s="82"/>
      <c r="H87" s="11"/>
      <c r="I87" s="11"/>
      <c r="J87" s="11"/>
      <c r="K87" s="11"/>
      <c r="L87" s="11"/>
    </row>
    <row r="88" spans="1:12" x14ac:dyDescent="0.35">
      <c r="A88" s="14" t="s">
        <v>35</v>
      </c>
      <c r="B88" s="14" t="s">
        <v>31</v>
      </c>
      <c r="C88" s="14" t="s">
        <v>33</v>
      </c>
      <c r="D88" s="14" t="s">
        <v>29</v>
      </c>
      <c r="E88" s="14"/>
      <c r="F88" s="14"/>
      <c r="G88" s="14"/>
      <c r="H88" s="14"/>
      <c r="I88" s="14"/>
      <c r="J88" s="14"/>
      <c r="K88" s="14"/>
      <c r="L88" s="14"/>
    </row>
    <row r="89" spans="1:12" s="15" customFormat="1" x14ac:dyDescent="0.35">
      <c r="A89" s="17"/>
      <c r="B89" s="17"/>
      <c r="C89" s="17"/>
      <c r="D89" s="82"/>
      <c r="E89" s="16"/>
      <c r="F89" s="16"/>
      <c r="G89" s="16"/>
      <c r="H89" s="16"/>
      <c r="I89" s="11"/>
      <c r="J89" s="11"/>
      <c r="K89" s="11"/>
      <c r="L89" s="11"/>
    </row>
    <row r="90" spans="1:12" s="15" customFormat="1" x14ac:dyDescent="0.35">
      <c r="A90" s="17"/>
      <c r="B90" s="17"/>
      <c r="C90" s="17"/>
      <c r="D90" s="82"/>
      <c r="E90" s="16"/>
      <c r="F90" s="16"/>
      <c r="G90" s="16"/>
      <c r="H90" s="16"/>
      <c r="I90" s="11"/>
      <c r="J90" s="11"/>
      <c r="K90" s="11"/>
      <c r="L90" s="11"/>
    </row>
    <row r="91" spans="1:12" s="15" customFormat="1" x14ac:dyDescent="0.35">
      <c r="A91" s="17"/>
      <c r="B91" s="17"/>
      <c r="C91" s="17"/>
      <c r="D91" s="82"/>
      <c r="E91" s="16"/>
      <c r="F91" s="16"/>
      <c r="G91" s="16"/>
      <c r="H91" s="16"/>
      <c r="I91" s="11"/>
      <c r="J91" s="11"/>
      <c r="K91" s="11"/>
      <c r="L91" s="11"/>
    </row>
    <row r="92" spans="1:12" s="15" customFormat="1" x14ac:dyDescent="0.35">
      <c r="A92" s="17"/>
      <c r="B92" s="17"/>
      <c r="C92" s="17"/>
      <c r="D92" s="82"/>
      <c r="E92" s="16"/>
      <c r="F92" s="16"/>
      <c r="G92" s="16"/>
      <c r="H92" s="16"/>
      <c r="I92" s="11"/>
      <c r="J92" s="11"/>
      <c r="K92" s="11"/>
      <c r="L92" s="11"/>
    </row>
    <row r="93" spans="1:12" s="15" customFormat="1" x14ac:dyDescent="0.35">
      <c r="A93" s="17"/>
      <c r="B93" s="17"/>
      <c r="C93" s="17"/>
      <c r="D93" s="82"/>
      <c r="E93" s="16"/>
      <c r="F93" s="16"/>
      <c r="G93" s="16"/>
      <c r="H93" s="16"/>
      <c r="I93" s="11"/>
      <c r="J93" s="11"/>
      <c r="K93" s="11"/>
      <c r="L93" s="11"/>
    </row>
    <row r="94" spans="1:12" x14ac:dyDescent="0.35">
      <c r="A94" s="14" t="s">
        <v>34</v>
      </c>
      <c r="B94" s="14" t="s">
        <v>31</v>
      </c>
      <c r="C94" s="14" t="s">
        <v>33</v>
      </c>
      <c r="D94" s="14" t="s">
        <v>29</v>
      </c>
      <c r="E94" s="14"/>
      <c r="F94" s="14"/>
      <c r="G94" s="14"/>
      <c r="H94" s="14"/>
      <c r="I94" s="14"/>
      <c r="J94" s="14"/>
      <c r="K94" s="14"/>
      <c r="L94" s="14"/>
    </row>
    <row r="95" spans="1:12" s="15" customFormat="1" x14ac:dyDescent="0.35">
      <c r="A95" s="17"/>
      <c r="B95" s="17"/>
      <c r="C95" s="17"/>
      <c r="D95" s="82"/>
      <c r="E95" s="16"/>
      <c r="F95" s="16"/>
      <c r="G95" s="16"/>
      <c r="H95" s="16"/>
      <c r="I95" s="11"/>
      <c r="J95" s="11"/>
      <c r="K95" s="11"/>
      <c r="L95" s="11"/>
    </row>
    <row r="96" spans="1:12" s="15" customFormat="1" x14ac:dyDescent="0.35">
      <c r="A96" s="17"/>
      <c r="B96" s="17"/>
      <c r="C96" s="17"/>
      <c r="D96" s="82"/>
      <c r="E96" s="16"/>
      <c r="F96" s="16"/>
      <c r="G96" s="16"/>
      <c r="H96" s="16"/>
      <c r="I96" s="11"/>
      <c r="J96" s="11"/>
      <c r="K96" s="11"/>
      <c r="L96" s="11"/>
    </row>
    <row r="97" spans="1:12" s="15" customFormat="1" x14ac:dyDescent="0.35">
      <c r="A97" s="17"/>
      <c r="B97" s="17"/>
      <c r="C97" s="17"/>
      <c r="D97" s="82"/>
      <c r="E97" s="16"/>
      <c r="F97" s="16"/>
      <c r="G97" s="16"/>
      <c r="H97" s="16"/>
      <c r="I97" s="11"/>
      <c r="J97" s="11"/>
      <c r="K97" s="11"/>
      <c r="L97" s="11"/>
    </row>
    <row r="98" spans="1:12" s="15" customFormat="1" x14ac:dyDescent="0.35">
      <c r="A98" s="17"/>
      <c r="B98" s="17"/>
      <c r="C98" s="17"/>
      <c r="D98" s="82"/>
      <c r="E98" s="16"/>
      <c r="F98" s="16"/>
      <c r="G98" s="16"/>
      <c r="H98" s="16"/>
      <c r="I98" s="11"/>
      <c r="J98" s="11"/>
      <c r="K98" s="11"/>
      <c r="L98" s="11"/>
    </row>
    <row r="99" spans="1:12" s="15" customFormat="1" x14ac:dyDescent="0.35">
      <c r="A99" s="17"/>
      <c r="B99" s="17"/>
      <c r="C99" s="17"/>
      <c r="D99" s="82"/>
      <c r="E99" s="16"/>
      <c r="F99" s="16"/>
      <c r="G99" s="16"/>
      <c r="H99" s="16"/>
      <c r="I99" s="11"/>
      <c r="J99" s="11"/>
      <c r="K99" s="11"/>
      <c r="L99" s="11"/>
    </row>
    <row r="100" spans="1:12" x14ac:dyDescent="0.35">
      <c r="A100" s="14" t="s">
        <v>32</v>
      </c>
      <c r="B100" s="14" t="s">
        <v>31</v>
      </c>
      <c r="C100" s="14" t="s">
        <v>30</v>
      </c>
      <c r="D100" s="14" t="s">
        <v>29</v>
      </c>
      <c r="E100" s="14" t="s">
        <v>28</v>
      </c>
      <c r="F100" s="14"/>
      <c r="G100" s="14"/>
      <c r="H100" s="14"/>
      <c r="I100" s="14"/>
      <c r="J100" s="14"/>
      <c r="K100" s="14"/>
      <c r="L100" s="14"/>
    </row>
    <row r="101" spans="1:12" s="15" customFormat="1" x14ac:dyDescent="0.35">
      <c r="A101" s="17"/>
      <c r="B101" s="17"/>
      <c r="C101" s="17"/>
      <c r="D101" s="82"/>
      <c r="E101" s="82"/>
      <c r="F101" s="16"/>
      <c r="G101" s="16"/>
      <c r="H101" s="16"/>
      <c r="I101" s="11"/>
      <c r="J101" s="11"/>
      <c r="K101" s="11"/>
      <c r="L101" s="11"/>
    </row>
    <row r="102" spans="1:12" s="15" customFormat="1" x14ac:dyDescent="0.35">
      <c r="A102" s="17"/>
      <c r="B102" s="17"/>
      <c r="C102" s="17"/>
      <c r="D102" s="82"/>
      <c r="E102" s="82"/>
      <c r="F102" s="16"/>
      <c r="G102" s="16"/>
      <c r="H102" s="16"/>
      <c r="I102" s="11"/>
      <c r="J102" s="11"/>
      <c r="K102" s="11"/>
      <c r="L102" s="11"/>
    </row>
    <row r="103" spans="1:12" s="15" customFormat="1" x14ac:dyDescent="0.35">
      <c r="A103" s="17"/>
      <c r="B103" s="17"/>
      <c r="C103" s="17"/>
      <c r="D103" s="82"/>
      <c r="E103" s="82"/>
      <c r="F103" s="16"/>
      <c r="G103" s="16"/>
      <c r="H103" s="16"/>
      <c r="I103" s="11"/>
      <c r="J103" s="11"/>
      <c r="K103" s="11"/>
      <c r="L103" s="11"/>
    </row>
    <row r="104" spans="1:12" s="15" customFormat="1" x14ac:dyDescent="0.35">
      <c r="A104" s="17"/>
      <c r="B104" s="17"/>
      <c r="C104" s="17"/>
      <c r="D104" s="82"/>
      <c r="E104" s="82"/>
      <c r="F104" s="16"/>
      <c r="G104" s="16"/>
      <c r="H104" s="16"/>
      <c r="I104" s="11"/>
      <c r="J104" s="11"/>
      <c r="K104" s="11"/>
      <c r="L104" s="11"/>
    </row>
    <row r="105" spans="1:12" s="15" customFormat="1" x14ac:dyDescent="0.35">
      <c r="A105" s="17"/>
      <c r="B105" s="17"/>
      <c r="C105" s="17"/>
      <c r="D105" s="82"/>
      <c r="E105" s="82"/>
      <c r="F105" s="16"/>
      <c r="G105" s="16"/>
      <c r="H105" s="16"/>
      <c r="I105" s="11"/>
      <c r="J105" s="11"/>
      <c r="K105" s="11"/>
      <c r="L105" s="11"/>
    </row>
    <row r="106" spans="1:12" x14ac:dyDescent="0.35">
      <c r="A106" s="14" t="s">
        <v>27</v>
      </c>
      <c r="B106" s="14" t="s">
        <v>26</v>
      </c>
      <c r="C106" s="14"/>
      <c r="D106" s="14"/>
      <c r="E106" s="14"/>
      <c r="F106" s="14"/>
      <c r="G106" s="14"/>
      <c r="H106" s="14"/>
      <c r="I106" s="14"/>
      <c r="J106" s="14"/>
      <c r="K106" s="14"/>
      <c r="L106" s="14"/>
    </row>
    <row r="107" spans="1:12" x14ac:dyDescent="0.35">
      <c r="A107" s="13" t="s">
        <v>25</v>
      </c>
      <c r="B107" s="13" t="s">
        <v>24</v>
      </c>
      <c r="C107" s="12"/>
      <c r="D107" s="11"/>
      <c r="E107" s="11"/>
      <c r="F107" s="11"/>
      <c r="G107" s="11"/>
      <c r="H107" s="11"/>
      <c r="I107" s="11"/>
      <c r="J107" s="11"/>
      <c r="K107" s="11"/>
      <c r="L107" s="11"/>
    </row>
    <row r="108" spans="1:12" x14ac:dyDescent="0.35">
      <c r="A108" s="14" t="s">
        <v>23</v>
      </c>
      <c r="B108" s="14"/>
      <c r="C108" s="14"/>
      <c r="D108" s="14"/>
      <c r="E108" s="14"/>
      <c r="F108" s="14"/>
      <c r="G108" s="14"/>
      <c r="H108" s="14"/>
      <c r="I108" s="14"/>
      <c r="J108" s="14"/>
      <c r="K108" s="14"/>
      <c r="L108" s="14"/>
    </row>
    <row r="109" spans="1:12" x14ac:dyDescent="0.35">
      <c r="A109" s="13" t="s">
        <v>21</v>
      </c>
      <c r="B109" s="12"/>
      <c r="C109" s="12"/>
      <c r="D109" s="11"/>
      <c r="E109" s="11"/>
      <c r="F109" s="11"/>
      <c r="G109" s="11"/>
      <c r="H109" s="11"/>
      <c r="I109" s="11"/>
      <c r="J109" s="11"/>
      <c r="K109" s="11"/>
      <c r="L109" s="11"/>
    </row>
    <row r="110" spans="1:12" x14ac:dyDescent="0.35">
      <c r="A110" s="14" t="s">
        <v>22</v>
      </c>
      <c r="B110" s="14"/>
      <c r="C110" s="14"/>
      <c r="D110" s="14"/>
      <c r="E110" s="14"/>
      <c r="F110" s="14"/>
      <c r="G110" s="14"/>
      <c r="H110" s="14"/>
      <c r="I110" s="14"/>
      <c r="J110" s="14"/>
      <c r="K110" s="14"/>
      <c r="L110" s="14"/>
    </row>
    <row r="111" spans="1:12" x14ac:dyDescent="0.35">
      <c r="A111" s="13" t="s">
        <v>21</v>
      </c>
      <c r="B111" s="12"/>
      <c r="C111" s="12"/>
      <c r="D111" s="11"/>
      <c r="E111" s="11"/>
      <c r="F111" s="11"/>
      <c r="G111" s="11"/>
      <c r="H111" s="11"/>
      <c r="I111" s="11"/>
      <c r="J111" s="11"/>
      <c r="K111" s="11"/>
      <c r="L111"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64</v>
      </c>
      <c r="E2" s="7" t="s">
        <v>213</v>
      </c>
    </row>
    <row r="3" spans="2:5" x14ac:dyDescent="0.35">
      <c r="B3" t="s">
        <v>15</v>
      </c>
      <c r="C3" t="s">
        <v>16</v>
      </c>
      <c r="D3" t="s">
        <v>65</v>
      </c>
      <c r="E3" t="s">
        <v>16</v>
      </c>
    </row>
    <row r="4" spans="2:5" x14ac:dyDescent="0.35">
      <c r="B4" t="s">
        <v>17</v>
      </c>
      <c r="C4" t="s">
        <v>20</v>
      </c>
      <c r="D4" t="s">
        <v>101</v>
      </c>
      <c r="E4" t="s">
        <v>20</v>
      </c>
    </row>
    <row r="5" spans="2:5" x14ac:dyDescent="0.35">
      <c r="C5" t="s">
        <v>98</v>
      </c>
      <c r="D5" t="s">
        <v>100</v>
      </c>
      <c r="E5" t="s">
        <v>98</v>
      </c>
    </row>
    <row r="6" spans="2:5" x14ac:dyDescent="0.35">
      <c r="C6" t="s">
        <v>99</v>
      </c>
      <c r="E6" t="s">
        <v>99</v>
      </c>
    </row>
    <row r="7" spans="2:5" x14ac:dyDescent="0.35">
      <c r="C7" t="s">
        <v>97</v>
      </c>
      <c r="E7" t="s">
        <v>97</v>
      </c>
    </row>
    <row r="8" spans="2:5" x14ac:dyDescent="0.35">
      <c r="C8" t="s">
        <v>60</v>
      </c>
      <c r="E8" t="s">
        <v>60</v>
      </c>
    </row>
    <row r="9" spans="2:5" x14ac:dyDescent="0.35">
      <c r="C9" t="s">
        <v>114</v>
      </c>
      <c r="E9" t="s">
        <v>114</v>
      </c>
    </row>
    <row r="10" spans="2:5" x14ac:dyDescent="0.35">
      <c r="C10" t="s">
        <v>61</v>
      </c>
      <c r="E10" t="s">
        <v>212</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108</v>
      </c>
      <c r="B1" s="50" t="s">
        <v>109</v>
      </c>
      <c r="C1" s="48" t="s">
        <v>110</v>
      </c>
      <c r="D1" s="48" t="s">
        <v>112</v>
      </c>
    </row>
    <row r="2" spans="1:4" x14ac:dyDescent="0.35">
      <c r="A2" t="s">
        <v>106</v>
      </c>
      <c r="B2" s="49">
        <v>42691</v>
      </c>
      <c r="C2" t="s">
        <v>111</v>
      </c>
      <c r="D2" t="s">
        <v>113</v>
      </c>
    </row>
    <row r="3" spans="1:4" ht="29" x14ac:dyDescent="0.35">
      <c r="A3" t="s">
        <v>107</v>
      </c>
      <c r="B3" s="49">
        <v>42692</v>
      </c>
      <c r="C3" t="s">
        <v>111</v>
      </c>
      <c r="D3" s="7" t="s">
        <v>115</v>
      </c>
    </row>
    <row r="4" spans="1:4" x14ac:dyDescent="0.35">
      <c r="A4" t="s">
        <v>116</v>
      </c>
      <c r="B4" s="49">
        <v>42711</v>
      </c>
      <c r="C4" t="s">
        <v>111</v>
      </c>
      <c r="D4" t="s">
        <v>117</v>
      </c>
    </row>
    <row r="5" spans="1:4" ht="58" x14ac:dyDescent="0.35">
      <c r="A5" t="s">
        <v>118</v>
      </c>
      <c r="B5" s="49">
        <v>42760</v>
      </c>
      <c r="C5" t="s">
        <v>111</v>
      </c>
      <c r="D5" s="7" t="s">
        <v>122</v>
      </c>
    </row>
    <row r="6" spans="1:4" ht="87" x14ac:dyDescent="0.35">
      <c r="A6" t="s">
        <v>124</v>
      </c>
      <c r="B6" s="49">
        <v>42927</v>
      </c>
      <c r="C6" t="s">
        <v>111</v>
      </c>
      <c r="D6" s="7" t="s">
        <v>129</v>
      </c>
    </row>
    <row r="7" spans="1:4" ht="101.5" x14ac:dyDescent="0.35">
      <c r="A7" t="s">
        <v>130</v>
      </c>
      <c r="B7" s="49">
        <v>42936</v>
      </c>
      <c r="C7" t="s">
        <v>111</v>
      </c>
      <c r="D7" s="7" t="s">
        <v>134</v>
      </c>
    </row>
    <row r="8" spans="1:4" x14ac:dyDescent="0.35">
      <c r="A8" t="s">
        <v>135</v>
      </c>
      <c r="B8" s="49">
        <v>43076</v>
      </c>
      <c r="C8" t="s">
        <v>111</v>
      </c>
      <c r="D8" t="s">
        <v>137</v>
      </c>
    </row>
    <row r="9" spans="1:4" ht="29" x14ac:dyDescent="0.35">
      <c r="A9" t="s">
        <v>139</v>
      </c>
      <c r="B9" s="49">
        <v>43117</v>
      </c>
      <c r="C9" t="s">
        <v>111</v>
      </c>
      <c r="D9" s="7" t="s">
        <v>140</v>
      </c>
    </row>
    <row r="10" spans="1:4" ht="58" x14ac:dyDescent="0.35">
      <c r="A10" t="s">
        <v>141</v>
      </c>
      <c r="B10" s="49">
        <v>43348</v>
      </c>
      <c r="C10" t="s">
        <v>111</v>
      </c>
      <c r="D10" s="7" t="s">
        <v>148</v>
      </c>
    </row>
    <row r="11" spans="1:4" ht="72.5" x14ac:dyDescent="0.35">
      <c r="A11" t="s">
        <v>149</v>
      </c>
      <c r="B11" s="49">
        <v>43409</v>
      </c>
      <c r="C11" t="s">
        <v>111</v>
      </c>
      <c r="D11" s="7" t="s">
        <v>159</v>
      </c>
    </row>
    <row r="12" spans="1:4" x14ac:dyDescent="0.35">
      <c r="A12" t="s">
        <v>160</v>
      </c>
      <c r="B12" s="49">
        <v>43669</v>
      </c>
      <c r="C12" t="s">
        <v>111</v>
      </c>
      <c r="D12" s="7" t="s">
        <v>162</v>
      </c>
    </row>
    <row r="13" spans="1:4" ht="72.5" x14ac:dyDescent="0.35">
      <c r="A13" t="s">
        <v>163</v>
      </c>
      <c r="B13" s="49">
        <v>43846</v>
      </c>
      <c r="C13" t="s">
        <v>111</v>
      </c>
      <c r="D13" s="7" t="s">
        <v>179</v>
      </c>
    </row>
    <row r="14" spans="1:4" ht="116" x14ac:dyDescent="0.35">
      <c r="A14" t="s">
        <v>205</v>
      </c>
      <c r="B14" s="49">
        <v>43991</v>
      </c>
      <c r="C14" t="s">
        <v>111</v>
      </c>
      <c r="D14" s="7" t="s">
        <v>210</v>
      </c>
    </row>
    <row r="15" spans="1:4" ht="174" x14ac:dyDescent="0.35">
      <c r="A15" t="s">
        <v>215</v>
      </c>
      <c r="B15" s="49">
        <v>45296</v>
      </c>
      <c r="C15" t="s">
        <v>111</v>
      </c>
      <c r="D15" s="7"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2024-10-15T12:59:10Z</dcterms:modified>
</cp:coreProperties>
</file>