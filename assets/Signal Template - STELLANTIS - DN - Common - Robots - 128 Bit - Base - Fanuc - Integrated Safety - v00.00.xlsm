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
    </mc:Choice>
  </mc:AlternateContent>
  <xr:revisionPtr revIDLastSave="0" documentId="13_ncr:1_{ABFB0CED-9079-4F41-998B-0BA9B1332A53}" xr6:coauthVersionLast="47" xr6:coauthVersionMax="47" xr10:uidLastSave="{00000000-0000-0000-0000-000000000000}"/>
  <bookViews>
    <workbookView xWindow="-110" yWindow="-110" windowWidth="38620" windowHeight="2110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R212" i="2" l="1"/>
  <c r="BT210" i="2"/>
  <c r="BT209" i="2"/>
  <c r="BT207" i="2"/>
  <c r="CN202" i="2"/>
  <c r="CJ202" i="2"/>
  <c r="CN201" i="2"/>
  <c r="CJ201" i="2"/>
  <c r="CN200" i="2"/>
  <c r="CJ200" i="2"/>
  <c r="CN199" i="2"/>
  <c r="CJ199" i="2"/>
  <c r="CN198" i="2"/>
  <c r="CJ198" i="2"/>
  <c r="CN197" i="2"/>
  <c r="CJ197" i="2"/>
  <c r="CN196" i="2"/>
  <c r="CJ196" i="2"/>
  <c r="CN195" i="2"/>
  <c r="CJ195" i="2"/>
  <c r="CN194" i="2"/>
  <c r="CJ194" i="2"/>
  <c r="CN193" i="2"/>
  <c r="CJ193" i="2"/>
  <c r="BT193" i="2"/>
  <c r="CN192" i="2"/>
  <c r="CJ192" i="2"/>
  <c r="BT192" i="2"/>
  <c r="CN191" i="2"/>
  <c r="CJ191" i="2"/>
  <c r="BT191" i="2"/>
  <c r="CN190" i="2"/>
  <c r="CJ190" i="2"/>
  <c r="BT190" i="2"/>
  <c r="CN189" i="2"/>
  <c r="CJ189" i="2"/>
  <c r="CN188" i="2"/>
  <c r="CJ188" i="2"/>
  <c r="CN187" i="2"/>
  <c r="CJ187" i="2"/>
  <c r="CN186" i="2"/>
  <c r="CJ186" i="2"/>
  <c r="CN185" i="2"/>
  <c r="CJ185" i="2"/>
  <c r="CN184" i="2"/>
  <c r="CJ184" i="2"/>
  <c r="CN183" i="2"/>
  <c r="CJ183" i="2"/>
  <c r="CN182" i="2"/>
  <c r="CJ182" i="2"/>
  <c r="CN181" i="2"/>
  <c r="CJ181" i="2"/>
  <c r="BT181" i="2"/>
  <c r="CN180" i="2"/>
  <c r="CJ180" i="2"/>
  <c r="BT180" i="2"/>
  <c r="CN179" i="2"/>
  <c r="CJ179" i="2"/>
  <c r="BT179" i="2"/>
  <c r="CN178" i="2"/>
  <c r="CJ178" i="2"/>
  <c r="BT178" i="2"/>
  <c r="CN177" i="2"/>
  <c r="CJ177" i="2"/>
  <c r="BT177" i="2"/>
  <c r="CN176" i="2"/>
  <c r="CJ176" i="2"/>
  <c r="BT176" i="2"/>
  <c r="CN175" i="2"/>
  <c r="CJ175" i="2"/>
  <c r="CN174" i="2"/>
  <c r="CJ174" i="2"/>
  <c r="BT174" i="2"/>
  <c r="CN173" i="2"/>
  <c r="CJ173" i="2"/>
  <c r="BT173" i="2"/>
  <c r="CN172" i="2"/>
  <c r="CJ172" i="2"/>
  <c r="BT172" i="2"/>
  <c r="CN171" i="2"/>
  <c r="CJ171" i="2"/>
  <c r="BT171" i="2"/>
  <c r="CN170" i="2"/>
  <c r="CJ170" i="2"/>
  <c r="BT170" i="2"/>
  <c r="CN169" i="2"/>
  <c r="CJ169" i="2"/>
  <c r="BT169" i="2"/>
  <c r="CN168" i="2"/>
  <c r="CJ168" i="2"/>
  <c r="BT168" i="2"/>
  <c r="CN167" i="2"/>
  <c r="CJ167" i="2"/>
  <c r="BT167" i="2"/>
  <c r="CN166" i="2"/>
  <c r="CJ166" i="2"/>
  <c r="BT166" i="2"/>
  <c r="CN165" i="2"/>
  <c r="CJ165" i="2"/>
  <c r="BT165" i="2"/>
  <c r="CN164" i="2"/>
  <c r="CJ164" i="2"/>
  <c r="BT164" i="2"/>
  <c r="CN163" i="2"/>
  <c r="CJ163" i="2"/>
  <c r="BT163" i="2"/>
  <c r="CN162" i="2"/>
  <c r="CJ162" i="2"/>
  <c r="BT162" i="2"/>
  <c r="CN161" i="2"/>
  <c r="CJ161" i="2"/>
  <c r="CN160" i="2"/>
  <c r="CJ160" i="2"/>
  <c r="CN159" i="2"/>
  <c r="CJ159" i="2"/>
  <c r="CN158" i="2"/>
  <c r="CJ158" i="2"/>
  <c r="CN157" i="2"/>
  <c r="CJ157" i="2"/>
  <c r="CN156" i="2"/>
  <c r="CJ156" i="2"/>
  <c r="CN155" i="2"/>
  <c r="CJ155" i="2"/>
  <c r="CN154" i="2"/>
  <c r="CJ154" i="2"/>
  <c r="CN153" i="2"/>
  <c r="CJ153" i="2"/>
  <c r="CN152" i="2"/>
  <c r="CJ152" i="2"/>
  <c r="CN151" i="2"/>
  <c r="CJ151" i="2"/>
  <c r="CN150" i="2"/>
  <c r="CJ150" i="2"/>
  <c r="CN149" i="2"/>
  <c r="CJ149" i="2"/>
  <c r="CN148" i="2"/>
  <c r="CJ148" i="2"/>
  <c r="CN147" i="2"/>
  <c r="CJ147" i="2"/>
  <c r="CN146" i="2"/>
  <c r="CJ146" i="2"/>
  <c r="CN145" i="2"/>
  <c r="CJ145" i="2"/>
  <c r="CN144" i="2"/>
  <c r="CJ144" i="2"/>
  <c r="CN143" i="2"/>
  <c r="CJ143" i="2"/>
  <c r="BT143" i="2"/>
  <c r="CN142" i="2"/>
  <c r="CJ142" i="2"/>
  <c r="CN141" i="2"/>
  <c r="CJ141" i="2"/>
  <c r="CN140" i="2"/>
  <c r="CJ140" i="2"/>
  <c r="CN139" i="2"/>
  <c r="CJ139" i="2"/>
  <c r="CN138" i="2"/>
  <c r="CJ138" i="2"/>
  <c r="CN137" i="2"/>
  <c r="CJ137" i="2"/>
  <c r="CJ136" i="2"/>
  <c r="CJ135" i="2"/>
  <c r="CR134" i="2"/>
  <c r="CO134" i="2"/>
  <c r="CN134" i="2"/>
  <c r="CK134" i="2"/>
  <c r="CJ134" i="2"/>
  <c r="CR133" i="2"/>
  <c r="CO133" i="2"/>
  <c r="CN133" i="2"/>
  <c r="CK133" i="2"/>
  <c r="CJ133" i="2"/>
  <c r="CJ132" i="2"/>
  <c r="CJ131" i="2"/>
  <c r="CJ130" i="2"/>
  <c r="CJ129" i="2"/>
  <c r="CJ128" i="2"/>
  <c r="CJ127" i="2"/>
  <c r="CJ126" i="2"/>
  <c r="CJ125" i="2"/>
  <c r="CJ124" i="2"/>
  <c r="CJ123" i="2"/>
  <c r="CJ122" i="2"/>
  <c r="BT115" i="2"/>
  <c r="BT114" i="2"/>
  <c r="BT99" i="2"/>
  <c r="BT98" i="2"/>
  <c r="BT97" i="2"/>
  <c r="BT96" i="2"/>
  <c r="BT95" i="2"/>
  <c r="BT94" i="2"/>
  <c r="BT93" i="2"/>
  <c r="BT92" i="2"/>
  <c r="BT91" i="2"/>
  <c r="BG91" i="2"/>
  <c r="BD91" i="2"/>
  <c r="BT90" i="2"/>
  <c r="BG90" i="2"/>
  <c r="BD90" i="2"/>
  <c r="BT89" i="2"/>
  <c r="BG89" i="2"/>
  <c r="BD89" i="2"/>
  <c r="BT88" i="2"/>
  <c r="BG88" i="2"/>
  <c r="BD88" i="2"/>
  <c r="BT87" i="2"/>
  <c r="BG87" i="2"/>
  <c r="BD87" i="2"/>
  <c r="BT86" i="2"/>
  <c r="BG86" i="2"/>
  <c r="BD86" i="2"/>
  <c r="BT85" i="2"/>
  <c r="BG85" i="2"/>
  <c r="BD85" i="2"/>
  <c r="BT84" i="2"/>
  <c r="BG84" i="2"/>
  <c r="BD84" i="2"/>
  <c r="BT83" i="2"/>
  <c r="BG83" i="2"/>
  <c r="BD83" i="2"/>
  <c r="BT82" i="2"/>
  <c r="BG82" i="2"/>
  <c r="BD82" i="2"/>
  <c r="BT81" i="2"/>
  <c r="BG81" i="2"/>
  <c r="BD81" i="2"/>
  <c r="BT80" i="2"/>
  <c r="BG80" i="2"/>
  <c r="BD80" i="2"/>
  <c r="BT79" i="2"/>
  <c r="BD79" i="2"/>
  <c r="BT78" i="2"/>
  <c r="BD78" i="2"/>
  <c r="BT77" i="2"/>
  <c r="BD77" i="2"/>
  <c r="BD76" i="2"/>
  <c r="BT73" i="2"/>
  <c r="BT71" i="2"/>
  <c r="CN57" i="2"/>
  <c r="CJ57" i="2"/>
  <c r="BT57" i="2"/>
  <c r="CN56" i="2"/>
  <c r="CJ56" i="2"/>
  <c r="BT56" i="2"/>
  <c r="CN55" i="2"/>
  <c r="CJ55" i="2"/>
  <c r="BT55" i="2"/>
  <c r="CN54" i="2"/>
  <c r="CJ54" i="2"/>
  <c r="BT54" i="2"/>
  <c r="CN53" i="2"/>
  <c r="CJ53" i="2"/>
  <c r="BT53" i="2"/>
  <c r="CN52" i="2"/>
  <c r="CJ52" i="2"/>
  <c r="BT52" i="2"/>
  <c r="CN51" i="2"/>
  <c r="CJ51" i="2"/>
  <c r="CN50" i="2"/>
  <c r="CJ50" i="2"/>
  <c r="BT50" i="2"/>
  <c r="CN49" i="2"/>
  <c r="CJ49" i="2"/>
  <c r="BT49" i="2"/>
  <c r="CN48" i="2"/>
  <c r="CJ48" i="2"/>
  <c r="BT48" i="2"/>
  <c r="CN47" i="2"/>
  <c r="CJ47" i="2"/>
  <c r="BT47" i="2"/>
  <c r="CN46" i="2"/>
  <c r="CJ46" i="2"/>
  <c r="BT46" i="2"/>
  <c r="CN45" i="2"/>
  <c r="CJ45" i="2"/>
  <c r="BT45" i="2"/>
  <c r="CN44" i="2"/>
  <c r="CJ44" i="2"/>
  <c r="BT44" i="2"/>
  <c r="CN43" i="2"/>
  <c r="CJ43" i="2"/>
  <c r="BT43" i="2"/>
  <c r="CN42" i="2"/>
  <c r="CJ42" i="2"/>
  <c r="BT42" i="2"/>
  <c r="CN41" i="2"/>
  <c r="CJ41" i="2"/>
  <c r="CN40" i="2"/>
  <c r="CJ40" i="2"/>
  <c r="CN39" i="2"/>
  <c r="CJ39" i="2"/>
  <c r="CN38" i="2"/>
  <c r="CJ38" i="2"/>
  <c r="BT38" i="2"/>
  <c r="CN37" i="2"/>
  <c r="CJ37" i="2"/>
  <c r="BT37" i="2"/>
  <c r="CN36" i="2"/>
  <c r="CJ36" i="2"/>
  <c r="BT36" i="2"/>
  <c r="CN35" i="2"/>
  <c r="CJ35" i="2"/>
  <c r="BT35" i="2"/>
  <c r="CN34" i="2"/>
  <c r="CJ34" i="2"/>
  <c r="CN33" i="2"/>
  <c r="CJ33" i="2"/>
  <c r="CN32" i="2"/>
  <c r="CJ32" i="2"/>
  <c r="CN31" i="2"/>
  <c r="CJ31" i="2"/>
  <c r="CN30" i="2"/>
  <c r="CJ30" i="2"/>
  <c r="CN29" i="2"/>
  <c r="CJ29" i="2"/>
  <c r="CN28" i="2"/>
  <c r="CJ28" i="2"/>
  <c r="CN27" i="2"/>
  <c r="CJ27" i="2"/>
  <c r="CN26" i="2"/>
  <c r="CJ26" i="2"/>
  <c r="CN25" i="2"/>
  <c r="CJ25" i="2"/>
  <c r="CN24" i="2"/>
  <c r="CJ24" i="2"/>
  <c r="CN23" i="2"/>
  <c r="CJ23" i="2"/>
  <c r="CN22" i="2"/>
  <c r="CJ22" i="2"/>
  <c r="CN21" i="2"/>
  <c r="CJ21" i="2"/>
  <c r="CN20" i="2"/>
  <c r="CJ20" i="2"/>
  <c r="CJ19" i="2"/>
  <c r="CJ18" i="2"/>
  <c r="CJ17" i="2"/>
  <c r="CJ16" i="2"/>
  <c r="CJ15" i="2"/>
  <c r="CJ14" i="2"/>
  <c r="BW202" i="2"/>
  <c r="BW201" i="2"/>
  <c r="BW200" i="2"/>
  <c r="BW199" i="2"/>
  <c r="BW198" i="2"/>
  <c r="BW197" i="2"/>
  <c r="BW196" i="2"/>
  <c r="BW195" i="2"/>
  <c r="BW194" i="2"/>
  <c r="BW193" i="2"/>
  <c r="BW192" i="2"/>
  <c r="BW191" i="2"/>
  <c r="BW190" i="2"/>
  <c r="BW189" i="2"/>
  <c r="BW188" i="2"/>
  <c r="BW187" i="2"/>
  <c r="BW186" i="2"/>
  <c r="BW185" i="2"/>
  <c r="BW184" i="2"/>
  <c r="BW183" i="2"/>
  <c r="BW182" i="2"/>
  <c r="BW181" i="2"/>
  <c r="BW180" i="2"/>
  <c r="BW179" i="2"/>
  <c r="BW178" i="2"/>
  <c r="BW177" i="2"/>
  <c r="BW176" i="2"/>
  <c r="BW175" i="2"/>
  <c r="BW174" i="2"/>
  <c r="BW173" i="2"/>
  <c r="BW172" i="2"/>
  <c r="BW171" i="2"/>
  <c r="BW170" i="2"/>
  <c r="BW169" i="2"/>
  <c r="BW168" i="2"/>
  <c r="BW167" i="2"/>
  <c r="BW166" i="2"/>
  <c r="BW165" i="2"/>
  <c r="BW164" i="2"/>
  <c r="BW163" i="2"/>
  <c r="BW162" i="2"/>
  <c r="BW161" i="2"/>
  <c r="BW160" i="2"/>
  <c r="BW159" i="2"/>
  <c r="BW158" i="2"/>
  <c r="BW157" i="2"/>
  <c r="BW156" i="2"/>
  <c r="BW155" i="2"/>
  <c r="BW154" i="2"/>
  <c r="BW153" i="2"/>
  <c r="BW152" i="2"/>
  <c r="BW151" i="2"/>
  <c r="BW150" i="2"/>
  <c r="BW149" i="2"/>
  <c r="BW148" i="2"/>
  <c r="BW147" i="2"/>
  <c r="BW146" i="2"/>
  <c r="BW145" i="2"/>
  <c r="BW144" i="2"/>
  <c r="BW143" i="2"/>
  <c r="BW142" i="2"/>
  <c r="BW141" i="2"/>
  <c r="BW140" i="2"/>
  <c r="BW139" i="2"/>
  <c r="BW138" i="2"/>
  <c r="BW137" i="2"/>
  <c r="CN136" i="2"/>
  <c r="CN135" i="2"/>
  <c r="CN132" i="2"/>
  <c r="CN131" i="2"/>
  <c r="CN130" i="2"/>
  <c r="CN129" i="2"/>
  <c r="CN128" i="2"/>
  <c r="CN127" i="2"/>
  <c r="CN126" i="2"/>
  <c r="CN125" i="2"/>
  <c r="CN124" i="2"/>
  <c r="CN123" i="2"/>
  <c r="CN122" i="2"/>
  <c r="BW57" i="2"/>
  <c r="BW56" i="2"/>
  <c r="BW55" i="2"/>
  <c r="BW54" i="2"/>
  <c r="BW53" i="2"/>
  <c r="BW52" i="2"/>
  <c r="BW51" i="2"/>
  <c r="BW50" i="2"/>
  <c r="BW49" i="2"/>
  <c r="BW48" i="2"/>
  <c r="BW47" i="2"/>
  <c r="BW46" i="2"/>
  <c r="BW45" i="2"/>
  <c r="BW44" i="2"/>
  <c r="BW43" i="2"/>
  <c r="BW42" i="2"/>
  <c r="BW41" i="2"/>
  <c r="BW40" i="2"/>
  <c r="BW39" i="2"/>
  <c r="BW38" i="2"/>
  <c r="BW37" i="2"/>
  <c r="BW36" i="2"/>
  <c r="BW35" i="2"/>
  <c r="BW34" i="2"/>
  <c r="BW33" i="2"/>
  <c r="BW32" i="2"/>
  <c r="BW31" i="2"/>
  <c r="BW30" i="2"/>
  <c r="BW29" i="2"/>
  <c r="BW28" i="2"/>
  <c r="BW27" i="2"/>
  <c r="BW26" i="2"/>
  <c r="BW25" i="2"/>
  <c r="BW24" i="2"/>
  <c r="BW23" i="2"/>
  <c r="BW22" i="2"/>
  <c r="BW21" i="2"/>
  <c r="BW20" i="2"/>
  <c r="CN19" i="2"/>
  <c r="CN18" i="2"/>
  <c r="CN17" i="2"/>
  <c r="CN16" i="2"/>
  <c r="CN15" i="2"/>
  <c r="CN14" i="2"/>
  <c r="BT67" i="2"/>
  <c r="BT66" i="2"/>
  <c r="BT65" i="2"/>
  <c r="BT64" i="2"/>
  <c r="BT63" i="2"/>
  <c r="BS210" i="2"/>
  <c r="BS207" i="2"/>
  <c r="BS206" i="2"/>
  <c r="BS204" i="2"/>
  <c r="BS173" i="2"/>
  <c r="BS172" i="2"/>
  <c r="BS171" i="2"/>
  <c r="BS170" i="2"/>
  <c r="BS169" i="2"/>
  <c r="BS168" i="2"/>
  <c r="BS167" i="2"/>
  <c r="BS166" i="2"/>
  <c r="BS165" i="2"/>
  <c r="BS164" i="2"/>
  <c r="BS163" i="2"/>
  <c r="BS162" i="2"/>
  <c r="BS159" i="2"/>
  <c r="BS158" i="2"/>
  <c r="BS157" i="2"/>
  <c r="BS156" i="2"/>
  <c r="BS155" i="2"/>
  <c r="BS154" i="2"/>
  <c r="BS151" i="2"/>
  <c r="BS150" i="2"/>
  <c r="BS149" i="2"/>
  <c r="BS148" i="2"/>
  <c r="BS147" i="2"/>
  <c r="BS146" i="2"/>
  <c r="BS145" i="2"/>
  <c r="BS128" i="2"/>
  <c r="BS127" i="2"/>
  <c r="BS126" i="2"/>
  <c r="BS125" i="2"/>
  <c r="BS124" i="2"/>
  <c r="BS118" i="2"/>
  <c r="BS117" i="2"/>
  <c r="BS116" i="2"/>
  <c r="BS115" i="2"/>
  <c r="BS114" i="2"/>
  <c r="BS113" i="2"/>
  <c r="BS112" i="2"/>
  <c r="BS111" i="2"/>
  <c r="BS110" i="2"/>
  <c r="BS109" i="2"/>
  <c r="BS108" i="2"/>
  <c r="BS107" i="2"/>
  <c r="BS106" i="2"/>
  <c r="BS105" i="2"/>
  <c r="BS104" i="2"/>
  <c r="BS103" i="2"/>
  <c r="BS102" i="2"/>
  <c r="BS101" i="2"/>
  <c r="BS100" i="2"/>
  <c r="BS99" i="2"/>
  <c r="BS98" i="2"/>
  <c r="BS97" i="2"/>
  <c r="BS96" i="2"/>
  <c r="BS95" i="2"/>
  <c r="BS94" i="2"/>
  <c r="BS93" i="2"/>
  <c r="BS92" i="2"/>
  <c r="BS91" i="2"/>
  <c r="BS90" i="2"/>
  <c r="BS89" i="2"/>
  <c r="BS88" i="2"/>
  <c r="BS87" i="2"/>
  <c r="BS86" i="2"/>
  <c r="BS85" i="2"/>
  <c r="BS84" i="2"/>
  <c r="BS83" i="2"/>
  <c r="BS82" i="2"/>
  <c r="BS81" i="2"/>
  <c r="BS80" i="2"/>
  <c r="BS72" i="2"/>
  <c r="BS71" i="2"/>
  <c r="BS70" i="2"/>
  <c r="BS69" i="2"/>
  <c r="BS62" i="2"/>
  <c r="BS59" i="2"/>
  <c r="BS58" i="2"/>
  <c r="BS33" i="2"/>
  <c r="BS32" i="2"/>
  <c r="BS31" i="2"/>
  <c r="BS30" i="2"/>
  <c r="BS29" i="2"/>
  <c r="BS28" i="2"/>
  <c r="BS27" i="2"/>
  <c r="BS26" i="2"/>
  <c r="BS25" i="2"/>
  <c r="BS21" i="2"/>
  <c r="BS20" i="2"/>
  <c r="BS16" i="2"/>
  <c r="BS15" i="2"/>
  <c r="BS14" i="2"/>
  <c r="BI203" i="2"/>
  <c r="BG79" i="2"/>
  <c r="BG78" i="2"/>
  <c r="BG77" i="2"/>
  <c r="BG76" i="2"/>
  <c r="BD216" i="2"/>
  <c r="BD215" i="2"/>
  <c r="BD214" i="2"/>
  <c r="BD213" i="2"/>
  <c r="BD212" i="2"/>
  <c r="BD211" i="2"/>
  <c r="BD210" i="2"/>
  <c r="BD209" i="2"/>
  <c r="BD208" i="2"/>
  <c r="BD207" i="2"/>
  <c r="BD206" i="2"/>
  <c r="BD205" i="2"/>
  <c r="BD204" i="2"/>
  <c r="BD203" i="2"/>
  <c r="BD202" i="2"/>
  <c r="BD201" i="2"/>
  <c r="BD200" i="2"/>
  <c r="BD199" i="2"/>
  <c r="BD198" i="2"/>
  <c r="BD197" i="2"/>
  <c r="BD196" i="2"/>
  <c r="BD195" i="2"/>
  <c r="BD194" i="2"/>
  <c r="BD193" i="2"/>
  <c r="BD192" i="2"/>
  <c r="BD191" i="2"/>
  <c r="BD190" i="2"/>
  <c r="BD189" i="2"/>
  <c r="BD188" i="2"/>
  <c r="BD187" i="2"/>
  <c r="BD186" i="2"/>
  <c r="BD185" i="2"/>
  <c r="BD184" i="2"/>
  <c r="BD183" i="2"/>
  <c r="BD182" i="2"/>
  <c r="BD181" i="2"/>
  <c r="BD180" i="2"/>
  <c r="BD179" i="2"/>
  <c r="BD178" i="2"/>
  <c r="BD177" i="2"/>
  <c r="BD176" i="2"/>
  <c r="BD175" i="2"/>
  <c r="BD174" i="2"/>
  <c r="BD173" i="2"/>
  <c r="BD172" i="2"/>
  <c r="BD171" i="2"/>
  <c r="BD170" i="2"/>
  <c r="BD169" i="2"/>
  <c r="BD168" i="2"/>
  <c r="BD167" i="2"/>
  <c r="BD166" i="2"/>
  <c r="BD165" i="2"/>
  <c r="BD164" i="2"/>
  <c r="BD163" i="2"/>
  <c r="BD162" i="2"/>
  <c r="BD161" i="2"/>
  <c r="BD160" i="2"/>
  <c r="BD159" i="2"/>
  <c r="BD158" i="2"/>
  <c r="BD157" i="2"/>
  <c r="BD156" i="2"/>
  <c r="BD155" i="2"/>
  <c r="BD154" i="2"/>
  <c r="BD153" i="2"/>
  <c r="BD152" i="2"/>
  <c r="BD151" i="2"/>
  <c r="BD150" i="2"/>
  <c r="BD149" i="2"/>
  <c r="BD148" i="2"/>
  <c r="BD147" i="2"/>
  <c r="BD146" i="2"/>
  <c r="BD145" i="2"/>
  <c r="BD144" i="2"/>
  <c r="BD143" i="2"/>
  <c r="BD142" i="2"/>
  <c r="BD141" i="2"/>
  <c r="BD140" i="2"/>
  <c r="BD139" i="2"/>
  <c r="BD138" i="2"/>
  <c r="BD137" i="2"/>
  <c r="BD134" i="2"/>
  <c r="BD133" i="2"/>
  <c r="BD132" i="2"/>
  <c r="BD131" i="2"/>
  <c r="BD130" i="2"/>
  <c r="BD129" i="2"/>
  <c r="BD128" i="2"/>
  <c r="BD127" i="2"/>
  <c r="BD126" i="2"/>
  <c r="BD125" i="2"/>
  <c r="BD124" i="2"/>
  <c r="BD123" i="2"/>
  <c r="BD122" i="2"/>
  <c r="BD121" i="2"/>
  <c r="BD120" i="2"/>
  <c r="BD119" i="2"/>
  <c r="BD118" i="2"/>
  <c r="BD117" i="2"/>
  <c r="BD116" i="2"/>
  <c r="BD115" i="2"/>
  <c r="BD114" i="2"/>
  <c r="BD113" i="2"/>
  <c r="BD112" i="2"/>
  <c r="BD111" i="2"/>
  <c r="BD110" i="2"/>
  <c r="BD109" i="2"/>
  <c r="BD108" i="2"/>
  <c r="BD107" i="2"/>
  <c r="BD106" i="2"/>
  <c r="BD105" i="2"/>
  <c r="BD104" i="2"/>
  <c r="BD103" i="2"/>
  <c r="BD102" i="2"/>
  <c r="BD101" i="2"/>
  <c r="BD100" i="2"/>
  <c r="BD99" i="2"/>
  <c r="BD98" i="2"/>
  <c r="BD97" i="2"/>
  <c r="BD96" i="2"/>
  <c r="BD95" i="2"/>
  <c r="BD94" i="2"/>
  <c r="BD93" i="2"/>
  <c r="BD92" i="2"/>
  <c r="BF79" i="2"/>
  <c r="BF78" i="2"/>
  <c r="BF77" i="2"/>
  <c r="BF76" i="2"/>
  <c r="BD75" i="2"/>
  <c r="BD74" i="2"/>
  <c r="BD73" i="2"/>
  <c r="BD72" i="2"/>
  <c r="BD71" i="2"/>
  <c r="BD70" i="2"/>
  <c r="BD69" i="2"/>
  <c r="BD68" i="2"/>
  <c r="BD67" i="2"/>
  <c r="BD66" i="2"/>
  <c r="BD65" i="2"/>
  <c r="BD64" i="2"/>
  <c r="BD63" i="2"/>
  <c r="BD62" i="2"/>
  <c r="BD61" i="2"/>
  <c r="BD60" i="2"/>
  <c r="BD59" i="2"/>
  <c r="BD58" i="2"/>
  <c r="BD57" i="2"/>
  <c r="BD56" i="2"/>
  <c r="BD55" i="2"/>
  <c r="BD54" i="2"/>
  <c r="BD53" i="2"/>
  <c r="BD52" i="2"/>
  <c r="BD51" i="2"/>
  <c r="BD50" i="2"/>
  <c r="BD49" i="2"/>
  <c r="BD48" i="2"/>
  <c r="BD47" i="2"/>
  <c r="BD46" i="2"/>
  <c r="BD45" i="2"/>
  <c r="BD44" i="2"/>
  <c r="BD43" i="2"/>
  <c r="BD42" i="2"/>
  <c r="BD41" i="2"/>
  <c r="BD40" i="2"/>
  <c r="BD39" i="2"/>
  <c r="BD38" i="2"/>
  <c r="BD37" i="2"/>
  <c r="BD36" i="2"/>
  <c r="BD35" i="2"/>
  <c r="BD34" i="2"/>
  <c r="BD33" i="2"/>
  <c r="BD32" i="2"/>
  <c r="BD31" i="2"/>
  <c r="BD30" i="2"/>
  <c r="BD29" i="2"/>
  <c r="BD28" i="2"/>
  <c r="BD27" i="2"/>
  <c r="BD26" i="2"/>
  <c r="BD25" i="2"/>
  <c r="BD24" i="2"/>
  <c r="BD23" i="2"/>
  <c r="BD22" i="2"/>
  <c r="BD21" i="2"/>
  <c r="BD20" i="2"/>
  <c r="BD19" i="2"/>
  <c r="BD18" i="2"/>
  <c r="BD17" i="2"/>
  <c r="BD16" i="2"/>
  <c r="BD15" i="2"/>
  <c r="BD14" i="2"/>
  <c r="C4" i="10"/>
  <c r="W23" i="9"/>
  <c r="Z23" i="9" s="1"/>
  <c r="D23" i="9"/>
  <c r="F23" i="9" s="1"/>
  <c r="C23" i="9"/>
  <c r="E23" i="9" s="1"/>
  <c r="G23" i="9" s="1"/>
  <c r="Z22" i="9"/>
  <c r="E22" i="9"/>
  <c r="D22" i="9"/>
  <c r="F22" i="9" s="1"/>
  <c r="C22" i="9"/>
  <c r="W21" i="9"/>
  <c r="Z21" i="9" s="1"/>
  <c r="F21" i="9"/>
  <c r="D21" i="9"/>
  <c r="C21" i="9"/>
  <c r="E21" i="9" s="1"/>
  <c r="G21" i="9" s="1"/>
  <c r="F20" i="9"/>
  <c r="D20" i="9"/>
  <c r="C20" i="9"/>
  <c r="E20" i="9" s="1"/>
  <c r="G20" i="9" s="1"/>
  <c r="F19" i="9"/>
  <c r="D19" i="9"/>
  <c r="C19" i="9"/>
  <c r="E19" i="9" s="1"/>
  <c r="G19" i="9" s="1"/>
  <c r="F18" i="9"/>
  <c r="D18" i="9"/>
  <c r="C18" i="9"/>
  <c r="E18" i="9" s="1"/>
  <c r="G18" i="9" s="1"/>
  <c r="F17" i="9"/>
  <c r="D17" i="9"/>
  <c r="C17" i="9"/>
  <c r="E17" i="9" s="1"/>
  <c r="G17" i="9" s="1"/>
  <c r="F16" i="9"/>
  <c r="D16" i="9"/>
  <c r="C16" i="9"/>
  <c r="E16" i="9" s="1"/>
  <c r="G16" i="9" s="1"/>
  <c r="F15" i="9"/>
  <c r="D15" i="9"/>
  <c r="C15" i="9"/>
  <c r="E15" i="9" s="1"/>
  <c r="G15" i="9" s="1"/>
  <c r="F14" i="9"/>
  <c r="D14" i="9"/>
  <c r="C14" i="9"/>
  <c r="E14" i="9" s="1"/>
  <c r="G14" i="9" s="1"/>
  <c r="Q13" i="9"/>
  <c r="R13" i="9" s="1"/>
  <c r="P13" i="9"/>
  <c r="E13" i="9"/>
  <c r="D13" i="9"/>
  <c r="F13" i="9" s="1"/>
  <c r="C13" i="9"/>
  <c r="P12" i="9"/>
  <c r="Q12" i="9" s="1"/>
  <c r="R12" i="9" s="1"/>
  <c r="D12" i="9"/>
  <c r="F12" i="9" s="1"/>
  <c r="C12" i="9"/>
  <c r="E12" i="9" s="1"/>
  <c r="G12" i="9" s="1"/>
  <c r="P11" i="9"/>
  <c r="Q11" i="9" s="1"/>
  <c r="R11" i="9" s="1"/>
  <c r="L11" i="9"/>
  <c r="J11" i="9"/>
  <c r="D11" i="9"/>
  <c r="F11" i="9" s="1"/>
  <c r="C11" i="9"/>
  <c r="E11" i="9" s="1"/>
  <c r="G11" i="9" s="1"/>
  <c r="U10" i="9"/>
  <c r="P10" i="9"/>
  <c r="Q10" i="9" s="1"/>
  <c r="R10" i="9" s="1"/>
  <c r="J10" i="9"/>
  <c r="L10" i="9" s="1"/>
  <c r="D10" i="9"/>
  <c r="F10" i="9" s="1"/>
  <c r="C10" i="9"/>
  <c r="E10" i="9" s="1"/>
  <c r="G10" i="9" s="1"/>
  <c r="P9" i="9"/>
  <c r="Q9" i="9" s="1"/>
  <c r="R9" i="9" s="1"/>
  <c r="J9" i="9"/>
  <c r="L9" i="9" s="1"/>
  <c r="D9" i="9"/>
  <c r="F9" i="9" s="1"/>
  <c r="C9" i="9"/>
  <c r="E9" i="9" s="1"/>
  <c r="G9" i="9" s="1"/>
  <c r="P8" i="9"/>
  <c r="Q8" i="9" s="1"/>
  <c r="R8" i="9" s="1"/>
  <c r="J8" i="9"/>
  <c r="L8" i="9" s="1"/>
  <c r="D8" i="9"/>
  <c r="F8" i="9" s="1"/>
  <c r="C8" i="9"/>
  <c r="E8" i="9" s="1"/>
  <c r="G8" i="9" s="1"/>
  <c r="U7" i="9"/>
  <c r="Q7" i="9"/>
  <c r="R7" i="9" s="1"/>
  <c r="P7" i="9"/>
  <c r="L7" i="9"/>
  <c r="J7" i="9"/>
  <c r="E7" i="9"/>
  <c r="D7" i="9"/>
  <c r="F7" i="9" s="1"/>
  <c r="C7" i="9"/>
  <c r="U6" i="9"/>
  <c r="P6" i="9"/>
  <c r="Q6" i="9" s="1"/>
  <c r="R6" i="9" s="1"/>
  <c r="J6" i="9"/>
  <c r="L6" i="9" s="1"/>
  <c r="F6" i="9"/>
  <c r="D6" i="9"/>
  <c r="C6" i="9"/>
  <c r="E6" i="9" s="1"/>
  <c r="G6" i="9" s="1"/>
  <c r="U5" i="9"/>
  <c r="Q5" i="9"/>
  <c r="R5" i="9" s="1"/>
  <c r="P5" i="9"/>
  <c r="J5" i="9"/>
  <c r="L5" i="9" s="1"/>
  <c r="F5" i="9"/>
  <c r="D5" i="9"/>
  <c r="C5" i="9"/>
  <c r="E5" i="9" s="1"/>
  <c r="G5" i="9" s="1"/>
  <c r="U4" i="9"/>
  <c r="W24" i="9" s="1"/>
  <c r="Z24" i="9" s="1"/>
  <c r="P4" i="9"/>
  <c r="Q4" i="9" s="1"/>
  <c r="R4" i="9" s="1"/>
  <c r="J4" i="9"/>
  <c r="E4" i="9"/>
  <c r="D4" i="9"/>
  <c r="D3" i="9" s="1"/>
  <c r="F3" i="9" s="1"/>
  <c r="C4" i="9"/>
  <c r="U3" i="9"/>
  <c r="P3" i="9"/>
  <c r="Q3" i="9" s="1"/>
  <c r="R3" i="9" s="1"/>
  <c r="J3" i="9"/>
  <c r="C3" i="9"/>
  <c r="E3" i="9" s="1"/>
  <c r="G3" i="9" s="1"/>
  <c r="P2" i="9"/>
  <c r="Q2" i="9" s="1"/>
  <c r="R2" i="9" s="1"/>
  <c r="L2" i="9"/>
  <c r="J2" i="9"/>
  <c r="K6" i="1"/>
  <c r="G6" i="1"/>
  <c r="D11" i="1"/>
  <c r="G13" i="9" l="1"/>
  <c r="G22" i="9"/>
  <c r="G7" i="9"/>
  <c r="L4" i="9" s="1"/>
  <c r="F4" i="9"/>
  <c r="G4" i="9" s="1"/>
  <c r="L3" i="9" s="1"/>
  <c r="U2" i="9"/>
  <c r="AX50" i="2" l="1"/>
  <c r="E50" i="2" s="1"/>
  <c r="AX30" i="2"/>
  <c r="E30" i="2" s="1"/>
  <c r="AY196" i="2"/>
  <c r="H196" i="2" s="1"/>
  <c r="AX183" i="2"/>
  <c r="E183" i="2" s="1"/>
  <c r="AY176" i="2"/>
  <c r="H176" i="2" s="1"/>
  <c r="AX163" i="2"/>
  <c r="E163" i="2" s="1"/>
  <c r="AY156" i="2"/>
  <c r="H156" i="2" s="1"/>
  <c r="AX143" i="2"/>
  <c r="E143" i="2" s="1"/>
  <c r="AY131" i="2"/>
  <c r="H131" i="2" s="1"/>
  <c r="AY122" i="2"/>
  <c r="H122" i="2" s="1"/>
  <c r="AY43" i="2"/>
  <c r="H43" i="2" s="1"/>
  <c r="AY23" i="2"/>
  <c r="H23" i="2" s="1"/>
  <c r="B193" i="2"/>
  <c r="B170" i="2"/>
  <c r="B167" i="2"/>
  <c r="AC165" i="2"/>
  <c r="AO157" i="2"/>
  <c r="AO112" i="2"/>
  <c r="AO65" i="2"/>
  <c r="AD196" i="2"/>
  <c r="AY203" i="2"/>
  <c r="AX203" i="2"/>
  <c r="AW203" i="2"/>
  <c r="AV203" i="2"/>
  <c r="AU203" i="2"/>
  <c r="AT203" i="2"/>
  <c r="K203" i="2" s="1"/>
  <c r="AQ203" i="2"/>
  <c r="AP203" i="2"/>
  <c r="AO203" i="2"/>
  <c r="AN203" i="2"/>
  <c r="AM203" i="2"/>
  <c r="AL203" i="2"/>
  <c r="AK203" i="2"/>
  <c r="AJ203" i="2"/>
  <c r="AI203" i="2"/>
  <c r="AH203" i="2"/>
  <c r="AG203" i="2"/>
  <c r="AF203" i="2"/>
  <c r="AE203" i="2"/>
  <c r="AC203" i="2"/>
  <c r="AB203" i="2"/>
  <c r="AA203" i="2"/>
  <c r="Z203" i="2"/>
  <c r="V203" i="2"/>
  <c r="U203" i="2"/>
  <c r="T203" i="2"/>
  <c r="S203" i="2"/>
  <c r="R203" i="2"/>
  <c r="Q203" i="2"/>
  <c r="P203" i="2"/>
  <c r="O203" i="2"/>
  <c r="N203" i="2"/>
  <c r="M203" i="2"/>
  <c r="I203" i="2"/>
  <c r="H203" i="2"/>
  <c r="G203" i="2"/>
  <c r="F203" i="2"/>
  <c r="E203" i="2"/>
  <c r="D203" i="2"/>
  <c r="B203" i="2"/>
  <c r="AY202" i="2"/>
  <c r="H202" i="2" s="1"/>
  <c r="AX202" i="2"/>
  <c r="E202" i="2" s="1"/>
  <c r="AU202" i="2"/>
  <c r="AT202" i="2"/>
  <c r="AQ202" i="2"/>
  <c r="AP202" i="2"/>
  <c r="AO202" i="2"/>
  <c r="AN202" i="2"/>
  <c r="AM202" i="2"/>
  <c r="AL202" i="2"/>
  <c r="AK202" i="2"/>
  <c r="AJ202" i="2"/>
  <c r="AI202" i="2"/>
  <c r="AH202" i="2"/>
  <c r="AG202" i="2"/>
  <c r="AF202" i="2"/>
  <c r="AE202" i="2"/>
  <c r="AD202" i="2"/>
  <c r="AC202" i="2"/>
  <c r="AB202" i="2"/>
  <c r="AA202" i="2"/>
  <c r="Z202" i="2"/>
  <c r="V202" i="2"/>
  <c r="U202" i="2"/>
  <c r="T202" i="2"/>
  <c r="S202" i="2"/>
  <c r="R202" i="2"/>
  <c r="Q202" i="2"/>
  <c r="P202" i="2"/>
  <c r="O202" i="2"/>
  <c r="N202" i="2"/>
  <c r="M202" i="2"/>
  <c r="I202" i="2"/>
  <c r="G202" i="2"/>
  <c r="F202" i="2"/>
  <c r="D202" i="2"/>
  <c r="B202" i="2"/>
  <c r="AY201" i="2"/>
  <c r="H201" i="2" s="1"/>
  <c r="AX201" i="2"/>
  <c r="E201" i="2" s="1"/>
  <c r="AU201" i="2"/>
  <c r="AT201" i="2"/>
  <c r="K201" i="2" s="1"/>
  <c r="AQ201" i="2"/>
  <c r="AP201" i="2"/>
  <c r="AO201" i="2"/>
  <c r="AN201" i="2"/>
  <c r="AM201" i="2"/>
  <c r="AL201" i="2"/>
  <c r="AK201" i="2"/>
  <c r="AJ201" i="2"/>
  <c r="AI201" i="2"/>
  <c r="AH201" i="2"/>
  <c r="AG201" i="2"/>
  <c r="AF201" i="2"/>
  <c r="AE201" i="2"/>
  <c r="AC201" i="2"/>
  <c r="AB201" i="2"/>
  <c r="AA201" i="2"/>
  <c r="Z201" i="2"/>
  <c r="V201" i="2"/>
  <c r="U201" i="2"/>
  <c r="T201" i="2"/>
  <c r="S201" i="2"/>
  <c r="R201" i="2"/>
  <c r="Q201" i="2"/>
  <c r="P201" i="2"/>
  <c r="O201" i="2"/>
  <c r="N201" i="2"/>
  <c r="M201" i="2"/>
  <c r="I201" i="2"/>
  <c r="G201" i="2"/>
  <c r="F201" i="2"/>
  <c r="D201" i="2"/>
  <c r="B201" i="2"/>
  <c r="AY200" i="2"/>
  <c r="H200" i="2" s="1"/>
  <c r="AX200" i="2"/>
  <c r="E200" i="2" s="1"/>
  <c r="AU200" i="2"/>
  <c r="AT200" i="2"/>
  <c r="K200" i="2" s="1"/>
  <c r="AQ200" i="2"/>
  <c r="AP200" i="2"/>
  <c r="AO200" i="2"/>
  <c r="AN200" i="2"/>
  <c r="AM200" i="2"/>
  <c r="AL200" i="2"/>
  <c r="AK200" i="2"/>
  <c r="AJ200" i="2"/>
  <c r="AI200" i="2"/>
  <c r="AH200" i="2"/>
  <c r="AG200" i="2"/>
  <c r="AF200" i="2"/>
  <c r="AE200" i="2"/>
  <c r="AD200" i="2"/>
  <c r="AC200" i="2"/>
  <c r="AB200" i="2"/>
  <c r="AA200" i="2"/>
  <c r="Z200" i="2"/>
  <c r="V200" i="2"/>
  <c r="U200" i="2"/>
  <c r="T200" i="2"/>
  <c r="S200" i="2"/>
  <c r="R200" i="2"/>
  <c r="Q200" i="2"/>
  <c r="P200" i="2"/>
  <c r="O200" i="2"/>
  <c r="N200" i="2"/>
  <c r="M200" i="2"/>
  <c r="I200" i="2"/>
  <c r="G200" i="2"/>
  <c r="F200" i="2"/>
  <c r="D200" i="2"/>
  <c r="B200" i="2"/>
  <c r="AY199" i="2"/>
  <c r="H199" i="2" s="1"/>
  <c r="AX199" i="2"/>
  <c r="E199" i="2" s="1"/>
  <c r="AU199" i="2"/>
  <c r="AT199" i="2"/>
  <c r="K199" i="2" s="1"/>
  <c r="AQ199" i="2"/>
  <c r="AP199" i="2"/>
  <c r="AO199" i="2"/>
  <c r="AN199" i="2"/>
  <c r="AM199" i="2"/>
  <c r="AL199" i="2"/>
  <c r="AK199" i="2"/>
  <c r="AJ199" i="2"/>
  <c r="AI199" i="2"/>
  <c r="AH199" i="2"/>
  <c r="AG199" i="2"/>
  <c r="AF199" i="2"/>
  <c r="AE199" i="2"/>
  <c r="AD199" i="2"/>
  <c r="AC199" i="2"/>
  <c r="AB199" i="2"/>
  <c r="AA199" i="2"/>
  <c r="Z199" i="2"/>
  <c r="V199" i="2"/>
  <c r="U199" i="2"/>
  <c r="T199" i="2"/>
  <c r="S199" i="2"/>
  <c r="R199" i="2"/>
  <c r="Q199" i="2"/>
  <c r="P199" i="2"/>
  <c r="O199" i="2"/>
  <c r="N199" i="2"/>
  <c r="M199" i="2"/>
  <c r="I199" i="2"/>
  <c r="G199" i="2"/>
  <c r="F199" i="2"/>
  <c r="D199" i="2"/>
  <c r="B199" i="2"/>
  <c r="AY198" i="2"/>
  <c r="H198" i="2" s="1"/>
  <c r="AX198" i="2"/>
  <c r="E198" i="2" s="1"/>
  <c r="AU198" i="2"/>
  <c r="AT198" i="2"/>
  <c r="K198" i="2" s="1"/>
  <c r="AQ198" i="2"/>
  <c r="AP198" i="2"/>
  <c r="AO198" i="2"/>
  <c r="AN198" i="2"/>
  <c r="AM198" i="2"/>
  <c r="AL198" i="2"/>
  <c r="AK198" i="2"/>
  <c r="AJ198" i="2"/>
  <c r="AI198" i="2"/>
  <c r="AH198" i="2"/>
  <c r="AG198" i="2"/>
  <c r="AF198" i="2"/>
  <c r="AE198" i="2"/>
  <c r="AD198" i="2"/>
  <c r="AC198" i="2"/>
  <c r="AB198" i="2"/>
  <c r="AA198" i="2"/>
  <c r="Z198" i="2"/>
  <c r="V198" i="2"/>
  <c r="U198" i="2"/>
  <c r="T198" i="2"/>
  <c r="S198" i="2"/>
  <c r="R198" i="2"/>
  <c r="Q198" i="2"/>
  <c r="P198" i="2"/>
  <c r="O198" i="2"/>
  <c r="N198" i="2"/>
  <c r="M198" i="2"/>
  <c r="I198" i="2"/>
  <c r="G198" i="2"/>
  <c r="F198" i="2"/>
  <c r="D198" i="2"/>
  <c r="B198" i="2"/>
  <c r="AY197" i="2"/>
  <c r="H197" i="2" s="1"/>
  <c r="AX197" i="2"/>
  <c r="E197" i="2" s="1"/>
  <c r="AU197" i="2"/>
  <c r="AT197" i="2"/>
  <c r="K197" i="2" s="1"/>
  <c r="AQ197" i="2"/>
  <c r="AP197" i="2"/>
  <c r="AO197" i="2"/>
  <c r="AN197" i="2"/>
  <c r="AM197" i="2"/>
  <c r="AL197" i="2"/>
  <c r="AK197" i="2"/>
  <c r="AJ197" i="2"/>
  <c r="AI197" i="2"/>
  <c r="AH197" i="2"/>
  <c r="AG197" i="2"/>
  <c r="AF197" i="2"/>
  <c r="AE197" i="2"/>
  <c r="AD197" i="2"/>
  <c r="AC197" i="2"/>
  <c r="AB197" i="2"/>
  <c r="AA197" i="2"/>
  <c r="Z197" i="2"/>
  <c r="V197" i="2"/>
  <c r="U197" i="2"/>
  <c r="T197" i="2"/>
  <c r="S197" i="2"/>
  <c r="R197" i="2"/>
  <c r="Q197" i="2"/>
  <c r="P197" i="2"/>
  <c r="O197" i="2"/>
  <c r="N197" i="2"/>
  <c r="M197" i="2"/>
  <c r="I197" i="2"/>
  <c r="G197" i="2"/>
  <c r="F197" i="2"/>
  <c r="D197" i="2"/>
  <c r="B197" i="2"/>
  <c r="AX196" i="2"/>
  <c r="E196" i="2" s="1"/>
  <c r="AU196" i="2"/>
  <c r="AT196" i="2"/>
  <c r="K196" i="2" s="1"/>
  <c r="AQ196" i="2"/>
  <c r="AP196" i="2"/>
  <c r="AO196" i="2"/>
  <c r="AN196" i="2"/>
  <c r="AM196" i="2"/>
  <c r="AL196" i="2"/>
  <c r="AK196" i="2"/>
  <c r="AJ196" i="2"/>
  <c r="AI196" i="2"/>
  <c r="AH196" i="2"/>
  <c r="AG196" i="2"/>
  <c r="AF196" i="2"/>
  <c r="AE196" i="2"/>
  <c r="AC196" i="2"/>
  <c r="AB196" i="2"/>
  <c r="AA196" i="2"/>
  <c r="Z196" i="2"/>
  <c r="V196" i="2"/>
  <c r="U196" i="2"/>
  <c r="T196" i="2"/>
  <c r="S196" i="2"/>
  <c r="R196" i="2"/>
  <c r="Q196" i="2"/>
  <c r="P196" i="2"/>
  <c r="O196" i="2"/>
  <c r="N196" i="2"/>
  <c r="M196" i="2"/>
  <c r="I196" i="2"/>
  <c r="G196" i="2"/>
  <c r="F196" i="2"/>
  <c r="D196" i="2"/>
  <c r="B196" i="2"/>
  <c r="AY195" i="2"/>
  <c r="H195" i="2" s="1"/>
  <c r="AX195" i="2"/>
  <c r="E195" i="2" s="1"/>
  <c r="AU195" i="2"/>
  <c r="AT195" i="2"/>
  <c r="K195" i="2" s="1"/>
  <c r="AQ195" i="2"/>
  <c r="AP195" i="2"/>
  <c r="AO195" i="2"/>
  <c r="AN195" i="2"/>
  <c r="AM195" i="2"/>
  <c r="AL195" i="2"/>
  <c r="AK195" i="2"/>
  <c r="AJ195" i="2"/>
  <c r="AI195" i="2"/>
  <c r="AH195" i="2"/>
  <c r="AG195" i="2"/>
  <c r="AF195" i="2"/>
  <c r="AE195" i="2"/>
  <c r="AC195" i="2"/>
  <c r="AB195" i="2"/>
  <c r="AA195" i="2"/>
  <c r="Z195" i="2"/>
  <c r="V195" i="2"/>
  <c r="U195" i="2"/>
  <c r="T195" i="2"/>
  <c r="S195" i="2"/>
  <c r="R195" i="2"/>
  <c r="Q195" i="2"/>
  <c r="P195" i="2"/>
  <c r="O195" i="2"/>
  <c r="N195" i="2"/>
  <c r="M195" i="2"/>
  <c r="I195" i="2"/>
  <c r="G195" i="2"/>
  <c r="F195" i="2"/>
  <c r="D195" i="2"/>
  <c r="B195" i="2"/>
  <c r="AY194" i="2"/>
  <c r="H194" i="2" s="1"/>
  <c r="AX194" i="2"/>
  <c r="E194" i="2" s="1"/>
  <c r="AU194" i="2"/>
  <c r="AT194" i="2"/>
  <c r="AQ194" i="2"/>
  <c r="AP194" i="2"/>
  <c r="AO194" i="2"/>
  <c r="AN194" i="2"/>
  <c r="AM194" i="2"/>
  <c r="AL194" i="2"/>
  <c r="AK194" i="2"/>
  <c r="AJ194" i="2"/>
  <c r="AI194" i="2"/>
  <c r="AH194" i="2"/>
  <c r="AG194" i="2"/>
  <c r="AF194" i="2"/>
  <c r="AE194" i="2"/>
  <c r="AD194" i="2"/>
  <c r="AC194" i="2"/>
  <c r="AB194" i="2"/>
  <c r="AA194" i="2"/>
  <c r="Z194" i="2"/>
  <c r="V194" i="2"/>
  <c r="U194" i="2"/>
  <c r="T194" i="2"/>
  <c r="S194" i="2"/>
  <c r="R194" i="2"/>
  <c r="Q194" i="2"/>
  <c r="P194" i="2"/>
  <c r="O194" i="2"/>
  <c r="N194" i="2"/>
  <c r="M194" i="2"/>
  <c r="I194" i="2"/>
  <c r="G194" i="2"/>
  <c r="F194" i="2"/>
  <c r="D194" i="2"/>
  <c r="B194" i="2"/>
  <c r="AY193" i="2"/>
  <c r="H193" i="2" s="1"/>
  <c r="AX193" i="2"/>
  <c r="E193" i="2" s="1"/>
  <c r="AU193" i="2"/>
  <c r="AT193" i="2"/>
  <c r="K193" i="2" s="1"/>
  <c r="AQ193" i="2"/>
  <c r="AP193" i="2"/>
  <c r="AO193" i="2"/>
  <c r="AN193" i="2"/>
  <c r="AM193" i="2"/>
  <c r="AL193" i="2"/>
  <c r="AK193" i="2"/>
  <c r="AJ193" i="2"/>
  <c r="AI193" i="2"/>
  <c r="AH193" i="2"/>
  <c r="AG193" i="2"/>
  <c r="AF193" i="2"/>
  <c r="AE193" i="2"/>
  <c r="AB193" i="2"/>
  <c r="AA193" i="2"/>
  <c r="Z193" i="2"/>
  <c r="V193" i="2"/>
  <c r="U193" i="2"/>
  <c r="T193" i="2"/>
  <c r="S193" i="2"/>
  <c r="R193" i="2"/>
  <c r="Q193" i="2"/>
  <c r="P193" i="2"/>
  <c r="O193" i="2"/>
  <c r="N193" i="2"/>
  <c r="M193" i="2"/>
  <c r="I193" i="2"/>
  <c r="G193" i="2"/>
  <c r="F193" i="2"/>
  <c r="D193" i="2"/>
  <c r="AY192" i="2"/>
  <c r="H192" i="2" s="1"/>
  <c r="AX192" i="2"/>
  <c r="E192" i="2" s="1"/>
  <c r="AU192" i="2"/>
  <c r="AT192" i="2"/>
  <c r="K192" i="2" s="1"/>
  <c r="AQ192" i="2"/>
  <c r="AP192" i="2"/>
  <c r="AO192" i="2"/>
  <c r="AN192" i="2"/>
  <c r="AM192" i="2"/>
  <c r="AL192" i="2"/>
  <c r="AK192" i="2"/>
  <c r="AJ192" i="2"/>
  <c r="AI192" i="2"/>
  <c r="AH192" i="2"/>
  <c r="AG192" i="2"/>
  <c r="AF192" i="2"/>
  <c r="AE192" i="2"/>
  <c r="AC192" i="2"/>
  <c r="AB192" i="2"/>
  <c r="AA192" i="2"/>
  <c r="Z192" i="2"/>
  <c r="V192" i="2"/>
  <c r="U192" i="2"/>
  <c r="T192" i="2"/>
  <c r="S192" i="2"/>
  <c r="R192" i="2"/>
  <c r="Q192" i="2"/>
  <c r="P192" i="2"/>
  <c r="O192" i="2"/>
  <c r="N192" i="2"/>
  <c r="M192" i="2"/>
  <c r="I192" i="2"/>
  <c r="G192" i="2"/>
  <c r="F192" i="2"/>
  <c r="D192" i="2"/>
  <c r="B192" i="2"/>
  <c r="AY191" i="2"/>
  <c r="H191" i="2" s="1"/>
  <c r="AX191" i="2"/>
  <c r="E191" i="2" s="1"/>
  <c r="AU191" i="2"/>
  <c r="AT191" i="2"/>
  <c r="K191" i="2" s="1"/>
  <c r="AQ191" i="2"/>
  <c r="AP191" i="2"/>
  <c r="AO191" i="2"/>
  <c r="AN191" i="2"/>
  <c r="AM191" i="2"/>
  <c r="AL191" i="2"/>
  <c r="AK191" i="2"/>
  <c r="AJ191" i="2"/>
  <c r="AI191" i="2"/>
  <c r="AH191" i="2"/>
  <c r="AG191" i="2"/>
  <c r="AF191" i="2"/>
  <c r="AE191" i="2"/>
  <c r="AC191" i="2"/>
  <c r="AB191" i="2"/>
  <c r="AA191" i="2"/>
  <c r="Z191" i="2"/>
  <c r="V191" i="2"/>
  <c r="U191" i="2"/>
  <c r="T191" i="2"/>
  <c r="S191" i="2"/>
  <c r="R191" i="2"/>
  <c r="Q191" i="2"/>
  <c r="P191" i="2"/>
  <c r="O191" i="2"/>
  <c r="N191" i="2"/>
  <c r="M191" i="2"/>
  <c r="I191" i="2"/>
  <c r="G191" i="2"/>
  <c r="F191" i="2"/>
  <c r="D191" i="2"/>
  <c r="B191" i="2"/>
  <c r="AY190" i="2"/>
  <c r="H190" i="2" s="1"/>
  <c r="AX190" i="2"/>
  <c r="E190" i="2" s="1"/>
  <c r="AU190" i="2"/>
  <c r="AT190" i="2"/>
  <c r="K190" i="2" s="1"/>
  <c r="AQ190" i="2"/>
  <c r="AP190" i="2"/>
  <c r="AO190" i="2"/>
  <c r="AN190" i="2"/>
  <c r="AM190" i="2"/>
  <c r="AL190" i="2"/>
  <c r="AK190" i="2"/>
  <c r="AJ190" i="2"/>
  <c r="AI190" i="2"/>
  <c r="AH190" i="2"/>
  <c r="AG190" i="2"/>
  <c r="AF190" i="2"/>
  <c r="AE190" i="2"/>
  <c r="AD190" i="2"/>
  <c r="AC190" i="2"/>
  <c r="AB190" i="2"/>
  <c r="AA190" i="2"/>
  <c r="Z190" i="2"/>
  <c r="V190" i="2"/>
  <c r="U190" i="2"/>
  <c r="T190" i="2"/>
  <c r="S190" i="2"/>
  <c r="R190" i="2"/>
  <c r="Q190" i="2"/>
  <c r="P190" i="2"/>
  <c r="O190" i="2"/>
  <c r="N190" i="2"/>
  <c r="M190" i="2"/>
  <c r="I190" i="2"/>
  <c r="G190" i="2"/>
  <c r="F190" i="2"/>
  <c r="D190" i="2"/>
  <c r="B190" i="2"/>
  <c r="AY189" i="2"/>
  <c r="H189" i="2" s="1"/>
  <c r="AX189" i="2"/>
  <c r="E189" i="2" s="1"/>
  <c r="AU189" i="2"/>
  <c r="AT189" i="2"/>
  <c r="K189" i="2" s="1"/>
  <c r="AQ189" i="2"/>
  <c r="AP189" i="2"/>
  <c r="AO189" i="2"/>
  <c r="AN189" i="2"/>
  <c r="AM189" i="2"/>
  <c r="AL189" i="2"/>
  <c r="AK189" i="2"/>
  <c r="AJ189" i="2"/>
  <c r="AI189" i="2"/>
  <c r="AH189" i="2"/>
  <c r="AG189" i="2"/>
  <c r="AF189" i="2"/>
  <c r="AE189" i="2"/>
  <c r="AD189" i="2"/>
  <c r="AC189" i="2"/>
  <c r="AB189" i="2"/>
  <c r="AA189" i="2"/>
  <c r="Z189" i="2"/>
  <c r="V189" i="2"/>
  <c r="U189" i="2"/>
  <c r="T189" i="2"/>
  <c r="S189" i="2"/>
  <c r="R189" i="2"/>
  <c r="Q189" i="2"/>
  <c r="P189" i="2"/>
  <c r="O189" i="2"/>
  <c r="N189" i="2"/>
  <c r="M189" i="2"/>
  <c r="I189" i="2"/>
  <c r="G189" i="2"/>
  <c r="F189" i="2"/>
  <c r="D189" i="2"/>
  <c r="B189" i="2"/>
  <c r="AY188" i="2"/>
  <c r="H188" i="2" s="1"/>
  <c r="AX188" i="2"/>
  <c r="E188" i="2" s="1"/>
  <c r="AU188" i="2"/>
  <c r="AT188" i="2"/>
  <c r="K188" i="2" s="1"/>
  <c r="AQ188" i="2"/>
  <c r="AP188" i="2"/>
  <c r="AO188" i="2"/>
  <c r="AN188" i="2"/>
  <c r="AM188" i="2"/>
  <c r="AL188" i="2"/>
  <c r="AK188" i="2"/>
  <c r="AJ188" i="2"/>
  <c r="AI188" i="2"/>
  <c r="AH188" i="2"/>
  <c r="AG188" i="2"/>
  <c r="AF188" i="2"/>
  <c r="AE188" i="2"/>
  <c r="AD188" i="2"/>
  <c r="AC188" i="2"/>
  <c r="AB188" i="2"/>
  <c r="AA188" i="2"/>
  <c r="Z188" i="2"/>
  <c r="V188" i="2"/>
  <c r="U188" i="2"/>
  <c r="T188" i="2"/>
  <c r="S188" i="2"/>
  <c r="R188" i="2"/>
  <c r="Q188" i="2"/>
  <c r="P188" i="2"/>
  <c r="O188" i="2"/>
  <c r="N188" i="2"/>
  <c r="M188" i="2"/>
  <c r="I188" i="2"/>
  <c r="G188" i="2"/>
  <c r="F188" i="2"/>
  <c r="D188" i="2"/>
  <c r="B188" i="2"/>
  <c r="AY187" i="2"/>
  <c r="H187" i="2" s="1"/>
  <c r="AX187" i="2"/>
  <c r="E187" i="2" s="1"/>
  <c r="AU187" i="2"/>
  <c r="AT187" i="2"/>
  <c r="K187" i="2" s="1"/>
  <c r="AQ187" i="2"/>
  <c r="AP187" i="2"/>
  <c r="AO187" i="2"/>
  <c r="AN187" i="2"/>
  <c r="AM187" i="2"/>
  <c r="AL187" i="2"/>
  <c r="AK187" i="2"/>
  <c r="AJ187" i="2"/>
  <c r="AI187" i="2"/>
  <c r="AH187" i="2"/>
  <c r="AG187" i="2"/>
  <c r="AF187" i="2"/>
  <c r="AE187" i="2"/>
  <c r="AC187" i="2"/>
  <c r="AB187" i="2"/>
  <c r="AA187" i="2"/>
  <c r="Z187" i="2"/>
  <c r="V187" i="2"/>
  <c r="U187" i="2"/>
  <c r="T187" i="2"/>
  <c r="S187" i="2"/>
  <c r="R187" i="2"/>
  <c r="Q187" i="2"/>
  <c r="P187" i="2"/>
  <c r="O187" i="2"/>
  <c r="N187" i="2"/>
  <c r="M187" i="2"/>
  <c r="I187" i="2"/>
  <c r="G187" i="2"/>
  <c r="F187" i="2"/>
  <c r="D187" i="2"/>
  <c r="B187" i="2"/>
  <c r="AY186" i="2"/>
  <c r="H186" i="2" s="1"/>
  <c r="AX186" i="2"/>
  <c r="E186" i="2" s="1"/>
  <c r="AU186" i="2"/>
  <c r="AT186" i="2"/>
  <c r="K186" i="2" s="1"/>
  <c r="AQ186" i="2"/>
  <c r="AP186" i="2"/>
  <c r="AO186" i="2"/>
  <c r="AN186" i="2"/>
  <c r="AM186" i="2"/>
  <c r="AL186" i="2"/>
  <c r="AK186" i="2"/>
  <c r="AJ186" i="2"/>
  <c r="AI186" i="2"/>
  <c r="AH186" i="2"/>
  <c r="AG186" i="2"/>
  <c r="AF186" i="2"/>
  <c r="AE186" i="2"/>
  <c r="AD186" i="2"/>
  <c r="AC186" i="2"/>
  <c r="AB186" i="2"/>
  <c r="AA186" i="2"/>
  <c r="Z186" i="2"/>
  <c r="V186" i="2"/>
  <c r="U186" i="2"/>
  <c r="T186" i="2"/>
  <c r="S186" i="2"/>
  <c r="R186" i="2"/>
  <c r="Q186" i="2"/>
  <c r="P186" i="2"/>
  <c r="O186" i="2"/>
  <c r="N186" i="2"/>
  <c r="M186" i="2"/>
  <c r="I186" i="2"/>
  <c r="G186" i="2"/>
  <c r="F186" i="2"/>
  <c r="D186" i="2"/>
  <c r="B186" i="2"/>
  <c r="AY185" i="2"/>
  <c r="H185" i="2" s="1"/>
  <c r="AX185" i="2"/>
  <c r="E185" i="2" s="1"/>
  <c r="AU185" i="2"/>
  <c r="AT185" i="2"/>
  <c r="K185" i="2" s="1"/>
  <c r="AQ185" i="2"/>
  <c r="AP185" i="2"/>
  <c r="AO185" i="2"/>
  <c r="AN185" i="2"/>
  <c r="AM185" i="2"/>
  <c r="AL185" i="2"/>
  <c r="AK185" i="2"/>
  <c r="AJ185" i="2"/>
  <c r="AI185" i="2"/>
  <c r="AH185" i="2"/>
  <c r="AG185" i="2"/>
  <c r="AF185" i="2"/>
  <c r="AE185" i="2"/>
  <c r="AD185" i="2"/>
  <c r="AC185" i="2"/>
  <c r="AB185" i="2"/>
  <c r="AA185" i="2"/>
  <c r="Z185" i="2"/>
  <c r="V185" i="2"/>
  <c r="U185" i="2"/>
  <c r="T185" i="2"/>
  <c r="S185" i="2"/>
  <c r="R185" i="2"/>
  <c r="Q185" i="2"/>
  <c r="P185" i="2"/>
  <c r="O185" i="2"/>
  <c r="N185" i="2"/>
  <c r="M185" i="2"/>
  <c r="I185" i="2"/>
  <c r="G185" i="2"/>
  <c r="F185" i="2"/>
  <c r="D185" i="2"/>
  <c r="B185" i="2"/>
  <c r="AY184" i="2"/>
  <c r="H184" i="2" s="1"/>
  <c r="AX184" i="2"/>
  <c r="E184" i="2" s="1"/>
  <c r="AU184" i="2"/>
  <c r="AT184" i="2"/>
  <c r="K184" i="2" s="1"/>
  <c r="AQ184" i="2"/>
  <c r="AP184" i="2"/>
  <c r="AO184" i="2"/>
  <c r="AN184" i="2"/>
  <c r="AM184" i="2"/>
  <c r="AL184" i="2"/>
  <c r="AK184" i="2"/>
  <c r="AJ184" i="2"/>
  <c r="AI184" i="2"/>
  <c r="AH184" i="2"/>
  <c r="AG184" i="2"/>
  <c r="AF184" i="2"/>
  <c r="AE184" i="2"/>
  <c r="AD184" i="2"/>
  <c r="AC184" i="2"/>
  <c r="AB184" i="2"/>
  <c r="AA184" i="2"/>
  <c r="Z184" i="2"/>
  <c r="V184" i="2"/>
  <c r="U184" i="2"/>
  <c r="T184" i="2"/>
  <c r="S184" i="2"/>
  <c r="R184" i="2"/>
  <c r="Q184" i="2"/>
  <c r="P184" i="2"/>
  <c r="O184" i="2"/>
  <c r="N184" i="2"/>
  <c r="M184" i="2"/>
  <c r="I184" i="2"/>
  <c r="G184" i="2"/>
  <c r="F184" i="2"/>
  <c r="D184" i="2"/>
  <c r="B184" i="2"/>
  <c r="AY183" i="2"/>
  <c r="H183" i="2" s="1"/>
  <c r="AU183" i="2"/>
  <c r="AT183" i="2"/>
  <c r="K183" i="2" s="1"/>
  <c r="AQ183" i="2"/>
  <c r="AP183" i="2"/>
  <c r="AO183" i="2"/>
  <c r="AN183" i="2"/>
  <c r="AM183" i="2"/>
  <c r="AL183" i="2"/>
  <c r="AK183" i="2"/>
  <c r="AJ183" i="2"/>
  <c r="AI183" i="2"/>
  <c r="AH183" i="2"/>
  <c r="AG183" i="2"/>
  <c r="AF183" i="2"/>
  <c r="AE183" i="2"/>
  <c r="AD183" i="2"/>
  <c r="AC183" i="2"/>
  <c r="AB183" i="2"/>
  <c r="AA183" i="2"/>
  <c r="Z183" i="2"/>
  <c r="V183" i="2"/>
  <c r="U183" i="2"/>
  <c r="T183" i="2"/>
  <c r="S183" i="2"/>
  <c r="R183" i="2"/>
  <c r="Q183" i="2"/>
  <c r="P183" i="2"/>
  <c r="O183" i="2"/>
  <c r="N183" i="2"/>
  <c r="M183" i="2"/>
  <c r="I183" i="2"/>
  <c r="G183" i="2"/>
  <c r="F183" i="2"/>
  <c r="D183" i="2"/>
  <c r="B183" i="2"/>
  <c r="AY182" i="2"/>
  <c r="H182" i="2" s="1"/>
  <c r="AX182" i="2"/>
  <c r="E182" i="2" s="1"/>
  <c r="AU182" i="2"/>
  <c r="AT182" i="2"/>
  <c r="K182" i="2" s="1"/>
  <c r="AQ182" i="2"/>
  <c r="AP182" i="2"/>
  <c r="AO182" i="2"/>
  <c r="AN182" i="2"/>
  <c r="AM182" i="2"/>
  <c r="AL182" i="2"/>
  <c r="AK182" i="2"/>
  <c r="AJ182" i="2"/>
  <c r="AI182" i="2"/>
  <c r="AH182" i="2"/>
  <c r="AG182" i="2"/>
  <c r="AF182" i="2"/>
  <c r="AE182" i="2"/>
  <c r="AD182" i="2"/>
  <c r="AC182" i="2"/>
  <c r="AB182" i="2"/>
  <c r="AA182" i="2"/>
  <c r="Z182" i="2"/>
  <c r="V182" i="2"/>
  <c r="U182" i="2"/>
  <c r="T182" i="2"/>
  <c r="S182" i="2"/>
  <c r="R182" i="2"/>
  <c r="Q182" i="2"/>
  <c r="P182" i="2"/>
  <c r="O182" i="2"/>
  <c r="N182" i="2"/>
  <c r="M182" i="2"/>
  <c r="I182" i="2"/>
  <c r="G182" i="2"/>
  <c r="F182" i="2"/>
  <c r="D182" i="2"/>
  <c r="B182" i="2"/>
  <c r="AY181" i="2"/>
  <c r="H181" i="2" s="1"/>
  <c r="AX181" i="2"/>
  <c r="E181" i="2" s="1"/>
  <c r="AU181" i="2"/>
  <c r="AT181" i="2"/>
  <c r="K181" i="2" s="1"/>
  <c r="AQ181" i="2"/>
  <c r="AP181" i="2"/>
  <c r="AO181" i="2"/>
  <c r="AN181" i="2"/>
  <c r="AM181" i="2"/>
  <c r="AL181" i="2"/>
  <c r="AK181" i="2"/>
  <c r="AJ181" i="2"/>
  <c r="AI181" i="2"/>
  <c r="AH181" i="2"/>
  <c r="AG181" i="2"/>
  <c r="AF181" i="2"/>
  <c r="AE181" i="2"/>
  <c r="AD181" i="2"/>
  <c r="AC181" i="2"/>
  <c r="AB181" i="2"/>
  <c r="AA181" i="2"/>
  <c r="Z181" i="2"/>
  <c r="V181" i="2"/>
  <c r="U181" i="2"/>
  <c r="T181" i="2"/>
  <c r="S181" i="2"/>
  <c r="R181" i="2"/>
  <c r="Q181" i="2"/>
  <c r="P181" i="2"/>
  <c r="O181" i="2"/>
  <c r="N181" i="2"/>
  <c r="M181" i="2"/>
  <c r="I181" i="2"/>
  <c r="G181" i="2"/>
  <c r="F181" i="2"/>
  <c r="D181" i="2"/>
  <c r="B181" i="2"/>
  <c r="AY180" i="2"/>
  <c r="H180" i="2" s="1"/>
  <c r="AX180" i="2"/>
  <c r="E180" i="2" s="1"/>
  <c r="AU180" i="2"/>
  <c r="AT180" i="2"/>
  <c r="K180" i="2" s="1"/>
  <c r="AQ180" i="2"/>
  <c r="AP180" i="2"/>
  <c r="AO180" i="2"/>
  <c r="AN180" i="2"/>
  <c r="AM180" i="2"/>
  <c r="AL180" i="2"/>
  <c r="AK180" i="2"/>
  <c r="AJ180" i="2"/>
  <c r="AI180" i="2"/>
  <c r="AH180" i="2"/>
  <c r="AG180" i="2"/>
  <c r="AF180" i="2"/>
  <c r="AE180" i="2"/>
  <c r="AD180" i="2"/>
  <c r="AC180" i="2"/>
  <c r="AB180" i="2"/>
  <c r="AA180" i="2"/>
  <c r="Z180" i="2"/>
  <c r="V180" i="2"/>
  <c r="U180" i="2"/>
  <c r="T180" i="2"/>
  <c r="S180" i="2"/>
  <c r="R180" i="2"/>
  <c r="Q180" i="2"/>
  <c r="P180" i="2"/>
  <c r="O180" i="2"/>
  <c r="N180" i="2"/>
  <c r="M180" i="2"/>
  <c r="I180" i="2"/>
  <c r="G180" i="2"/>
  <c r="F180" i="2"/>
  <c r="D180" i="2"/>
  <c r="B180" i="2"/>
  <c r="AY179" i="2"/>
  <c r="H179" i="2" s="1"/>
  <c r="AX179" i="2"/>
  <c r="E179" i="2" s="1"/>
  <c r="AU179" i="2"/>
  <c r="AT179" i="2"/>
  <c r="K179" i="2" s="1"/>
  <c r="AQ179" i="2"/>
  <c r="AP179" i="2"/>
  <c r="AO179" i="2"/>
  <c r="AN179" i="2"/>
  <c r="AM179" i="2"/>
  <c r="AL179" i="2"/>
  <c r="AK179" i="2"/>
  <c r="AJ179" i="2"/>
  <c r="AI179" i="2"/>
  <c r="AH179" i="2"/>
  <c r="AG179" i="2"/>
  <c r="AF179" i="2"/>
  <c r="AE179" i="2"/>
  <c r="AD179" i="2"/>
  <c r="AC179" i="2"/>
  <c r="AB179" i="2"/>
  <c r="AA179" i="2"/>
  <c r="Z179" i="2"/>
  <c r="V179" i="2"/>
  <c r="U179" i="2"/>
  <c r="T179" i="2"/>
  <c r="S179" i="2"/>
  <c r="R179" i="2"/>
  <c r="Q179" i="2"/>
  <c r="P179" i="2"/>
  <c r="O179" i="2"/>
  <c r="N179" i="2"/>
  <c r="M179" i="2"/>
  <c r="I179" i="2"/>
  <c r="G179" i="2"/>
  <c r="F179" i="2"/>
  <c r="D179" i="2"/>
  <c r="B179" i="2"/>
  <c r="AY178" i="2"/>
  <c r="H178" i="2" s="1"/>
  <c r="AX178" i="2"/>
  <c r="E178" i="2" s="1"/>
  <c r="AU178" i="2"/>
  <c r="AT178" i="2"/>
  <c r="K178" i="2" s="1"/>
  <c r="AQ178" i="2"/>
  <c r="AP178" i="2"/>
  <c r="AO178" i="2"/>
  <c r="AN178" i="2"/>
  <c r="AM178" i="2"/>
  <c r="AL178" i="2"/>
  <c r="AK178" i="2"/>
  <c r="AJ178" i="2"/>
  <c r="AI178" i="2"/>
  <c r="AH178" i="2"/>
  <c r="AG178" i="2"/>
  <c r="AF178" i="2"/>
  <c r="AE178" i="2"/>
  <c r="AD178" i="2"/>
  <c r="AC178" i="2"/>
  <c r="AB178" i="2"/>
  <c r="AA178" i="2"/>
  <c r="Z178" i="2"/>
  <c r="V178" i="2"/>
  <c r="U178" i="2"/>
  <c r="T178" i="2"/>
  <c r="S178" i="2"/>
  <c r="R178" i="2"/>
  <c r="Q178" i="2"/>
  <c r="P178" i="2"/>
  <c r="O178" i="2"/>
  <c r="N178" i="2"/>
  <c r="M178" i="2"/>
  <c r="I178" i="2"/>
  <c r="G178" i="2"/>
  <c r="F178" i="2"/>
  <c r="D178" i="2"/>
  <c r="B178" i="2"/>
  <c r="AY177" i="2"/>
  <c r="H177" i="2" s="1"/>
  <c r="AX177" i="2"/>
  <c r="E177" i="2" s="1"/>
  <c r="AU177" i="2"/>
  <c r="AT177" i="2"/>
  <c r="K177" i="2" s="1"/>
  <c r="AQ177" i="2"/>
  <c r="AP177" i="2"/>
  <c r="AO177" i="2"/>
  <c r="AN177" i="2"/>
  <c r="AM177" i="2"/>
  <c r="AL177" i="2"/>
  <c r="AK177" i="2"/>
  <c r="AJ177" i="2"/>
  <c r="AI177" i="2"/>
  <c r="AH177" i="2"/>
  <c r="AG177" i="2"/>
  <c r="AF177" i="2"/>
  <c r="AE177" i="2"/>
  <c r="AC177" i="2"/>
  <c r="AB177" i="2"/>
  <c r="AA177" i="2"/>
  <c r="Z177" i="2"/>
  <c r="V177" i="2"/>
  <c r="U177" i="2"/>
  <c r="T177" i="2"/>
  <c r="S177" i="2"/>
  <c r="R177" i="2"/>
  <c r="Q177" i="2"/>
  <c r="P177" i="2"/>
  <c r="O177" i="2"/>
  <c r="N177" i="2"/>
  <c r="M177" i="2"/>
  <c r="I177" i="2"/>
  <c r="G177" i="2"/>
  <c r="F177" i="2"/>
  <c r="D177" i="2"/>
  <c r="B177" i="2"/>
  <c r="AX176" i="2"/>
  <c r="E176" i="2" s="1"/>
  <c r="AU176" i="2"/>
  <c r="AT176" i="2"/>
  <c r="K176" i="2" s="1"/>
  <c r="AQ176" i="2"/>
  <c r="AP176" i="2"/>
  <c r="AO176" i="2"/>
  <c r="AN176" i="2"/>
  <c r="AM176" i="2"/>
  <c r="AL176" i="2"/>
  <c r="AK176" i="2"/>
  <c r="AJ176" i="2"/>
  <c r="AI176" i="2"/>
  <c r="AH176" i="2"/>
  <c r="AG176" i="2"/>
  <c r="AF176" i="2"/>
  <c r="AE176" i="2"/>
  <c r="AC176" i="2"/>
  <c r="AB176" i="2"/>
  <c r="AA176" i="2"/>
  <c r="Z176" i="2"/>
  <c r="V176" i="2"/>
  <c r="U176" i="2"/>
  <c r="T176" i="2"/>
  <c r="S176" i="2"/>
  <c r="R176" i="2"/>
  <c r="Q176" i="2"/>
  <c r="P176" i="2"/>
  <c r="O176" i="2"/>
  <c r="N176" i="2"/>
  <c r="M176" i="2"/>
  <c r="I176" i="2"/>
  <c r="G176" i="2"/>
  <c r="F176" i="2"/>
  <c r="D176" i="2"/>
  <c r="B176" i="2"/>
  <c r="AY175" i="2"/>
  <c r="H175" i="2" s="1"/>
  <c r="AX175" i="2"/>
  <c r="E175" i="2" s="1"/>
  <c r="AU175" i="2"/>
  <c r="AT175" i="2"/>
  <c r="K175" i="2" s="1"/>
  <c r="AQ175" i="2"/>
  <c r="AP175" i="2"/>
  <c r="AO175" i="2"/>
  <c r="AN175" i="2"/>
  <c r="AM175" i="2"/>
  <c r="AL175" i="2"/>
  <c r="AK175" i="2"/>
  <c r="AJ175" i="2"/>
  <c r="AI175" i="2"/>
  <c r="AH175" i="2"/>
  <c r="AG175" i="2"/>
  <c r="AF175" i="2"/>
  <c r="AE175" i="2"/>
  <c r="AD175" i="2"/>
  <c r="AC175" i="2"/>
  <c r="AB175" i="2"/>
  <c r="AA175" i="2"/>
  <c r="Z175" i="2"/>
  <c r="V175" i="2"/>
  <c r="U175" i="2"/>
  <c r="T175" i="2"/>
  <c r="S175" i="2"/>
  <c r="R175" i="2"/>
  <c r="Q175" i="2"/>
  <c r="P175" i="2"/>
  <c r="O175" i="2"/>
  <c r="N175" i="2"/>
  <c r="M175" i="2"/>
  <c r="I175" i="2"/>
  <c r="G175" i="2"/>
  <c r="F175" i="2"/>
  <c r="D175" i="2"/>
  <c r="B175" i="2"/>
  <c r="AY174" i="2"/>
  <c r="H174" i="2" s="1"/>
  <c r="AX174" i="2"/>
  <c r="E174" i="2" s="1"/>
  <c r="AU174" i="2"/>
  <c r="AT174" i="2"/>
  <c r="K174" i="2" s="1"/>
  <c r="AQ174" i="2"/>
  <c r="AP174" i="2"/>
  <c r="AO174" i="2"/>
  <c r="AN174" i="2"/>
  <c r="AM174" i="2"/>
  <c r="AL174" i="2"/>
  <c r="AK174" i="2"/>
  <c r="AJ174" i="2"/>
  <c r="AI174" i="2"/>
  <c r="AH174" i="2"/>
  <c r="AG174" i="2"/>
  <c r="AF174" i="2"/>
  <c r="AE174" i="2"/>
  <c r="AD174" i="2"/>
  <c r="AC174" i="2"/>
  <c r="AB174" i="2"/>
  <c r="AA174" i="2"/>
  <c r="Z174" i="2"/>
  <c r="V174" i="2"/>
  <c r="U174" i="2"/>
  <c r="T174" i="2"/>
  <c r="S174" i="2"/>
  <c r="R174" i="2"/>
  <c r="Q174" i="2"/>
  <c r="P174" i="2"/>
  <c r="O174" i="2"/>
  <c r="N174" i="2"/>
  <c r="M174" i="2"/>
  <c r="I174" i="2"/>
  <c r="G174" i="2"/>
  <c r="F174" i="2"/>
  <c r="D174" i="2"/>
  <c r="B174" i="2"/>
  <c r="AY173" i="2"/>
  <c r="H173" i="2" s="1"/>
  <c r="AX173" i="2"/>
  <c r="E173" i="2" s="1"/>
  <c r="AU173" i="2"/>
  <c r="AT173" i="2"/>
  <c r="K173" i="2" s="1"/>
  <c r="AQ173" i="2"/>
  <c r="AP173" i="2"/>
  <c r="AO173" i="2"/>
  <c r="AN173" i="2"/>
  <c r="AM173" i="2"/>
  <c r="AL173" i="2"/>
  <c r="AK173" i="2"/>
  <c r="AJ173" i="2"/>
  <c r="AI173" i="2"/>
  <c r="AH173" i="2"/>
  <c r="AG173" i="2"/>
  <c r="AF173" i="2"/>
  <c r="AE173" i="2"/>
  <c r="AC173" i="2"/>
  <c r="AB173" i="2"/>
  <c r="AA173" i="2"/>
  <c r="Z173" i="2"/>
  <c r="V173" i="2"/>
  <c r="U173" i="2"/>
  <c r="T173" i="2"/>
  <c r="S173" i="2"/>
  <c r="R173" i="2"/>
  <c r="Q173" i="2"/>
  <c r="P173" i="2"/>
  <c r="O173" i="2"/>
  <c r="N173" i="2"/>
  <c r="M173" i="2"/>
  <c r="I173" i="2"/>
  <c r="G173" i="2"/>
  <c r="F173" i="2"/>
  <c r="D173" i="2"/>
  <c r="B173" i="2"/>
  <c r="AY172" i="2"/>
  <c r="H172" i="2" s="1"/>
  <c r="AX172" i="2"/>
  <c r="E172" i="2" s="1"/>
  <c r="AU172" i="2"/>
  <c r="AT172" i="2"/>
  <c r="K172" i="2" s="1"/>
  <c r="AQ172" i="2"/>
  <c r="AP172" i="2"/>
  <c r="AO172" i="2"/>
  <c r="AN172" i="2"/>
  <c r="AM172" i="2"/>
  <c r="AL172" i="2"/>
  <c r="AK172" i="2"/>
  <c r="AJ172" i="2"/>
  <c r="AI172" i="2"/>
  <c r="AH172" i="2"/>
  <c r="AG172" i="2"/>
  <c r="AF172" i="2"/>
  <c r="AE172" i="2"/>
  <c r="AD172" i="2"/>
  <c r="AC172" i="2"/>
  <c r="AB172" i="2"/>
  <c r="AA172" i="2"/>
  <c r="Z172" i="2"/>
  <c r="V172" i="2"/>
  <c r="U172" i="2"/>
  <c r="T172" i="2"/>
  <c r="S172" i="2"/>
  <c r="R172" i="2"/>
  <c r="Q172" i="2"/>
  <c r="P172" i="2"/>
  <c r="O172" i="2"/>
  <c r="N172" i="2"/>
  <c r="M172" i="2"/>
  <c r="I172" i="2"/>
  <c r="G172" i="2"/>
  <c r="F172" i="2"/>
  <c r="D172" i="2"/>
  <c r="B172" i="2"/>
  <c r="AY171" i="2"/>
  <c r="H171" i="2" s="1"/>
  <c r="AX171" i="2"/>
  <c r="E171" i="2" s="1"/>
  <c r="AU171" i="2"/>
  <c r="AT171" i="2"/>
  <c r="K171" i="2" s="1"/>
  <c r="AQ171" i="2"/>
  <c r="AP171" i="2"/>
  <c r="AO171" i="2"/>
  <c r="AN171" i="2"/>
  <c r="AM171" i="2"/>
  <c r="AL171" i="2"/>
  <c r="AK171" i="2"/>
  <c r="AJ171" i="2"/>
  <c r="AI171" i="2"/>
  <c r="AH171" i="2"/>
  <c r="AG171" i="2"/>
  <c r="AF171" i="2"/>
  <c r="AE171" i="2"/>
  <c r="AD171" i="2"/>
  <c r="AC171" i="2"/>
  <c r="AB171" i="2"/>
  <c r="AA171" i="2"/>
  <c r="Z171" i="2"/>
  <c r="V171" i="2"/>
  <c r="U171" i="2"/>
  <c r="T171" i="2"/>
  <c r="S171" i="2"/>
  <c r="R171" i="2"/>
  <c r="Q171" i="2"/>
  <c r="P171" i="2"/>
  <c r="O171" i="2"/>
  <c r="N171" i="2"/>
  <c r="M171" i="2"/>
  <c r="I171" i="2"/>
  <c r="G171" i="2"/>
  <c r="F171" i="2"/>
  <c r="D171" i="2"/>
  <c r="B171" i="2"/>
  <c r="AY170" i="2"/>
  <c r="H170" i="2" s="1"/>
  <c r="AX170" i="2"/>
  <c r="E170" i="2" s="1"/>
  <c r="AU170" i="2"/>
  <c r="AT170" i="2"/>
  <c r="K170" i="2" s="1"/>
  <c r="AQ170" i="2"/>
  <c r="AP170" i="2"/>
  <c r="AO170" i="2"/>
  <c r="AN170" i="2"/>
  <c r="AM170" i="2"/>
  <c r="AL170" i="2"/>
  <c r="AK170" i="2"/>
  <c r="AJ170" i="2"/>
  <c r="AI170" i="2"/>
  <c r="AH170" i="2"/>
  <c r="AG170" i="2"/>
  <c r="AF170" i="2"/>
  <c r="AE170" i="2"/>
  <c r="AD170" i="2"/>
  <c r="AC170" i="2"/>
  <c r="AB170" i="2"/>
  <c r="AA170" i="2"/>
  <c r="Z170" i="2"/>
  <c r="V170" i="2"/>
  <c r="U170" i="2"/>
  <c r="T170" i="2"/>
  <c r="S170" i="2"/>
  <c r="R170" i="2"/>
  <c r="Q170" i="2"/>
  <c r="P170" i="2"/>
  <c r="O170" i="2"/>
  <c r="N170" i="2"/>
  <c r="M170" i="2"/>
  <c r="I170" i="2"/>
  <c r="G170" i="2"/>
  <c r="F170" i="2"/>
  <c r="D170" i="2"/>
  <c r="AY169" i="2"/>
  <c r="H169" i="2" s="1"/>
  <c r="AX169" i="2"/>
  <c r="E169" i="2" s="1"/>
  <c r="AU169" i="2"/>
  <c r="AT169" i="2"/>
  <c r="K169" i="2" s="1"/>
  <c r="AQ169" i="2"/>
  <c r="AP169" i="2"/>
  <c r="AO169" i="2"/>
  <c r="AN169" i="2"/>
  <c r="AM169" i="2"/>
  <c r="AL169" i="2"/>
  <c r="AK169" i="2"/>
  <c r="AJ169" i="2"/>
  <c r="AI169" i="2"/>
  <c r="AH169" i="2"/>
  <c r="AG169" i="2"/>
  <c r="AF169" i="2"/>
  <c r="AE169" i="2"/>
  <c r="AD169" i="2"/>
  <c r="AC169" i="2"/>
  <c r="AB169" i="2"/>
  <c r="AA169" i="2"/>
  <c r="Z169" i="2"/>
  <c r="V169" i="2"/>
  <c r="U169" i="2"/>
  <c r="T169" i="2"/>
  <c r="S169" i="2"/>
  <c r="R169" i="2"/>
  <c r="Q169" i="2"/>
  <c r="P169" i="2"/>
  <c r="O169" i="2"/>
  <c r="N169" i="2"/>
  <c r="M169" i="2"/>
  <c r="I169" i="2"/>
  <c r="G169" i="2"/>
  <c r="F169" i="2"/>
  <c r="D169" i="2"/>
  <c r="B169" i="2"/>
  <c r="AY168" i="2"/>
  <c r="H168" i="2" s="1"/>
  <c r="AX168" i="2"/>
  <c r="E168" i="2" s="1"/>
  <c r="AU168" i="2"/>
  <c r="AT168" i="2"/>
  <c r="K168" i="2" s="1"/>
  <c r="AQ168" i="2"/>
  <c r="AP168" i="2"/>
  <c r="AO168" i="2"/>
  <c r="AN168" i="2"/>
  <c r="AM168" i="2"/>
  <c r="AL168" i="2"/>
  <c r="AK168" i="2"/>
  <c r="AJ168" i="2"/>
  <c r="AI168" i="2"/>
  <c r="AH168" i="2"/>
  <c r="AG168" i="2"/>
  <c r="AF168" i="2"/>
  <c r="AE168" i="2"/>
  <c r="AD168" i="2"/>
  <c r="AC168" i="2"/>
  <c r="AB168" i="2"/>
  <c r="AA168" i="2"/>
  <c r="Z168" i="2"/>
  <c r="V168" i="2"/>
  <c r="U168" i="2"/>
  <c r="T168" i="2"/>
  <c r="S168" i="2"/>
  <c r="R168" i="2"/>
  <c r="Q168" i="2"/>
  <c r="P168" i="2"/>
  <c r="O168" i="2"/>
  <c r="N168" i="2"/>
  <c r="M168" i="2"/>
  <c r="I168" i="2"/>
  <c r="G168" i="2"/>
  <c r="F168" i="2"/>
  <c r="D168" i="2"/>
  <c r="B168" i="2"/>
  <c r="AY167" i="2"/>
  <c r="H167" i="2" s="1"/>
  <c r="AX167" i="2"/>
  <c r="E167" i="2" s="1"/>
  <c r="AU167" i="2"/>
  <c r="AT167" i="2"/>
  <c r="K167" i="2" s="1"/>
  <c r="AQ167" i="2"/>
  <c r="AP167" i="2"/>
  <c r="AO167" i="2"/>
  <c r="AN167" i="2"/>
  <c r="AM167" i="2"/>
  <c r="AL167" i="2"/>
  <c r="AK167" i="2"/>
  <c r="AJ167" i="2"/>
  <c r="AI167" i="2"/>
  <c r="AH167" i="2"/>
  <c r="AG167" i="2"/>
  <c r="AF167" i="2"/>
  <c r="AE167" i="2"/>
  <c r="AD167" i="2"/>
  <c r="AC167" i="2"/>
  <c r="AB167" i="2"/>
  <c r="AA167" i="2"/>
  <c r="Z167" i="2"/>
  <c r="V167" i="2"/>
  <c r="U167" i="2"/>
  <c r="T167" i="2"/>
  <c r="S167" i="2"/>
  <c r="R167" i="2"/>
  <c r="Q167" i="2"/>
  <c r="P167" i="2"/>
  <c r="O167" i="2"/>
  <c r="N167" i="2"/>
  <c r="M167" i="2"/>
  <c r="I167" i="2"/>
  <c r="G167" i="2"/>
  <c r="F167" i="2"/>
  <c r="D167" i="2"/>
  <c r="AY166" i="2"/>
  <c r="H166" i="2" s="1"/>
  <c r="AX166" i="2"/>
  <c r="E166" i="2" s="1"/>
  <c r="AU166" i="2"/>
  <c r="AT166" i="2"/>
  <c r="K166" i="2" s="1"/>
  <c r="AQ166" i="2"/>
  <c r="AP166" i="2"/>
  <c r="AO166" i="2"/>
  <c r="AN166" i="2"/>
  <c r="AM166" i="2"/>
  <c r="AL166" i="2"/>
  <c r="AK166" i="2"/>
  <c r="AJ166" i="2"/>
  <c r="AI166" i="2"/>
  <c r="AH166" i="2"/>
  <c r="AG166" i="2"/>
  <c r="AF166" i="2"/>
  <c r="AE166" i="2"/>
  <c r="AD166" i="2"/>
  <c r="AC166" i="2"/>
  <c r="AB166" i="2"/>
  <c r="AA166" i="2"/>
  <c r="Z166" i="2"/>
  <c r="V166" i="2"/>
  <c r="U166" i="2"/>
  <c r="T166" i="2"/>
  <c r="S166" i="2"/>
  <c r="R166" i="2"/>
  <c r="Q166" i="2"/>
  <c r="P166" i="2"/>
  <c r="O166" i="2"/>
  <c r="N166" i="2"/>
  <c r="M166" i="2"/>
  <c r="I166" i="2"/>
  <c r="G166" i="2"/>
  <c r="F166" i="2"/>
  <c r="D166" i="2"/>
  <c r="B166" i="2"/>
  <c r="AY165" i="2"/>
  <c r="H165" i="2" s="1"/>
  <c r="AX165" i="2"/>
  <c r="E165" i="2" s="1"/>
  <c r="AU165" i="2"/>
  <c r="AT165" i="2"/>
  <c r="K165" i="2" s="1"/>
  <c r="AQ165" i="2"/>
  <c r="AP165" i="2"/>
  <c r="AO165" i="2"/>
  <c r="AN165" i="2"/>
  <c r="AM165" i="2"/>
  <c r="AL165" i="2"/>
  <c r="AK165" i="2"/>
  <c r="AJ165" i="2"/>
  <c r="AI165" i="2"/>
  <c r="AH165" i="2"/>
  <c r="AG165" i="2"/>
  <c r="AF165" i="2"/>
  <c r="AE165" i="2"/>
  <c r="AD165" i="2"/>
  <c r="AB165" i="2"/>
  <c r="AA165" i="2"/>
  <c r="Z165" i="2"/>
  <c r="V165" i="2"/>
  <c r="U165" i="2"/>
  <c r="T165" i="2"/>
  <c r="S165" i="2"/>
  <c r="R165" i="2"/>
  <c r="Q165" i="2"/>
  <c r="P165" i="2"/>
  <c r="O165" i="2"/>
  <c r="N165" i="2"/>
  <c r="M165" i="2"/>
  <c r="I165" i="2"/>
  <c r="G165" i="2"/>
  <c r="F165" i="2"/>
  <c r="D165" i="2"/>
  <c r="B165" i="2"/>
  <c r="AY164" i="2"/>
  <c r="H164" i="2" s="1"/>
  <c r="AX164" i="2"/>
  <c r="E164" i="2" s="1"/>
  <c r="AU164" i="2"/>
  <c r="AT164" i="2"/>
  <c r="K164" i="2" s="1"/>
  <c r="AQ164" i="2"/>
  <c r="AP164" i="2"/>
  <c r="AO164" i="2"/>
  <c r="AN164" i="2"/>
  <c r="AM164" i="2"/>
  <c r="AL164" i="2"/>
  <c r="AK164" i="2"/>
  <c r="AJ164" i="2"/>
  <c r="AI164" i="2"/>
  <c r="AH164" i="2"/>
  <c r="AG164" i="2"/>
  <c r="AF164" i="2"/>
  <c r="AE164" i="2"/>
  <c r="AD164" i="2"/>
  <c r="AC164" i="2"/>
  <c r="AB164" i="2"/>
  <c r="AA164" i="2"/>
  <c r="Z164" i="2"/>
  <c r="V164" i="2"/>
  <c r="U164" i="2"/>
  <c r="T164" i="2"/>
  <c r="S164" i="2"/>
  <c r="R164" i="2"/>
  <c r="Q164" i="2"/>
  <c r="P164" i="2"/>
  <c r="O164" i="2"/>
  <c r="N164" i="2"/>
  <c r="M164" i="2"/>
  <c r="I164" i="2"/>
  <c r="G164" i="2"/>
  <c r="F164" i="2"/>
  <c r="D164" i="2"/>
  <c r="B164" i="2"/>
  <c r="AY163" i="2"/>
  <c r="H163" i="2" s="1"/>
  <c r="AU163" i="2"/>
  <c r="AT163" i="2"/>
  <c r="K163" i="2" s="1"/>
  <c r="AQ163" i="2"/>
  <c r="AP163" i="2"/>
  <c r="AO163" i="2"/>
  <c r="AN163" i="2"/>
  <c r="AM163" i="2"/>
  <c r="AL163" i="2"/>
  <c r="AK163" i="2"/>
  <c r="AJ163" i="2"/>
  <c r="AI163" i="2"/>
  <c r="AH163" i="2"/>
  <c r="AG163" i="2"/>
  <c r="AF163" i="2"/>
  <c r="AE163" i="2"/>
  <c r="AD163" i="2"/>
  <c r="AC163" i="2"/>
  <c r="AB163" i="2"/>
  <c r="AA163" i="2"/>
  <c r="Z163" i="2"/>
  <c r="V163" i="2"/>
  <c r="U163" i="2"/>
  <c r="T163" i="2"/>
  <c r="S163" i="2"/>
  <c r="R163" i="2"/>
  <c r="Q163" i="2"/>
  <c r="P163" i="2"/>
  <c r="O163" i="2"/>
  <c r="N163" i="2"/>
  <c r="M163" i="2"/>
  <c r="I163" i="2"/>
  <c r="G163" i="2"/>
  <c r="F163" i="2"/>
  <c r="D163" i="2"/>
  <c r="B163" i="2"/>
  <c r="AY162" i="2"/>
  <c r="H162" i="2" s="1"/>
  <c r="AX162" i="2"/>
  <c r="E162" i="2" s="1"/>
  <c r="AU162" i="2"/>
  <c r="AT162" i="2"/>
  <c r="K162" i="2" s="1"/>
  <c r="AQ162" i="2"/>
  <c r="AP162" i="2"/>
  <c r="AO162" i="2"/>
  <c r="AN162" i="2"/>
  <c r="AM162" i="2"/>
  <c r="AL162" i="2"/>
  <c r="AK162" i="2"/>
  <c r="AJ162" i="2"/>
  <c r="AI162" i="2"/>
  <c r="AH162" i="2"/>
  <c r="AG162" i="2"/>
  <c r="AF162" i="2"/>
  <c r="AE162" i="2"/>
  <c r="AD162" i="2"/>
  <c r="AC162" i="2"/>
  <c r="AB162" i="2"/>
  <c r="AA162" i="2"/>
  <c r="Z162" i="2"/>
  <c r="V162" i="2"/>
  <c r="U162" i="2"/>
  <c r="T162" i="2"/>
  <c r="S162" i="2"/>
  <c r="R162" i="2"/>
  <c r="Q162" i="2"/>
  <c r="P162" i="2"/>
  <c r="O162" i="2"/>
  <c r="N162" i="2"/>
  <c r="M162" i="2"/>
  <c r="I162" i="2"/>
  <c r="G162" i="2"/>
  <c r="F162" i="2"/>
  <c r="D162" i="2"/>
  <c r="B162" i="2"/>
  <c r="AY161" i="2"/>
  <c r="H161" i="2" s="1"/>
  <c r="AX161" i="2"/>
  <c r="E161" i="2" s="1"/>
  <c r="AU161" i="2"/>
  <c r="AT161" i="2"/>
  <c r="K161" i="2" s="1"/>
  <c r="AQ161" i="2"/>
  <c r="AP161" i="2"/>
  <c r="AO161" i="2"/>
  <c r="AN161" i="2"/>
  <c r="AM161" i="2"/>
  <c r="AL161" i="2"/>
  <c r="AK161" i="2"/>
  <c r="AJ161" i="2"/>
  <c r="AI161" i="2"/>
  <c r="AH161" i="2"/>
  <c r="AG161" i="2"/>
  <c r="AF161" i="2"/>
  <c r="AE161" i="2"/>
  <c r="AD161" i="2"/>
  <c r="AC161" i="2"/>
  <c r="AB161" i="2"/>
  <c r="AA161" i="2"/>
  <c r="Z161" i="2"/>
  <c r="V161" i="2"/>
  <c r="U161" i="2"/>
  <c r="T161" i="2"/>
  <c r="S161" i="2"/>
  <c r="R161" i="2"/>
  <c r="Q161" i="2"/>
  <c r="P161" i="2"/>
  <c r="O161" i="2"/>
  <c r="N161" i="2"/>
  <c r="M161" i="2"/>
  <c r="I161" i="2"/>
  <c r="G161" i="2"/>
  <c r="F161" i="2"/>
  <c r="D161" i="2"/>
  <c r="B161" i="2"/>
  <c r="AY160" i="2"/>
  <c r="H160" i="2" s="1"/>
  <c r="AX160" i="2"/>
  <c r="E160" i="2" s="1"/>
  <c r="AU160" i="2"/>
  <c r="AT160" i="2"/>
  <c r="K160" i="2" s="1"/>
  <c r="AQ160" i="2"/>
  <c r="AP160" i="2"/>
  <c r="AO160" i="2"/>
  <c r="AN160" i="2"/>
  <c r="AM160" i="2"/>
  <c r="AL160" i="2"/>
  <c r="AK160" i="2"/>
  <c r="AJ160" i="2"/>
  <c r="AI160" i="2"/>
  <c r="AH160" i="2"/>
  <c r="AG160" i="2"/>
  <c r="AF160" i="2"/>
  <c r="AE160" i="2"/>
  <c r="AD160" i="2"/>
  <c r="AC160" i="2"/>
  <c r="AB160" i="2"/>
  <c r="AA160" i="2"/>
  <c r="Z160" i="2"/>
  <c r="V160" i="2"/>
  <c r="U160" i="2"/>
  <c r="T160" i="2"/>
  <c r="S160" i="2"/>
  <c r="R160" i="2"/>
  <c r="Q160" i="2"/>
  <c r="P160" i="2"/>
  <c r="O160" i="2"/>
  <c r="N160" i="2"/>
  <c r="M160" i="2"/>
  <c r="I160" i="2"/>
  <c r="G160" i="2"/>
  <c r="F160" i="2"/>
  <c r="D160" i="2"/>
  <c r="B160" i="2"/>
  <c r="AY159" i="2"/>
  <c r="H159" i="2" s="1"/>
  <c r="AX159" i="2"/>
  <c r="E159" i="2" s="1"/>
  <c r="AU159" i="2"/>
  <c r="AT159" i="2"/>
  <c r="K159" i="2" s="1"/>
  <c r="AQ159" i="2"/>
  <c r="AP159" i="2"/>
  <c r="AO159" i="2"/>
  <c r="AN159" i="2"/>
  <c r="AM159" i="2"/>
  <c r="AL159" i="2"/>
  <c r="AK159" i="2"/>
  <c r="AJ159" i="2"/>
  <c r="AI159" i="2"/>
  <c r="AH159" i="2"/>
  <c r="AG159" i="2"/>
  <c r="AF159" i="2"/>
  <c r="AE159" i="2"/>
  <c r="AD159" i="2"/>
  <c r="AC159" i="2"/>
  <c r="AB159" i="2"/>
  <c r="AA159" i="2"/>
  <c r="Z159" i="2"/>
  <c r="V159" i="2"/>
  <c r="U159" i="2"/>
  <c r="T159" i="2"/>
  <c r="S159" i="2"/>
  <c r="R159" i="2"/>
  <c r="Q159" i="2"/>
  <c r="P159" i="2"/>
  <c r="O159" i="2"/>
  <c r="N159" i="2"/>
  <c r="M159" i="2"/>
  <c r="I159" i="2"/>
  <c r="G159" i="2"/>
  <c r="F159" i="2"/>
  <c r="D159" i="2"/>
  <c r="B159" i="2"/>
  <c r="AY158" i="2"/>
  <c r="H158" i="2" s="1"/>
  <c r="AX158" i="2"/>
  <c r="E158" i="2" s="1"/>
  <c r="AU158" i="2"/>
  <c r="AT158" i="2"/>
  <c r="K158" i="2" s="1"/>
  <c r="AQ158" i="2"/>
  <c r="AP158" i="2"/>
  <c r="AO158" i="2"/>
  <c r="AN158" i="2"/>
  <c r="AM158" i="2"/>
  <c r="AL158" i="2"/>
  <c r="AK158" i="2"/>
  <c r="AJ158" i="2"/>
  <c r="AI158" i="2"/>
  <c r="AH158" i="2"/>
  <c r="AG158" i="2"/>
  <c r="AF158" i="2"/>
  <c r="AE158" i="2"/>
  <c r="AD158" i="2"/>
  <c r="AC158" i="2"/>
  <c r="AB158" i="2"/>
  <c r="AA158" i="2"/>
  <c r="Z158" i="2"/>
  <c r="V158" i="2"/>
  <c r="U158" i="2"/>
  <c r="T158" i="2"/>
  <c r="S158" i="2"/>
  <c r="R158" i="2"/>
  <c r="Q158" i="2"/>
  <c r="P158" i="2"/>
  <c r="O158" i="2"/>
  <c r="N158" i="2"/>
  <c r="M158" i="2"/>
  <c r="I158" i="2"/>
  <c r="G158" i="2"/>
  <c r="F158" i="2"/>
  <c r="D158" i="2"/>
  <c r="B158" i="2"/>
  <c r="AY157" i="2"/>
  <c r="H157" i="2" s="1"/>
  <c r="AX157" i="2"/>
  <c r="E157" i="2" s="1"/>
  <c r="AU157" i="2"/>
  <c r="AT157" i="2"/>
  <c r="K157" i="2" s="1"/>
  <c r="AQ157" i="2"/>
  <c r="AP157" i="2"/>
  <c r="AN157" i="2"/>
  <c r="AM157" i="2"/>
  <c r="AL157" i="2"/>
  <c r="AK157" i="2"/>
  <c r="AJ157" i="2"/>
  <c r="AI157" i="2"/>
  <c r="AH157" i="2"/>
  <c r="AG157" i="2"/>
  <c r="AF157" i="2"/>
  <c r="AE157" i="2"/>
  <c r="AD157" i="2"/>
  <c r="AC157" i="2"/>
  <c r="AB157" i="2"/>
  <c r="AA157" i="2"/>
  <c r="Z157" i="2"/>
  <c r="V157" i="2"/>
  <c r="U157" i="2"/>
  <c r="T157" i="2"/>
  <c r="S157" i="2"/>
  <c r="R157" i="2"/>
  <c r="Q157" i="2"/>
  <c r="P157" i="2"/>
  <c r="O157" i="2"/>
  <c r="N157" i="2"/>
  <c r="M157" i="2"/>
  <c r="I157" i="2"/>
  <c r="G157" i="2"/>
  <c r="F157" i="2"/>
  <c r="D157" i="2"/>
  <c r="B157" i="2"/>
  <c r="AX156" i="2"/>
  <c r="E156" i="2" s="1"/>
  <c r="AU156" i="2"/>
  <c r="AT156" i="2"/>
  <c r="K156" i="2" s="1"/>
  <c r="AQ156" i="2"/>
  <c r="AP156" i="2"/>
  <c r="AO156" i="2"/>
  <c r="AN156" i="2"/>
  <c r="AM156" i="2"/>
  <c r="AL156" i="2"/>
  <c r="AK156" i="2"/>
  <c r="AJ156" i="2"/>
  <c r="AI156" i="2"/>
  <c r="AH156" i="2"/>
  <c r="AG156" i="2"/>
  <c r="AF156" i="2"/>
  <c r="AE156" i="2"/>
  <c r="AD156" i="2"/>
  <c r="AC156" i="2"/>
  <c r="AB156" i="2"/>
  <c r="AA156" i="2"/>
  <c r="Z156" i="2"/>
  <c r="V156" i="2"/>
  <c r="U156" i="2"/>
  <c r="T156" i="2"/>
  <c r="S156" i="2"/>
  <c r="R156" i="2"/>
  <c r="Q156" i="2"/>
  <c r="P156" i="2"/>
  <c r="O156" i="2"/>
  <c r="N156" i="2"/>
  <c r="M156" i="2"/>
  <c r="I156" i="2"/>
  <c r="G156" i="2"/>
  <c r="F156" i="2"/>
  <c r="D156" i="2"/>
  <c r="B156" i="2"/>
  <c r="AY155" i="2"/>
  <c r="H155" i="2" s="1"/>
  <c r="AX155" i="2"/>
  <c r="E155" i="2" s="1"/>
  <c r="AU155" i="2"/>
  <c r="AT155" i="2"/>
  <c r="K155" i="2" s="1"/>
  <c r="AQ155" i="2"/>
  <c r="AP155" i="2"/>
  <c r="AO155" i="2"/>
  <c r="AN155" i="2"/>
  <c r="AM155" i="2"/>
  <c r="AL155" i="2"/>
  <c r="AK155" i="2"/>
  <c r="AJ155" i="2"/>
  <c r="AI155" i="2"/>
  <c r="AH155" i="2"/>
  <c r="AG155" i="2"/>
  <c r="AF155" i="2"/>
  <c r="AE155" i="2"/>
  <c r="AD155" i="2"/>
  <c r="AC155" i="2"/>
  <c r="AB155" i="2"/>
  <c r="AA155" i="2"/>
  <c r="Z155" i="2"/>
  <c r="V155" i="2"/>
  <c r="U155" i="2"/>
  <c r="T155" i="2"/>
  <c r="S155" i="2"/>
  <c r="R155" i="2"/>
  <c r="Q155" i="2"/>
  <c r="P155" i="2"/>
  <c r="O155" i="2"/>
  <c r="N155" i="2"/>
  <c r="M155" i="2"/>
  <c r="I155" i="2"/>
  <c r="G155" i="2"/>
  <c r="F155" i="2"/>
  <c r="D155" i="2"/>
  <c r="B155" i="2"/>
  <c r="AY154" i="2"/>
  <c r="H154" i="2" s="1"/>
  <c r="AX154" i="2"/>
  <c r="E154" i="2" s="1"/>
  <c r="AU154" i="2"/>
  <c r="AT154" i="2"/>
  <c r="K154" i="2" s="1"/>
  <c r="AQ154" i="2"/>
  <c r="AP154" i="2"/>
  <c r="AO154" i="2"/>
  <c r="AN154" i="2"/>
  <c r="AM154" i="2"/>
  <c r="AL154" i="2"/>
  <c r="AK154" i="2"/>
  <c r="AJ154" i="2"/>
  <c r="AI154" i="2"/>
  <c r="AH154" i="2"/>
  <c r="AG154" i="2"/>
  <c r="AF154" i="2"/>
  <c r="AE154" i="2"/>
  <c r="AD154" i="2"/>
  <c r="AC154" i="2"/>
  <c r="AB154" i="2"/>
  <c r="AA154" i="2"/>
  <c r="Z154" i="2"/>
  <c r="V154" i="2"/>
  <c r="U154" i="2"/>
  <c r="T154" i="2"/>
  <c r="S154" i="2"/>
  <c r="R154" i="2"/>
  <c r="Q154" i="2"/>
  <c r="P154" i="2"/>
  <c r="O154" i="2"/>
  <c r="N154" i="2"/>
  <c r="M154" i="2"/>
  <c r="I154" i="2"/>
  <c r="G154" i="2"/>
  <c r="F154" i="2"/>
  <c r="D154" i="2"/>
  <c r="B154" i="2"/>
  <c r="AY153" i="2"/>
  <c r="H153" i="2" s="1"/>
  <c r="AX153" i="2"/>
  <c r="E153" i="2" s="1"/>
  <c r="AU153" i="2"/>
  <c r="AT153" i="2"/>
  <c r="K153" i="2" s="1"/>
  <c r="AQ153" i="2"/>
  <c r="AP153" i="2"/>
  <c r="AO153" i="2"/>
  <c r="AN153" i="2"/>
  <c r="AM153" i="2"/>
  <c r="AL153" i="2"/>
  <c r="AK153" i="2"/>
  <c r="AJ153" i="2"/>
  <c r="AI153" i="2"/>
  <c r="AH153" i="2"/>
  <c r="AG153" i="2"/>
  <c r="AF153" i="2"/>
  <c r="AE153" i="2"/>
  <c r="AD153" i="2"/>
  <c r="AC153" i="2"/>
  <c r="AB153" i="2"/>
  <c r="AA153" i="2"/>
  <c r="Z153" i="2"/>
  <c r="V153" i="2"/>
  <c r="U153" i="2"/>
  <c r="T153" i="2"/>
  <c r="S153" i="2"/>
  <c r="R153" i="2"/>
  <c r="Q153" i="2"/>
  <c r="P153" i="2"/>
  <c r="O153" i="2"/>
  <c r="N153" i="2"/>
  <c r="M153" i="2"/>
  <c r="I153" i="2"/>
  <c r="G153" i="2"/>
  <c r="F153" i="2"/>
  <c r="D153" i="2"/>
  <c r="B153" i="2"/>
  <c r="AY152" i="2"/>
  <c r="H152" i="2" s="1"/>
  <c r="AX152" i="2"/>
  <c r="E152" i="2" s="1"/>
  <c r="AU152" i="2"/>
  <c r="AT152" i="2"/>
  <c r="K152" i="2" s="1"/>
  <c r="AQ152" i="2"/>
  <c r="AP152" i="2"/>
  <c r="AO152" i="2"/>
  <c r="AN152" i="2"/>
  <c r="AM152" i="2"/>
  <c r="AL152" i="2"/>
  <c r="AK152" i="2"/>
  <c r="AJ152" i="2"/>
  <c r="AI152" i="2"/>
  <c r="AH152" i="2"/>
  <c r="AG152" i="2"/>
  <c r="AF152" i="2"/>
  <c r="AE152" i="2"/>
  <c r="AD152" i="2"/>
  <c r="AC152" i="2"/>
  <c r="AB152" i="2"/>
  <c r="AA152" i="2"/>
  <c r="Z152" i="2"/>
  <c r="V152" i="2"/>
  <c r="U152" i="2"/>
  <c r="T152" i="2"/>
  <c r="S152" i="2"/>
  <c r="R152" i="2"/>
  <c r="Q152" i="2"/>
  <c r="P152" i="2"/>
  <c r="O152" i="2"/>
  <c r="N152" i="2"/>
  <c r="M152" i="2"/>
  <c r="I152" i="2"/>
  <c r="G152" i="2"/>
  <c r="F152" i="2"/>
  <c r="D152" i="2"/>
  <c r="B152" i="2"/>
  <c r="AY151" i="2"/>
  <c r="H151" i="2" s="1"/>
  <c r="AX151" i="2"/>
  <c r="E151" i="2" s="1"/>
  <c r="AU151" i="2"/>
  <c r="AT151" i="2"/>
  <c r="K151" i="2" s="1"/>
  <c r="AQ151" i="2"/>
  <c r="AP151" i="2"/>
  <c r="AO151" i="2"/>
  <c r="AN151" i="2"/>
  <c r="AM151" i="2"/>
  <c r="AL151" i="2"/>
  <c r="AK151" i="2"/>
  <c r="AJ151" i="2"/>
  <c r="AI151" i="2"/>
  <c r="AH151" i="2"/>
  <c r="AG151" i="2"/>
  <c r="AF151" i="2"/>
  <c r="AE151" i="2"/>
  <c r="AD151" i="2"/>
  <c r="AC151" i="2"/>
  <c r="AB151" i="2"/>
  <c r="AA151" i="2"/>
  <c r="Z151" i="2"/>
  <c r="V151" i="2"/>
  <c r="U151" i="2"/>
  <c r="T151" i="2"/>
  <c r="S151" i="2"/>
  <c r="R151" i="2"/>
  <c r="Q151" i="2"/>
  <c r="P151" i="2"/>
  <c r="O151" i="2"/>
  <c r="N151" i="2"/>
  <c r="M151" i="2"/>
  <c r="I151" i="2"/>
  <c r="G151" i="2"/>
  <c r="F151" i="2"/>
  <c r="D151" i="2"/>
  <c r="B151" i="2"/>
  <c r="AY150" i="2"/>
  <c r="H150" i="2" s="1"/>
  <c r="AX150" i="2"/>
  <c r="E150" i="2" s="1"/>
  <c r="AU150" i="2"/>
  <c r="AT150" i="2"/>
  <c r="K150" i="2" s="1"/>
  <c r="AQ150" i="2"/>
  <c r="AP150" i="2"/>
  <c r="AO150" i="2"/>
  <c r="AN150" i="2"/>
  <c r="AM150" i="2"/>
  <c r="AL150" i="2"/>
  <c r="AK150" i="2"/>
  <c r="AJ150" i="2"/>
  <c r="AI150" i="2"/>
  <c r="AH150" i="2"/>
  <c r="AG150" i="2"/>
  <c r="AF150" i="2"/>
  <c r="AE150" i="2"/>
  <c r="AD150" i="2"/>
  <c r="AC150" i="2"/>
  <c r="AB150" i="2"/>
  <c r="AA150" i="2"/>
  <c r="Z150" i="2"/>
  <c r="V150" i="2"/>
  <c r="U150" i="2"/>
  <c r="T150" i="2"/>
  <c r="S150" i="2"/>
  <c r="R150" i="2"/>
  <c r="Q150" i="2"/>
  <c r="P150" i="2"/>
  <c r="O150" i="2"/>
  <c r="N150" i="2"/>
  <c r="M150" i="2"/>
  <c r="I150" i="2"/>
  <c r="G150" i="2"/>
  <c r="F150" i="2"/>
  <c r="D150" i="2"/>
  <c r="B150" i="2"/>
  <c r="AY149" i="2"/>
  <c r="H149" i="2" s="1"/>
  <c r="AX149" i="2"/>
  <c r="E149" i="2" s="1"/>
  <c r="AU149" i="2"/>
  <c r="AT149" i="2"/>
  <c r="K149" i="2" s="1"/>
  <c r="AQ149" i="2"/>
  <c r="AP149" i="2"/>
  <c r="AO149" i="2"/>
  <c r="AN149" i="2"/>
  <c r="AM149" i="2"/>
  <c r="AL149" i="2"/>
  <c r="AK149" i="2"/>
  <c r="AJ149" i="2"/>
  <c r="AI149" i="2"/>
  <c r="AH149" i="2"/>
  <c r="AG149" i="2"/>
  <c r="AF149" i="2"/>
  <c r="AE149" i="2"/>
  <c r="AD149" i="2"/>
  <c r="AC149" i="2"/>
  <c r="AB149" i="2"/>
  <c r="AA149" i="2"/>
  <c r="Z149" i="2"/>
  <c r="V149" i="2"/>
  <c r="U149" i="2"/>
  <c r="T149" i="2"/>
  <c r="S149" i="2"/>
  <c r="R149" i="2"/>
  <c r="Q149" i="2"/>
  <c r="P149" i="2"/>
  <c r="O149" i="2"/>
  <c r="N149" i="2"/>
  <c r="M149" i="2"/>
  <c r="I149" i="2"/>
  <c r="G149" i="2"/>
  <c r="F149" i="2"/>
  <c r="D149" i="2"/>
  <c r="B149" i="2"/>
  <c r="AY148" i="2"/>
  <c r="H148" i="2" s="1"/>
  <c r="AX148" i="2"/>
  <c r="E148" i="2" s="1"/>
  <c r="AU148" i="2"/>
  <c r="AT148" i="2"/>
  <c r="K148" i="2" s="1"/>
  <c r="AQ148" i="2"/>
  <c r="AP148" i="2"/>
  <c r="AO148" i="2"/>
  <c r="AN148" i="2"/>
  <c r="AM148" i="2"/>
  <c r="AL148" i="2"/>
  <c r="AK148" i="2"/>
  <c r="AJ148" i="2"/>
  <c r="AI148" i="2"/>
  <c r="AH148" i="2"/>
  <c r="AG148" i="2"/>
  <c r="AF148" i="2"/>
  <c r="AE148" i="2"/>
  <c r="AD148" i="2"/>
  <c r="AC148" i="2"/>
  <c r="AB148" i="2"/>
  <c r="AA148" i="2"/>
  <c r="Z148" i="2"/>
  <c r="V148" i="2"/>
  <c r="U148" i="2"/>
  <c r="T148" i="2"/>
  <c r="S148" i="2"/>
  <c r="R148" i="2"/>
  <c r="Q148" i="2"/>
  <c r="P148" i="2"/>
  <c r="O148" i="2"/>
  <c r="N148" i="2"/>
  <c r="M148" i="2"/>
  <c r="I148" i="2"/>
  <c r="G148" i="2"/>
  <c r="F148" i="2"/>
  <c r="D148" i="2"/>
  <c r="B148" i="2"/>
  <c r="AY147" i="2"/>
  <c r="H147" i="2" s="1"/>
  <c r="AX147" i="2"/>
  <c r="E147" i="2" s="1"/>
  <c r="AU147" i="2"/>
  <c r="AT147" i="2"/>
  <c r="K147" i="2" s="1"/>
  <c r="AQ147" i="2"/>
  <c r="AP147" i="2"/>
  <c r="AO147" i="2"/>
  <c r="AN147" i="2"/>
  <c r="AM147" i="2"/>
  <c r="AL147" i="2"/>
  <c r="AK147" i="2"/>
  <c r="AJ147" i="2"/>
  <c r="AI147" i="2"/>
  <c r="AH147" i="2"/>
  <c r="AG147" i="2"/>
  <c r="AF147" i="2"/>
  <c r="AE147" i="2"/>
  <c r="AD147" i="2"/>
  <c r="AC147" i="2"/>
  <c r="AB147" i="2"/>
  <c r="AA147" i="2"/>
  <c r="Z147" i="2"/>
  <c r="V147" i="2"/>
  <c r="U147" i="2"/>
  <c r="T147" i="2"/>
  <c r="S147" i="2"/>
  <c r="R147" i="2"/>
  <c r="Q147" i="2"/>
  <c r="P147" i="2"/>
  <c r="O147" i="2"/>
  <c r="N147" i="2"/>
  <c r="M147" i="2"/>
  <c r="I147" i="2"/>
  <c r="G147" i="2"/>
  <c r="F147" i="2"/>
  <c r="D147" i="2"/>
  <c r="B147" i="2"/>
  <c r="AY146" i="2"/>
  <c r="H146" i="2" s="1"/>
  <c r="AX146" i="2"/>
  <c r="E146" i="2" s="1"/>
  <c r="AU146" i="2"/>
  <c r="AT146" i="2"/>
  <c r="K146" i="2" s="1"/>
  <c r="AQ146" i="2"/>
  <c r="AP146" i="2"/>
  <c r="AO146" i="2"/>
  <c r="AN146" i="2"/>
  <c r="AM146" i="2"/>
  <c r="AL146" i="2"/>
  <c r="AK146" i="2"/>
  <c r="AJ146" i="2"/>
  <c r="AI146" i="2"/>
  <c r="AH146" i="2"/>
  <c r="AG146" i="2"/>
  <c r="AF146" i="2"/>
  <c r="AE146" i="2"/>
  <c r="AD146" i="2"/>
  <c r="AC146" i="2"/>
  <c r="AB146" i="2"/>
  <c r="AA146" i="2"/>
  <c r="Z146" i="2"/>
  <c r="V146" i="2"/>
  <c r="U146" i="2"/>
  <c r="T146" i="2"/>
  <c r="S146" i="2"/>
  <c r="R146" i="2"/>
  <c r="Q146" i="2"/>
  <c r="P146" i="2"/>
  <c r="O146" i="2"/>
  <c r="N146" i="2"/>
  <c r="M146" i="2"/>
  <c r="I146" i="2"/>
  <c r="G146" i="2"/>
  <c r="F146" i="2"/>
  <c r="D146" i="2"/>
  <c r="B146" i="2"/>
  <c r="AY145" i="2"/>
  <c r="H145" i="2" s="1"/>
  <c r="AX145" i="2"/>
  <c r="E145" i="2" s="1"/>
  <c r="AU145" i="2"/>
  <c r="AT145" i="2"/>
  <c r="K145" i="2" s="1"/>
  <c r="AQ145" i="2"/>
  <c r="AP145" i="2"/>
  <c r="AO145" i="2"/>
  <c r="AN145" i="2"/>
  <c r="AM145" i="2"/>
  <c r="AL145" i="2"/>
  <c r="AK145" i="2"/>
  <c r="AJ145" i="2"/>
  <c r="AI145" i="2"/>
  <c r="AH145" i="2"/>
  <c r="AG145" i="2"/>
  <c r="AF145" i="2"/>
  <c r="AE145" i="2"/>
  <c r="AD145" i="2"/>
  <c r="AC145" i="2"/>
  <c r="AB145" i="2"/>
  <c r="AA145" i="2"/>
  <c r="Z145" i="2"/>
  <c r="V145" i="2"/>
  <c r="U145" i="2"/>
  <c r="T145" i="2"/>
  <c r="S145" i="2"/>
  <c r="R145" i="2"/>
  <c r="Q145" i="2"/>
  <c r="P145" i="2"/>
  <c r="O145" i="2"/>
  <c r="N145" i="2"/>
  <c r="M145" i="2"/>
  <c r="I145" i="2"/>
  <c r="G145" i="2"/>
  <c r="F145" i="2"/>
  <c r="D145" i="2"/>
  <c r="B145" i="2"/>
  <c r="AY144" i="2"/>
  <c r="H144" i="2" s="1"/>
  <c r="AX144" i="2"/>
  <c r="E144" i="2" s="1"/>
  <c r="AU144" i="2"/>
  <c r="AT144" i="2"/>
  <c r="K144" i="2" s="1"/>
  <c r="AQ144" i="2"/>
  <c r="AP144" i="2"/>
  <c r="AO144" i="2"/>
  <c r="AN144" i="2"/>
  <c r="AM144" i="2"/>
  <c r="AL144" i="2"/>
  <c r="AK144" i="2"/>
  <c r="AJ144" i="2"/>
  <c r="AI144" i="2"/>
  <c r="AH144" i="2"/>
  <c r="AG144" i="2"/>
  <c r="AF144" i="2"/>
  <c r="AE144" i="2"/>
  <c r="AD144" i="2"/>
  <c r="AC144" i="2"/>
  <c r="AB144" i="2"/>
  <c r="AA144" i="2"/>
  <c r="Z144" i="2"/>
  <c r="V144" i="2"/>
  <c r="U144" i="2"/>
  <c r="T144" i="2"/>
  <c r="S144" i="2"/>
  <c r="R144" i="2"/>
  <c r="Q144" i="2"/>
  <c r="P144" i="2"/>
  <c r="O144" i="2"/>
  <c r="N144" i="2"/>
  <c r="M144" i="2"/>
  <c r="I144" i="2"/>
  <c r="G144" i="2"/>
  <c r="F144" i="2"/>
  <c r="D144" i="2"/>
  <c r="B144" i="2"/>
  <c r="AY143" i="2"/>
  <c r="H143" i="2" s="1"/>
  <c r="AU143" i="2"/>
  <c r="AT143" i="2"/>
  <c r="K143" i="2" s="1"/>
  <c r="AQ143" i="2"/>
  <c r="AP143" i="2"/>
  <c r="AO143" i="2"/>
  <c r="AN143" i="2"/>
  <c r="AM143" i="2"/>
  <c r="AL143" i="2"/>
  <c r="AK143" i="2"/>
  <c r="AJ143" i="2"/>
  <c r="AI143" i="2"/>
  <c r="AH143" i="2"/>
  <c r="AG143" i="2"/>
  <c r="AF143" i="2"/>
  <c r="AE143" i="2"/>
  <c r="AD143" i="2"/>
  <c r="AC143" i="2"/>
  <c r="AB143" i="2"/>
  <c r="AA143" i="2"/>
  <c r="Z143" i="2"/>
  <c r="V143" i="2"/>
  <c r="U143" i="2"/>
  <c r="T143" i="2"/>
  <c r="S143" i="2"/>
  <c r="R143" i="2"/>
  <c r="Q143" i="2"/>
  <c r="P143" i="2"/>
  <c r="O143" i="2"/>
  <c r="N143" i="2"/>
  <c r="M143" i="2"/>
  <c r="I143" i="2"/>
  <c r="G143" i="2"/>
  <c r="F143" i="2"/>
  <c r="D143" i="2"/>
  <c r="B143" i="2"/>
  <c r="AY142" i="2"/>
  <c r="H142" i="2" s="1"/>
  <c r="AX142" i="2"/>
  <c r="E142" i="2" s="1"/>
  <c r="AU142" i="2"/>
  <c r="AT142" i="2"/>
  <c r="K142" i="2" s="1"/>
  <c r="AQ142" i="2"/>
  <c r="AP142" i="2"/>
  <c r="AO142" i="2"/>
  <c r="AN142" i="2"/>
  <c r="AM142" i="2"/>
  <c r="AL142" i="2"/>
  <c r="AK142" i="2"/>
  <c r="AJ142" i="2"/>
  <c r="AI142" i="2"/>
  <c r="AH142" i="2"/>
  <c r="AG142" i="2"/>
  <c r="AF142" i="2"/>
  <c r="AE142" i="2"/>
  <c r="AD142" i="2"/>
  <c r="AC142" i="2"/>
  <c r="AB142" i="2"/>
  <c r="AA142" i="2"/>
  <c r="Z142" i="2"/>
  <c r="V142" i="2"/>
  <c r="U142" i="2"/>
  <c r="T142" i="2"/>
  <c r="S142" i="2"/>
  <c r="R142" i="2"/>
  <c r="Q142" i="2"/>
  <c r="P142" i="2"/>
  <c r="O142" i="2"/>
  <c r="N142" i="2"/>
  <c r="M142" i="2"/>
  <c r="I142" i="2"/>
  <c r="G142" i="2"/>
  <c r="F142" i="2"/>
  <c r="D142" i="2"/>
  <c r="B142" i="2"/>
  <c r="AY141" i="2"/>
  <c r="H141" i="2" s="1"/>
  <c r="AX141" i="2"/>
  <c r="E141" i="2" s="1"/>
  <c r="AU141" i="2"/>
  <c r="AT141" i="2"/>
  <c r="K141" i="2" s="1"/>
  <c r="AQ141" i="2"/>
  <c r="AP141" i="2"/>
  <c r="AO141" i="2"/>
  <c r="AN141" i="2"/>
  <c r="AM141" i="2"/>
  <c r="AL141" i="2"/>
  <c r="AK141" i="2"/>
  <c r="AJ141" i="2"/>
  <c r="AI141" i="2"/>
  <c r="AH141" i="2"/>
  <c r="AG141" i="2"/>
  <c r="AF141" i="2"/>
  <c r="AE141" i="2"/>
  <c r="AD141" i="2"/>
  <c r="AC141" i="2"/>
  <c r="AB141" i="2"/>
  <c r="AA141" i="2"/>
  <c r="Z141" i="2"/>
  <c r="V141" i="2"/>
  <c r="U141" i="2"/>
  <c r="T141" i="2"/>
  <c r="S141" i="2"/>
  <c r="R141" i="2"/>
  <c r="Q141" i="2"/>
  <c r="P141" i="2"/>
  <c r="O141" i="2"/>
  <c r="N141" i="2"/>
  <c r="M141" i="2"/>
  <c r="I141" i="2"/>
  <c r="G141" i="2"/>
  <c r="F141" i="2"/>
  <c r="D141" i="2"/>
  <c r="B141" i="2"/>
  <c r="AY140" i="2"/>
  <c r="H140" i="2" s="1"/>
  <c r="AX140" i="2"/>
  <c r="E140" i="2" s="1"/>
  <c r="AU140" i="2"/>
  <c r="AT140" i="2"/>
  <c r="K140" i="2" s="1"/>
  <c r="AQ140" i="2"/>
  <c r="AP140" i="2"/>
  <c r="AO140" i="2"/>
  <c r="AN140" i="2"/>
  <c r="AM140" i="2"/>
  <c r="AL140" i="2"/>
  <c r="AK140" i="2"/>
  <c r="AJ140" i="2"/>
  <c r="AI140" i="2"/>
  <c r="AH140" i="2"/>
  <c r="AG140" i="2"/>
  <c r="AF140" i="2"/>
  <c r="AE140" i="2"/>
  <c r="AD140" i="2"/>
  <c r="AC140" i="2"/>
  <c r="AB140" i="2"/>
  <c r="AA140" i="2"/>
  <c r="Z140" i="2"/>
  <c r="V140" i="2"/>
  <c r="U140" i="2"/>
  <c r="T140" i="2"/>
  <c r="S140" i="2"/>
  <c r="R140" i="2"/>
  <c r="Q140" i="2"/>
  <c r="P140" i="2"/>
  <c r="O140" i="2"/>
  <c r="N140" i="2"/>
  <c r="M140" i="2"/>
  <c r="I140" i="2"/>
  <c r="G140" i="2"/>
  <c r="F140" i="2"/>
  <c r="D140" i="2"/>
  <c r="B140" i="2"/>
  <c r="AY139" i="2"/>
  <c r="H139" i="2" s="1"/>
  <c r="AX139" i="2"/>
  <c r="E139" i="2" s="1"/>
  <c r="AU139" i="2"/>
  <c r="AT139" i="2"/>
  <c r="K139" i="2" s="1"/>
  <c r="AQ139" i="2"/>
  <c r="AP139" i="2"/>
  <c r="AO139" i="2"/>
  <c r="AN139" i="2"/>
  <c r="AM139" i="2"/>
  <c r="AL139" i="2"/>
  <c r="AK139" i="2"/>
  <c r="AJ139" i="2"/>
  <c r="AI139" i="2"/>
  <c r="AH139" i="2"/>
  <c r="AG139" i="2"/>
  <c r="AF139" i="2"/>
  <c r="AE139" i="2"/>
  <c r="AD139" i="2"/>
  <c r="AC139" i="2"/>
  <c r="AB139" i="2"/>
  <c r="AA139" i="2"/>
  <c r="Z139" i="2"/>
  <c r="V139" i="2"/>
  <c r="U139" i="2"/>
  <c r="T139" i="2"/>
  <c r="S139" i="2"/>
  <c r="R139" i="2"/>
  <c r="Q139" i="2"/>
  <c r="P139" i="2"/>
  <c r="O139" i="2"/>
  <c r="N139" i="2"/>
  <c r="M139" i="2"/>
  <c r="I139" i="2"/>
  <c r="G139" i="2"/>
  <c r="F139" i="2"/>
  <c r="D139" i="2"/>
  <c r="B139" i="2"/>
  <c r="AY138" i="2"/>
  <c r="H138" i="2" s="1"/>
  <c r="AX138" i="2"/>
  <c r="E138" i="2" s="1"/>
  <c r="AU138" i="2"/>
  <c r="AT138" i="2"/>
  <c r="K138" i="2" s="1"/>
  <c r="AQ138" i="2"/>
  <c r="AP138" i="2"/>
  <c r="AO138" i="2"/>
  <c r="AN138" i="2"/>
  <c r="AM138" i="2"/>
  <c r="AL138" i="2"/>
  <c r="AK138" i="2"/>
  <c r="AJ138" i="2"/>
  <c r="AI138" i="2"/>
  <c r="AH138" i="2"/>
  <c r="AG138" i="2"/>
  <c r="AF138" i="2"/>
  <c r="AE138" i="2"/>
  <c r="AD138" i="2"/>
  <c r="AC138" i="2"/>
  <c r="AB138" i="2"/>
  <c r="AA138" i="2"/>
  <c r="Z138" i="2"/>
  <c r="V138" i="2"/>
  <c r="U138" i="2"/>
  <c r="T138" i="2"/>
  <c r="S138" i="2"/>
  <c r="R138" i="2"/>
  <c r="Q138" i="2"/>
  <c r="P138" i="2"/>
  <c r="O138" i="2"/>
  <c r="N138" i="2"/>
  <c r="M138" i="2"/>
  <c r="I138" i="2"/>
  <c r="G138" i="2"/>
  <c r="F138" i="2"/>
  <c r="D138" i="2"/>
  <c r="B138" i="2"/>
  <c r="AY137" i="2"/>
  <c r="H137" i="2" s="1"/>
  <c r="AX137" i="2"/>
  <c r="E137" i="2" s="1"/>
  <c r="AU137" i="2"/>
  <c r="AT137" i="2"/>
  <c r="K137" i="2" s="1"/>
  <c r="AQ137" i="2"/>
  <c r="AP137" i="2"/>
  <c r="AO137" i="2"/>
  <c r="AN137" i="2"/>
  <c r="AM137" i="2"/>
  <c r="AL137" i="2"/>
  <c r="AK137" i="2"/>
  <c r="AJ137" i="2"/>
  <c r="AI137" i="2"/>
  <c r="AH137" i="2"/>
  <c r="AG137" i="2"/>
  <c r="AF137" i="2"/>
  <c r="AE137" i="2"/>
  <c r="AD137" i="2"/>
  <c r="AC137" i="2"/>
  <c r="AB137" i="2"/>
  <c r="AA137" i="2"/>
  <c r="Z137" i="2"/>
  <c r="V137" i="2"/>
  <c r="U137" i="2"/>
  <c r="T137" i="2"/>
  <c r="S137" i="2"/>
  <c r="R137" i="2"/>
  <c r="Q137" i="2"/>
  <c r="P137" i="2"/>
  <c r="O137" i="2"/>
  <c r="N137" i="2"/>
  <c r="M137" i="2"/>
  <c r="I137" i="2"/>
  <c r="G137" i="2"/>
  <c r="F137" i="2"/>
  <c r="D137" i="2"/>
  <c r="B137" i="2"/>
  <c r="AY136" i="2"/>
  <c r="AX136" i="2"/>
  <c r="E136" i="2" s="1"/>
  <c r="AU136" i="2"/>
  <c r="AT136" i="2"/>
  <c r="K136" i="2" s="1"/>
  <c r="AQ136" i="2"/>
  <c r="AP136" i="2"/>
  <c r="AO136" i="2"/>
  <c r="AN136" i="2"/>
  <c r="AM136" i="2"/>
  <c r="AL136" i="2"/>
  <c r="AK136" i="2"/>
  <c r="AJ136" i="2"/>
  <c r="AI136" i="2"/>
  <c r="AH136" i="2"/>
  <c r="AG136" i="2"/>
  <c r="AF136" i="2"/>
  <c r="AE136" i="2"/>
  <c r="AD136" i="2"/>
  <c r="AC136" i="2"/>
  <c r="AB136" i="2"/>
  <c r="AA136" i="2"/>
  <c r="Z136" i="2"/>
  <c r="V136" i="2"/>
  <c r="U136" i="2"/>
  <c r="T136" i="2"/>
  <c r="S136" i="2"/>
  <c r="R136" i="2"/>
  <c r="Q136" i="2"/>
  <c r="P136" i="2"/>
  <c r="O136" i="2"/>
  <c r="N136" i="2"/>
  <c r="M136" i="2"/>
  <c r="I136" i="2"/>
  <c r="G136" i="2"/>
  <c r="F136" i="2"/>
  <c r="D136" i="2"/>
  <c r="B136" i="2"/>
  <c r="AY135" i="2"/>
  <c r="H135" i="2" s="1"/>
  <c r="AX135" i="2"/>
  <c r="E135" i="2" s="1"/>
  <c r="AU135" i="2"/>
  <c r="AT135" i="2"/>
  <c r="K135" i="2" s="1"/>
  <c r="AQ135" i="2"/>
  <c r="AP135" i="2"/>
  <c r="AO135" i="2"/>
  <c r="AN135" i="2"/>
  <c r="AM135" i="2"/>
  <c r="AL135" i="2"/>
  <c r="AK135" i="2"/>
  <c r="AJ135" i="2"/>
  <c r="AI135" i="2"/>
  <c r="AH135" i="2"/>
  <c r="AG135" i="2"/>
  <c r="AF135" i="2"/>
  <c r="AE135" i="2"/>
  <c r="AD135" i="2"/>
  <c r="AC135" i="2"/>
  <c r="AB135" i="2"/>
  <c r="AA135" i="2"/>
  <c r="Z135" i="2"/>
  <c r="V135" i="2"/>
  <c r="U135" i="2"/>
  <c r="T135" i="2"/>
  <c r="S135" i="2"/>
  <c r="R135" i="2"/>
  <c r="Q135" i="2"/>
  <c r="P135" i="2"/>
  <c r="O135" i="2"/>
  <c r="N135" i="2"/>
  <c r="M135" i="2"/>
  <c r="I135" i="2"/>
  <c r="G135" i="2"/>
  <c r="F135" i="2"/>
  <c r="D135" i="2"/>
  <c r="B135" i="2"/>
  <c r="AY134" i="2"/>
  <c r="H134" i="2" s="1"/>
  <c r="AX134" i="2"/>
  <c r="E134" i="2" s="1"/>
  <c r="AU134" i="2"/>
  <c r="AT134" i="2"/>
  <c r="K134" i="2" s="1"/>
  <c r="AQ134" i="2"/>
  <c r="AP134" i="2"/>
  <c r="AO134" i="2"/>
  <c r="AN134" i="2"/>
  <c r="AM134" i="2"/>
  <c r="AL134" i="2"/>
  <c r="AK134" i="2"/>
  <c r="AJ134" i="2"/>
  <c r="AI134" i="2"/>
  <c r="AH134" i="2"/>
  <c r="AG134" i="2"/>
  <c r="AF134" i="2"/>
  <c r="AE134" i="2"/>
  <c r="AD134" i="2"/>
  <c r="AC134" i="2"/>
  <c r="AB134" i="2"/>
  <c r="AA134" i="2"/>
  <c r="Z134" i="2"/>
  <c r="V134" i="2"/>
  <c r="U134" i="2"/>
  <c r="T134" i="2"/>
  <c r="S134" i="2"/>
  <c r="R134" i="2"/>
  <c r="Q134" i="2"/>
  <c r="P134" i="2"/>
  <c r="O134" i="2"/>
  <c r="N134" i="2"/>
  <c r="M134" i="2"/>
  <c r="I134" i="2"/>
  <c r="G134" i="2"/>
  <c r="F134" i="2"/>
  <c r="D134" i="2"/>
  <c r="B134" i="2"/>
  <c r="AY133" i="2"/>
  <c r="H133" i="2" s="1"/>
  <c r="AX133" i="2"/>
  <c r="E133" i="2" s="1"/>
  <c r="AU133" i="2"/>
  <c r="AT133" i="2"/>
  <c r="K133" i="2" s="1"/>
  <c r="AQ133" i="2"/>
  <c r="AP133" i="2"/>
  <c r="AO133" i="2"/>
  <c r="AN133" i="2"/>
  <c r="AM133" i="2"/>
  <c r="AL133" i="2"/>
  <c r="AK133" i="2"/>
  <c r="AJ133" i="2"/>
  <c r="AI133" i="2"/>
  <c r="AH133" i="2"/>
  <c r="AG133" i="2"/>
  <c r="AF133" i="2"/>
  <c r="AE133" i="2"/>
  <c r="AD133" i="2"/>
  <c r="AC133" i="2"/>
  <c r="AB133" i="2"/>
  <c r="AA133" i="2"/>
  <c r="Z133" i="2"/>
  <c r="V133" i="2"/>
  <c r="U133" i="2"/>
  <c r="T133" i="2"/>
  <c r="S133" i="2"/>
  <c r="R133" i="2"/>
  <c r="Q133" i="2"/>
  <c r="P133" i="2"/>
  <c r="O133" i="2"/>
  <c r="N133" i="2"/>
  <c r="M133" i="2"/>
  <c r="I133" i="2"/>
  <c r="G133" i="2"/>
  <c r="F133" i="2"/>
  <c r="D133" i="2"/>
  <c r="B133" i="2"/>
  <c r="AY132" i="2"/>
  <c r="H132" i="2" s="1"/>
  <c r="AX132" i="2"/>
  <c r="E132" i="2" s="1"/>
  <c r="AU132" i="2"/>
  <c r="AT132" i="2"/>
  <c r="K132" i="2" s="1"/>
  <c r="AQ132" i="2"/>
  <c r="AP132" i="2"/>
  <c r="AO132" i="2"/>
  <c r="AN132" i="2"/>
  <c r="AM132" i="2"/>
  <c r="AL132" i="2"/>
  <c r="AK132" i="2"/>
  <c r="AJ132" i="2"/>
  <c r="AI132" i="2"/>
  <c r="AH132" i="2"/>
  <c r="AG132" i="2"/>
  <c r="AF132" i="2"/>
  <c r="AE132" i="2"/>
  <c r="AD132" i="2"/>
  <c r="AC132" i="2"/>
  <c r="AB132" i="2"/>
  <c r="AA132" i="2"/>
  <c r="Z132" i="2"/>
  <c r="V132" i="2"/>
  <c r="U132" i="2"/>
  <c r="T132" i="2"/>
  <c r="S132" i="2"/>
  <c r="R132" i="2"/>
  <c r="Q132" i="2"/>
  <c r="P132" i="2"/>
  <c r="O132" i="2"/>
  <c r="N132" i="2"/>
  <c r="M132" i="2"/>
  <c r="I132" i="2"/>
  <c r="G132" i="2"/>
  <c r="F132" i="2"/>
  <c r="D132" i="2"/>
  <c r="B132" i="2"/>
  <c r="AX131" i="2"/>
  <c r="E131" i="2" s="1"/>
  <c r="AU131" i="2"/>
  <c r="AT131" i="2"/>
  <c r="K131" i="2" s="1"/>
  <c r="AQ131" i="2"/>
  <c r="AP131" i="2"/>
  <c r="AO131" i="2"/>
  <c r="AN131" i="2"/>
  <c r="AM131" i="2"/>
  <c r="AL131" i="2"/>
  <c r="AK131" i="2"/>
  <c r="AJ131" i="2"/>
  <c r="AI131" i="2"/>
  <c r="AH131" i="2"/>
  <c r="AG131" i="2"/>
  <c r="AF131" i="2"/>
  <c r="AE131" i="2"/>
  <c r="AD131" i="2"/>
  <c r="AC131" i="2"/>
  <c r="AB131" i="2"/>
  <c r="AA131" i="2"/>
  <c r="Z131" i="2"/>
  <c r="V131" i="2"/>
  <c r="U131" i="2"/>
  <c r="T131" i="2"/>
  <c r="S131" i="2"/>
  <c r="R131" i="2"/>
  <c r="Q131" i="2"/>
  <c r="P131" i="2"/>
  <c r="O131" i="2"/>
  <c r="N131" i="2"/>
  <c r="M131" i="2"/>
  <c r="I131" i="2"/>
  <c r="G131" i="2"/>
  <c r="F131" i="2"/>
  <c r="D131" i="2"/>
  <c r="B131" i="2"/>
  <c r="AY130" i="2"/>
  <c r="H130" i="2" s="1"/>
  <c r="AX130" i="2"/>
  <c r="E130" i="2" s="1"/>
  <c r="AU130" i="2"/>
  <c r="AT130" i="2"/>
  <c r="AQ130" i="2"/>
  <c r="AP130" i="2"/>
  <c r="AO130" i="2"/>
  <c r="AN130" i="2"/>
  <c r="AM130" i="2"/>
  <c r="AL130" i="2"/>
  <c r="AK130" i="2"/>
  <c r="AJ130" i="2"/>
  <c r="AI130" i="2"/>
  <c r="AH130" i="2"/>
  <c r="AG130" i="2"/>
  <c r="AF130" i="2"/>
  <c r="AE130" i="2"/>
  <c r="AD130" i="2"/>
  <c r="AC130" i="2"/>
  <c r="AB130" i="2"/>
  <c r="AA130" i="2"/>
  <c r="Z130" i="2"/>
  <c r="V130" i="2"/>
  <c r="U130" i="2"/>
  <c r="T130" i="2"/>
  <c r="S130" i="2"/>
  <c r="R130" i="2"/>
  <c r="Q130" i="2"/>
  <c r="P130" i="2"/>
  <c r="O130" i="2"/>
  <c r="N130" i="2"/>
  <c r="M130" i="2"/>
  <c r="I130" i="2"/>
  <c r="G130" i="2"/>
  <c r="F130" i="2"/>
  <c r="D130" i="2"/>
  <c r="B130" i="2"/>
  <c r="AY129" i="2"/>
  <c r="H129" i="2" s="1"/>
  <c r="AX129" i="2"/>
  <c r="E129" i="2" s="1"/>
  <c r="AU129" i="2"/>
  <c r="AT129" i="2"/>
  <c r="K129" i="2" s="1"/>
  <c r="AQ129" i="2"/>
  <c r="AP129" i="2"/>
  <c r="AO129" i="2"/>
  <c r="AN129" i="2"/>
  <c r="AM129" i="2"/>
  <c r="AL129" i="2"/>
  <c r="AK129" i="2"/>
  <c r="AJ129" i="2"/>
  <c r="AI129" i="2"/>
  <c r="AH129" i="2"/>
  <c r="AG129" i="2"/>
  <c r="AF129" i="2"/>
  <c r="AE129" i="2"/>
  <c r="AD129" i="2"/>
  <c r="AC129" i="2"/>
  <c r="AB129" i="2"/>
  <c r="AA129" i="2"/>
  <c r="Z129" i="2"/>
  <c r="V129" i="2"/>
  <c r="U129" i="2"/>
  <c r="T129" i="2"/>
  <c r="S129" i="2"/>
  <c r="R129" i="2"/>
  <c r="Q129" i="2"/>
  <c r="P129" i="2"/>
  <c r="O129" i="2"/>
  <c r="N129" i="2"/>
  <c r="M129" i="2"/>
  <c r="I129" i="2"/>
  <c r="G129" i="2"/>
  <c r="F129" i="2"/>
  <c r="D129" i="2"/>
  <c r="B129" i="2"/>
  <c r="AY128" i="2"/>
  <c r="H128" i="2" s="1"/>
  <c r="AX128" i="2"/>
  <c r="E128" i="2" s="1"/>
  <c r="AU128" i="2"/>
  <c r="AT128" i="2"/>
  <c r="K128" i="2" s="1"/>
  <c r="AQ128" i="2"/>
  <c r="AP128" i="2"/>
  <c r="AO128" i="2"/>
  <c r="AN128" i="2"/>
  <c r="AM128" i="2"/>
  <c r="AL128" i="2"/>
  <c r="AK128" i="2"/>
  <c r="AJ128" i="2"/>
  <c r="AI128" i="2"/>
  <c r="AH128" i="2"/>
  <c r="AG128" i="2"/>
  <c r="AF128" i="2"/>
  <c r="AE128" i="2"/>
  <c r="AD128" i="2"/>
  <c r="AC128" i="2"/>
  <c r="AB128" i="2"/>
  <c r="AA128" i="2"/>
  <c r="Z128" i="2"/>
  <c r="V128" i="2"/>
  <c r="U128" i="2"/>
  <c r="T128" i="2"/>
  <c r="S128" i="2"/>
  <c r="R128" i="2"/>
  <c r="Q128" i="2"/>
  <c r="P128" i="2"/>
  <c r="O128" i="2"/>
  <c r="N128" i="2"/>
  <c r="M128" i="2"/>
  <c r="I128" i="2"/>
  <c r="G128" i="2"/>
  <c r="F128" i="2"/>
  <c r="D128" i="2"/>
  <c r="B128" i="2"/>
  <c r="AY127" i="2"/>
  <c r="H127" i="2" s="1"/>
  <c r="AX127" i="2"/>
  <c r="E127" i="2" s="1"/>
  <c r="AU127" i="2"/>
  <c r="AT127" i="2"/>
  <c r="K127" i="2" s="1"/>
  <c r="AQ127" i="2"/>
  <c r="AP127" i="2"/>
  <c r="AO127" i="2"/>
  <c r="AN127" i="2"/>
  <c r="AM127" i="2"/>
  <c r="AL127" i="2"/>
  <c r="AK127" i="2"/>
  <c r="AJ127" i="2"/>
  <c r="AI127" i="2"/>
  <c r="AH127" i="2"/>
  <c r="AG127" i="2"/>
  <c r="AF127" i="2"/>
  <c r="AE127" i="2"/>
  <c r="AD127" i="2"/>
  <c r="AC127" i="2"/>
  <c r="AB127" i="2"/>
  <c r="AA127" i="2"/>
  <c r="Z127" i="2"/>
  <c r="V127" i="2"/>
  <c r="U127" i="2"/>
  <c r="T127" i="2"/>
  <c r="S127" i="2"/>
  <c r="R127" i="2"/>
  <c r="Q127" i="2"/>
  <c r="P127" i="2"/>
  <c r="O127" i="2"/>
  <c r="N127" i="2"/>
  <c r="M127" i="2"/>
  <c r="I127" i="2"/>
  <c r="G127" i="2"/>
  <c r="F127" i="2"/>
  <c r="D127" i="2"/>
  <c r="B127" i="2"/>
  <c r="AY126" i="2"/>
  <c r="H126" i="2" s="1"/>
  <c r="AX126" i="2"/>
  <c r="E126" i="2" s="1"/>
  <c r="AU126" i="2"/>
  <c r="AT126" i="2"/>
  <c r="K126" i="2" s="1"/>
  <c r="AQ126" i="2"/>
  <c r="AP126" i="2"/>
  <c r="AO126" i="2"/>
  <c r="AN126" i="2"/>
  <c r="AM126" i="2"/>
  <c r="AL126" i="2"/>
  <c r="AK126" i="2"/>
  <c r="AJ126" i="2"/>
  <c r="AI126" i="2"/>
  <c r="AH126" i="2"/>
  <c r="AG126" i="2"/>
  <c r="AF126" i="2"/>
  <c r="AE126" i="2"/>
  <c r="AD126" i="2"/>
  <c r="AC126" i="2"/>
  <c r="AB126" i="2"/>
  <c r="AA126" i="2"/>
  <c r="Z126" i="2"/>
  <c r="V126" i="2"/>
  <c r="U126" i="2"/>
  <c r="T126" i="2"/>
  <c r="S126" i="2"/>
  <c r="R126" i="2"/>
  <c r="Q126" i="2"/>
  <c r="P126" i="2"/>
  <c r="O126" i="2"/>
  <c r="N126" i="2"/>
  <c r="M126" i="2"/>
  <c r="I126" i="2"/>
  <c r="G126" i="2"/>
  <c r="F126" i="2"/>
  <c r="D126" i="2"/>
  <c r="B126" i="2"/>
  <c r="AY125" i="2"/>
  <c r="H125" i="2" s="1"/>
  <c r="AX125" i="2"/>
  <c r="E125" i="2" s="1"/>
  <c r="AU125" i="2"/>
  <c r="AT125" i="2"/>
  <c r="K125" i="2" s="1"/>
  <c r="AQ125" i="2"/>
  <c r="AP125" i="2"/>
  <c r="AO125" i="2"/>
  <c r="AN125" i="2"/>
  <c r="AM125" i="2"/>
  <c r="AL125" i="2"/>
  <c r="AK125" i="2"/>
  <c r="AJ125" i="2"/>
  <c r="AI125" i="2"/>
  <c r="AH125" i="2"/>
  <c r="AG125" i="2"/>
  <c r="AF125" i="2"/>
  <c r="AE125" i="2"/>
  <c r="AD125" i="2"/>
  <c r="AC125" i="2"/>
  <c r="AB125" i="2"/>
  <c r="AA125" i="2"/>
  <c r="Z125" i="2"/>
  <c r="V125" i="2"/>
  <c r="U125" i="2"/>
  <c r="T125" i="2"/>
  <c r="S125" i="2"/>
  <c r="R125" i="2"/>
  <c r="Q125" i="2"/>
  <c r="P125" i="2"/>
  <c r="O125" i="2"/>
  <c r="N125" i="2"/>
  <c r="M125" i="2"/>
  <c r="I125" i="2"/>
  <c r="G125" i="2"/>
  <c r="F125" i="2"/>
  <c r="D125" i="2"/>
  <c r="B125" i="2"/>
  <c r="AY124" i="2"/>
  <c r="H124" i="2" s="1"/>
  <c r="AX124" i="2"/>
  <c r="E124" i="2" s="1"/>
  <c r="AU124" i="2"/>
  <c r="AT124" i="2"/>
  <c r="K124" i="2" s="1"/>
  <c r="AQ124" i="2"/>
  <c r="AP124" i="2"/>
  <c r="AO124" i="2"/>
  <c r="AN124" i="2"/>
  <c r="AM124" i="2"/>
  <c r="AL124" i="2"/>
  <c r="AK124" i="2"/>
  <c r="AJ124" i="2"/>
  <c r="AI124" i="2"/>
  <c r="AH124" i="2"/>
  <c r="AG124" i="2"/>
  <c r="AF124" i="2"/>
  <c r="AE124" i="2"/>
  <c r="AD124" i="2"/>
  <c r="AC124" i="2"/>
  <c r="AB124" i="2"/>
  <c r="AA124" i="2"/>
  <c r="Z124" i="2"/>
  <c r="V124" i="2"/>
  <c r="U124" i="2"/>
  <c r="T124" i="2"/>
  <c r="S124" i="2"/>
  <c r="R124" i="2"/>
  <c r="Q124" i="2"/>
  <c r="P124" i="2"/>
  <c r="O124" i="2"/>
  <c r="N124" i="2"/>
  <c r="M124" i="2"/>
  <c r="I124" i="2"/>
  <c r="G124" i="2"/>
  <c r="F124" i="2"/>
  <c r="D124" i="2"/>
  <c r="B124" i="2"/>
  <c r="AY123" i="2"/>
  <c r="H123" i="2" s="1"/>
  <c r="AX123" i="2"/>
  <c r="E123" i="2" s="1"/>
  <c r="AU123" i="2"/>
  <c r="AT123" i="2"/>
  <c r="K123" i="2" s="1"/>
  <c r="AQ123" i="2"/>
  <c r="AP123" i="2"/>
  <c r="AO123" i="2"/>
  <c r="AN123" i="2"/>
  <c r="AM123" i="2"/>
  <c r="AL123" i="2"/>
  <c r="AK123" i="2"/>
  <c r="AJ123" i="2"/>
  <c r="AI123" i="2"/>
  <c r="AH123" i="2"/>
  <c r="AG123" i="2"/>
  <c r="AF123" i="2"/>
  <c r="AE123" i="2"/>
  <c r="AD123" i="2"/>
  <c r="AC123" i="2"/>
  <c r="AB123" i="2"/>
  <c r="AA123" i="2"/>
  <c r="Z123" i="2"/>
  <c r="V123" i="2"/>
  <c r="U123" i="2"/>
  <c r="T123" i="2"/>
  <c r="S123" i="2"/>
  <c r="R123" i="2"/>
  <c r="Q123" i="2"/>
  <c r="P123" i="2"/>
  <c r="O123" i="2"/>
  <c r="N123" i="2"/>
  <c r="M123" i="2"/>
  <c r="I123" i="2"/>
  <c r="G123" i="2"/>
  <c r="F123" i="2"/>
  <c r="D123" i="2"/>
  <c r="B123" i="2"/>
  <c r="AX122" i="2"/>
  <c r="E122" i="2" s="1"/>
  <c r="AU122" i="2"/>
  <c r="AT122" i="2"/>
  <c r="K122" i="2" s="1"/>
  <c r="AQ122" i="2"/>
  <c r="AP122" i="2"/>
  <c r="AO122" i="2"/>
  <c r="AN122" i="2"/>
  <c r="AM122" i="2"/>
  <c r="AL122" i="2"/>
  <c r="AK122" i="2"/>
  <c r="AJ122" i="2"/>
  <c r="AI122" i="2"/>
  <c r="AH122" i="2"/>
  <c r="AG122" i="2"/>
  <c r="AF122" i="2"/>
  <c r="AE122" i="2"/>
  <c r="AD122" i="2"/>
  <c r="AC122" i="2"/>
  <c r="AB122" i="2"/>
  <c r="AA122" i="2"/>
  <c r="Z122" i="2"/>
  <c r="V122" i="2"/>
  <c r="U122" i="2"/>
  <c r="T122" i="2"/>
  <c r="S122" i="2"/>
  <c r="R122" i="2"/>
  <c r="Q122" i="2"/>
  <c r="P122" i="2"/>
  <c r="O122" i="2"/>
  <c r="N122" i="2"/>
  <c r="M122" i="2"/>
  <c r="I122" i="2"/>
  <c r="G122" i="2"/>
  <c r="F122" i="2"/>
  <c r="D122" i="2"/>
  <c r="B122" i="2"/>
  <c r="AY121" i="2"/>
  <c r="H121" i="2" s="1"/>
  <c r="AX121" i="2"/>
  <c r="E121" i="2" s="1"/>
  <c r="AU121" i="2"/>
  <c r="AT121" i="2"/>
  <c r="K121" i="2" s="1"/>
  <c r="AQ121" i="2"/>
  <c r="AP121" i="2"/>
  <c r="AO121" i="2"/>
  <c r="AN121" i="2"/>
  <c r="AM121" i="2"/>
  <c r="AL121" i="2"/>
  <c r="AK121" i="2"/>
  <c r="AJ121" i="2"/>
  <c r="AI121" i="2"/>
  <c r="AH121" i="2"/>
  <c r="AG121" i="2"/>
  <c r="AF121" i="2"/>
  <c r="AE121" i="2"/>
  <c r="AD121" i="2"/>
  <c r="AC121" i="2"/>
  <c r="AB121" i="2"/>
  <c r="AA121" i="2"/>
  <c r="Z121" i="2"/>
  <c r="V121" i="2"/>
  <c r="U121" i="2"/>
  <c r="T121" i="2"/>
  <c r="S121" i="2"/>
  <c r="R121" i="2"/>
  <c r="Q121" i="2"/>
  <c r="P121" i="2"/>
  <c r="O121" i="2"/>
  <c r="N121" i="2"/>
  <c r="M121" i="2"/>
  <c r="I121" i="2"/>
  <c r="G121" i="2"/>
  <c r="F121" i="2"/>
  <c r="D121" i="2"/>
  <c r="B121" i="2"/>
  <c r="AY120" i="2"/>
  <c r="H120" i="2" s="1"/>
  <c r="AX120" i="2"/>
  <c r="E120" i="2" s="1"/>
  <c r="AU120" i="2"/>
  <c r="AT120" i="2"/>
  <c r="K120" i="2" s="1"/>
  <c r="AQ120" i="2"/>
  <c r="AP120" i="2"/>
  <c r="AO120" i="2"/>
  <c r="AN120" i="2"/>
  <c r="AM120" i="2"/>
  <c r="AL120" i="2"/>
  <c r="AK120" i="2"/>
  <c r="AJ120" i="2"/>
  <c r="AI120" i="2"/>
  <c r="AH120" i="2"/>
  <c r="AG120" i="2"/>
  <c r="AF120" i="2"/>
  <c r="AE120" i="2"/>
  <c r="AD120" i="2"/>
  <c r="AC120" i="2"/>
  <c r="AB120" i="2"/>
  <c r="AA120" i="2"/>
  <c r="Z120" i="2"/>
  <c r="V120" i="2"/>
  <c r="U120" i="2"/>
  <c r="T120" i="2"/>
  <c r="S120" i="2"/>
  <c r="R120" i="2"/>
  <c r="Q120" i="2"/>
  <c r="P120" i="2"/>
  <c r="O120" i="2"/>
  <c r="N120" i="2"/>
  <c r="M120" i="2"/>
  <c r="I120" i="2"/>
  <c r="G120" i="2"/>
  <c r="F120" i="2"/>
  <c r="D120" i="2"/>
  <c r="B120" i="2"/>
  <c r="AY119" i="2"/>
  <c r="H119" i="2" s="1"/>
  <c r="AX119" i="2"/>
  <c r="E119" i="2" s="1"/>
  <c r="AU119" i="2"/>
  <c r="AT119" i="2"/>
  <c r="K119" i="2" s="1"/>
  <c r="AQ119" i="2"/>
  <c r="AP119" i="2"/>
  <c r="AO119" i="2"/>
  <c r="AN119" i="2"/>
  <c r="AM119" i="2"/>
  <c r="AL119" i="2"/>
  <c r="AK119" i="2"/>
  <c r="AJ119" i="2"/>
  <c r="AI119" i="2"/>
  <c r="AH119" i="2"/>
  <c r="AG119" i="2"/>
  <c r="AF119" i="2"/>
  <c r="AE119" i="2"/>
  <c r="AD119" i="2"/>
  <c r="AC119" i="2"/>
  <c r="AB119" i="2"/>
  <c r="AA119" i="2"/>
  <c r="Z119" i="2"/>
  <c r="V119" i="2"/>
  <c r="U119" i="2"/>
  <c r="T119" i="2"/>
  <c r="S119" i="2"/>
  <c r="R119" i="2"/>
  <c r="Q119" i="2"/>
  <c r="P119" i="2"/>
  <c r="O119" i="2"/>
  <c r="N119" i="2"/>
  <c r="M119" i="2"/>
  <c r="I119" i="2"/>
  <c r="G119" i="2"/>
  <c r="F119" i="2"/>
  <c r="D119" i="2"/>
  <c r="B119" i="2"/>
  <c r="AY118" i="2"/>
  <c r="H118" i="2" s="1"/>
  <c r="AX118" i="2"/>
  <c r="E118" i="2" s="1"/>
  <c r="AU118" i="2"/>
  <c r="AT118" i="2"/>
  <c r="K118" i="2" s="1"/>
  <c r="AQ118" i="2"/>
  <c r="AP118" i="2"/>
  <c r="AO118" i="2"/>
  <c r="AN118" i="2"/>
  <c r="AM118" i="2"/>
  <c r="AL118" i="2"/>
  <c r="AK118" i="2"/>
  <c r="AJ118" i="2"/>
  <c r="AI118" i="2"/>
  <c r="AH118" i="2"/>
  <c r="AG118" i="2"/>
  <c r="AF118" i="2"/>
  <c r="AE118" i="2"/>
  <c r="AD118" i="2"/>
  <c r="AC118" i="2"/>
  <c r="AB118" i="2"/>
  <c r="AA118" i="2"/>
  <c r="Z118" i="2"/>
  <c r="V118" i="2"/>
  <c r="U118" i="2"/>
  <c r="T118" i="2"/>
  <c r="S118" i="2"/>
  <c r="R118" i="2"/>
  <c r="Q118" i="2"/>
  <c r="P118" i="2"/>
  <c r="O118" i="2"/>
  <c r="N118" i="2"/>
  <c r="M118" i="2"/>
  <c r="I118" i="2"/>
  <c r="G118" i="2"/>
  <c r="F118" i="2"/>
  <c r="D118" i="2"/>
  <c r="B118" i="2"/>
  <c r="AY117" i="2"/>
  <c r="AX117" i="2"/>
  <c r="AW117" i="2"/>
  <c r="AV117" i="2"/>
  <c r="AU117" i="2"/>
  <c r="AT117" i="2"/>
  <c r="K117" i="2" s="1"/>
  <c r="AQ117" i="2"/>
  <c r="AP117" i="2"/>
  <c r="AO117" i="2"/>
  <c r="AN117" i="2"/>
  <c r="AM117" i="2"/>
  <c r="AL117" i="2"/>
  <c r="AK117" i="2"/>
  <c r="AJ117" i="2"/>
  <c r="AI117" i="2"/>
  <c r="AH117" i="2"/>
  <c r="AG117" i="2"/>
  <c r="AF117" i="2"/>
  <c r="AE117" i="2"/>
  <c r="AD117" i="2"/>
  <c r="AC117" i="2"/>
  <c r="AB117" i="2"/>
  <c r="AA117" i="2"/>
  <c r="Z117" i="2"/>
  <c r="V117" i="2"/>
  <c r="U117" i="2"/>
  <c r="T117" i="2"/>
  <c r="S117" i="2"/>
  <c r="R117" i="2"/>
  <c r="Q117" i="2"/>
  <c r="P117" i="2"/>
  <c r="O117" i="2"/>
  <c r="N117" i="2"/>
  <c r="M117" i="2"/>
  <c r="I117" i="2"/>
  <c r="H117" i="2"/>
  <c r="G117" i="2"/>
  <c r="F117" i="2"/>
  <c r="E117" i="2"/>
  <c r="D117" i="2"/>
  <c r="B117" i="2"/>
  <c r="AY116" i="2"/>
  <c r="AX116" i="2"/>
  <c r="AW116" i="2"/>
  <c r="AV116" i="2"/>
  <c r="AU116" i="2"/>
  <c r="AT116" i="2"/>
  <c r="K116" i="2" s="1"/>
  <c r="AQ116" i="2"/>
  <c r="AP116" i="2"/>
  <c r="AO116" i="2"/>
  <c r="AN116" i="2"/>
  <c r="AM116" i="2"/>
  <c r="AL116" i="2"/>
  <c r="AK116" i="2"/>
  <c r="AJ116" i="2"/>
  <c r="AI116" i="2"/>
  <c r="AH116" i="2"/>
  <c r="AG116" i="2"/>
  <c r="AF116" i="2"/>
  <c r="AE116" i="2"/>
  <c r="AD116" i="2"/>
  <c r="AC116" i="2"/>
  <c r="AB116" i="2"/>
  <c r="AA116" i="2"/>
  <c r="Z116" i="2"/>
  <c r="V116" i="2"/>
  <c r="U116" i="2"/>
  <c r="T116" i="2"/>
  <c r="S116" i="2"/>
  <c r="R116" i="2"/>
  <c r="Q116" i="2"/>
  <c r="P116" i="2"/>
  <c r="O116" i="2"/>
  <c r="N116" i="2"/>
  <c r="M116" i="2"/>
  <c r="I116" i="2"/>
  <c r="H116" i="2"/>
  <c r="G116" i="2"/>
  <c r="F116" i="2"/>
  <c r="E116" i="2"/>
  <c r="D116" i="2"/>
  <c r="B116" i="2"/>
  <c r="AY115" i="2"/>
  <c r="AX115" i="2"/>
  <c r="AW115" i="2"/>
  <c r="AV115" i="2"/>
  <c r="AU115" i="2"/>
  <c r="AT115" i="2"/>
  <c r="K115" i="2" s="1"/>
  <c r="AQ115" i="2"/>
  <c r="AP115" i="2"/>
  <c r="AO115" i="2"/>
  <c r="AN115" i="2"/>
  <c r="AM115" i="2"/>
  <c r="AL115" i="2"/>
  <c r="AK115" i="2"/>
  <c r="AJ115" i="2"/>
  <c r="AI115" i="2"/>
  <c r="AH115" i="2"/>
  <c r="AG115" i="2"/>
  <c r="AF115" i="2"/>
  <c r="AE115" i="2"/>
  <c r="AD115" i="2"/>
  <c r="AC115" i="2"/>
  <c r="AB115" i="2"/>
  <c r="AA115" i="2"/>
  <c r="Z115" i="2"/>
  <c r="V115" i="2"/>
  <c r="U115" i="2"/>
  <c r="T115" i="2"/>
  <c r="S115" i="2"/>
  <c r="R115" i="2"/>
  <c r="Q115" i="2"/>
  <c r="P115" i="2"/>
  <c r="O115" i="2"/>
  <c r="N115" i="2"/>
  <c r="M115" i="2"/>
  <c r="I115" i="2"/>
  <c r="H115" i="2"/>
  <c r="G115" i="2"/>
  <c r="F115" i="2"/>
  <c r="E115" i="2"/>
  <c r="D115" i="2"/>
  <c r="B115" i="2"/>
  <c r="AY114" i="2"/>
  <c r="AX114" i="2"/>
  <c r="AW114" i="2"/>
  <c r="AV114" i="2"/>
  <c r="AU114" i="2"/>
  <c r="AT114" i="2"/>
  <c r="K114" i="2" s="1"/>
  <c r="AQ114" i="2"/>
  <c r="AP114" i="2"/>
  <c r="AO114" i="2"/>
  <c r="AN114" i="2"/>
  <c r="AM114" i="2"/>
  <c r="AL114" i="2"/>
  <c r="AK114" i="2"/>
  <c r="AJ114" i="2"/>
  <c r="AI114" i="2"/>
  <c r="AH114" i="2"/>
  <c r="AG114" i="2"/>
  <c r="AF114" i="2"/>
  <c r="AE114" i="2"/>
  <c r="AD114" i="2"/>
  <c r="AC114" i="2"/>
  <c r="AB114" i="2"/>
  <c r="AA114" i="2"/>
  <c r="Z114" i="2"/>
  <c r="V114" i="2"/>
  <c r="U114" i="2"/>
  <c r="T114" i="2"/>
  <c r="S114" i="2"/>
  <c r="R114" i="2"/>
  <c r="Q114" i="2"/>
  <c r="P114" i="2"/>
  <c r="O114" i="2"/>
  <c r="N114" i="2"/>
  <c r="M114" i="2"/>
  <c r="I114" i="2"/>
  <c r="H114" i="2"/>
  <c r="G114" i="2"/>
  <c r="F114" i="2"/>
  <c r="E114" i="2"/>
  <c r="D114" i="2"/>
  <c r="B114" i="2"/>
  <c r="AY113" i="2"/>
  <c r="AX113" i="2"/>
  <c r="AW113" i="2"/>
  <c r="AV113" i="2"/>
  <c r="AU113" i="2"/>
  <c r="AT113" i="2"/>
  <c r="K113" i="2" s="1"/>
  <c r="AQ113" i="2"/>
  <c r="AP113" i="2"/>
  <c r="AO113" i="2"/>
  <c r="AN113" i="2"/>
  <c r="AM113" i="2"/>
  <c r="AL113" i="2"/>
  <c r="AK113" i="2"/>
  <c r="AJ113" i="2"/>
  <c r="AI113" i="2"/>
  <c r="AH113" i="2"/>
  <c r="AG113" i="2"/>
  <c r="AF113" i="2"/>
  <c r="AE113" i="2"/>
  <c r="AD113" i="2"/>
  <c r="AC113" i="2"/>
  <c r="AB113" i="2"/>
  <c r="AA113" i="2"/>
  <c r="Z113" i="2"/>
  <c r="V113" i="2"/>
  <c r="U113" i="2"/>
  <c r="T113" i="2"/>
  <c r="S113" i="2"/>
  <c r="R113" i="2"/>
  <c r="Q113" i="2"/>
  <c r="P113" i="2"/>
  <c r="O113" i="2"/>
  <c r="N113" i="2"/>
  <c r="M113" i="2"/>
  <c r="I113" i="2"/>
  <c r="H113" i="2"/>
  <c r="G113" i="2"/>
  <c r="F113" i="2"/>
  <c r="E113" i="2"/>
  <c r="D113" i="2"/>
  <c r="B113" i="2"/>
  <c r="AY112" i="2"/>
  <c r="AX112" i="2"/>
  <c r="AW112" i="2"/>
  <c r="AV112" i="2"/>
  <c r="AU112" i="2"/>
  <c r="AT112" i="2"/>
  <c r="K112" i="2" s="1"/>
  <c r="AQ112" i="2"/>
  <c r="AP112" i="2"/>
  <c r="AN112" i="2"/>
  <c r="AM112" i="2"/>
  <c r="AL112" i="2"/>
  <c r="AK112" i="2"/>
  <c r="AJ112" i="2"/>
  <c r="AI112" i="2"/>
  <c r="AH112" i="2"/>
  <c r="AG112" i="2"/>
  <c r="AF112" i="2"/>
  <c r="AE112" i="2"/>
  <c r="AD112" i="2"/>
  <c r="AC112" i="2"/>
  <c r="AB112" i="2"/>
  <c r="AA112" i="2"/>
  <c r="Z112" i="2"/>
  <c r="V112" i="2"/>
  <c r="U112" i="2"/>
  <c r="T112" i="2"/>
  <c r="S112" i="2"/>
  <c r="R112" i="2"/>
  <c r="Q112" i="2"/>
  <c r="P112" i="2"/>
  <c r="O112" i="2"/>
  <c r="N112" i="2"/>
  <c r="M112" i="2"/>
  <c r="I112" i="2"/>
  <c r="H112" i="2"/>
  <c r="G112" i="2"/>
  <c r="F112" i="2"/>
  <c r="E112" i="2"/>
  <c r="D112" i="2"/>
  <c r="B112" i="2"/>
  <c r="AY111" i="2"/>
  <c r="AX111" i="2"/>
  <c r="AW111" i="2"/>
  <c r="AV111" i="2"/>
  <c r="AU111" i="2"/>
  <c r="AT111" i="2"/>
  <c r="K111" i="2" s="1"/>
  <c r="AQ111" i="2"/>
  <c r="AP111" i="2"/>
  <c r="AO111" i="2"/>
  <c r="AN111" i="2"/>
  <c r="AM111" i="2"/>
  <c r="AL111" i="2"/>
  <c r="AK111" i="2"/>
  <c r="AJ111" i="2"/>
  <c r="AI111" i="2"/>
  <c r="AH111" i="2"/>
  <c r="AG111" i="2"/>
  <c r="AF111" i="2"/>
  <c r="AE111" i="2"/>
  <c r="AD111" i="2"/>
  <c r="AC111" i="2"/>
  <c r="AB111" i="2"/>
  <c r="AA111" i="2"/>
  <c r="Z111" i="2"/>
  <c r="V111" i="2"/>
  <c r="U111" i="2"/>
  <c r="T111" i="2"/>
  <c r="S111" i="2"/>
  <c r="R111" i="2"/>
  <c r="Q111" i="2"/>
  <c r="P111" i="2"/>
  <c r="O111" i="2"/>
  <c r="N111" i="2"/>
  <c r="M111" i="2"/>
  <c r="I111" i="2"/>
  <c r="H111" i="2"/>
  <c r="G111" i="2"/>
  <c r="F111" i="2"/>
  <c r="E111" i="2"/>
  <c r="D111" i="2"/>
  <c r="B111" i="2"/>
  <c r="AY110" i="2"/>
  <c r="AX110" i="2"/>
  <c r="AW110" i="2"/>
  <c r="AV110" i="2"/>
  <c r="AU110" i="2"/>
  <c r="AT110" i="2"/>
  <c r="K110" i="2" s="1"/>
  <c r="AQ110" i="2"/>
  <c r="AP110" i="2"/>
  <c r="AO110" i="2"/>
  <c r="AN110" i="2"/>
  <c r="AM110" i="2"/>
  <c r="AL110" i="2"/>
  <c r="AK110" i="2"/>
  <c r="AJ110" i="2"/>
  <c r="AI110" i="2"/>
  <c r="AH110" i="2"/>
  <c r="AG110" i="2"/>
  <c r="AF110" i="2"/>
  <c r="AE110" i="2"/>
  <c r="AD110" i="2"/>
  <c r="AC110" i="2"/>
  <c r="AB110" i="2"/>
  <c r="AA110" i="2"/>
  <c r="Z110" i="2"/>
  <c r="V110" i="2"/>
  <c r="U110" i="2"/>
  <c r="T110" i="2"/>
  <c r="S110" i="2"/>
  <c r="R110" i="2"/>
  <c r="Q110" i="2"/>
  <c r="P110" i="2"/>
  <c r="O110" i="2"/>
  <c r="N110" i="2"/>
  <c r="M110" i="2"/>
  <c r="I110" i="2"/>
  <c r="H110" i="2"/>
  <c r="G110" i="2"/>
  <c r="F110" i="2"/>
  <c r="E110" i="2"/>
  <c r="D110" i="2"/>
  <c r="B110" i="2"/>
  <c r="AY109" i="2"/>
  <c r="AX109" i="2"/>
  <c r="AW109" i="2"/>
  <c r="AV109" i="2"/>
  <c r="AU109" i="2"/>
  <c r="AT109" i="2"/>
  <c r="K109" i="2" s="1"/>
  <c r="AQ109" i="2"/>
  <c r="AP109" i="2"/>
  <c r="AO109" i="2"/>
  <c r="AN109" i="2"/>
  <c r="AM109" i="2"/>
  <c r="AL109" i="2"/>
  <c r="AK109" i="2"/>
  <c r="AJ109" i="2"/>
  <c r="AI109" i="2"/>
  <c r="AH109" i="2"/>
  <c r="AG109" i="2"/>
  <c r="AF109" i="2"/>
  <c r="AE109" i="2"/>
  <c r="AD109" i="2"/>
  <c r="AC109" i="2"/>
  <c r="AB109" i="2"/>
  <c r="AA109" i="2"/>
  <c r="Z109" i="2"/>
  <c r="V109" i="2"/>
  <c r="U109" i="2"/>
  <c r="T109" i="2"/>
  <c r="S109" i="2"/>
  <c r="R109" i="2"/>
  <c r="Q109" i="2"/>
  <c r="P109" i="2"/>
  <c r="O109" i="2"/>
  <c r="N109" i="2"/>
  <c r="M109" i="2"/>
  <c r="I109" i="2"/>
  <c r="H109" i="2"/>
  <c r="G109" i="2"/>
  <c r="F109" i="2"/>
  <c r="E109" i="2"/>
  <c r="D109" i="2"/>
  <c r="B109" i="2"/>
  <c r="AY108" i="2"/>
  <c r="AX108" i="2"/>
  <c r="AW108" i="2"/>
  <c r="AV108" i="2"/>
  <c r="AU108" i="2"/>
  <c r="AT108" i="2"/>
  <c r="K108" i="2" s="1"/>
  <c r="AQ108" i="2"/>
  <c r="AP108" i="2"/>
  <c r="AO108" i="2"/>
  <c r="AN108" i="2"/>
  <c r="AM108" i="2"/>
  <c r="AL108" i="2"/>
  <c r="AK108" i="2"/>
  <c r="AJ108" i="2"/>
  <c r="AI108" i="2"/>
  <c r="AH108" i="2"/>
  <c r="AG108" i="2"/>
  <c r="AF108" i="2"/>
  <c r="AE108" i="2"/>
  <c r="AD108" i="2"/>
  <c r="AC108" i="2"/>
  <c r="AB108" i="2"/>
  <c r="AA108" i="2"/>
  <c r="Z108" i="2"/>
  <c r="V108" i="2"/>
  <c r="U108" i="2"/>
  <c r="T108" i="2"/>
  <c r="S108" i="2"/>
  <c r="R108" i="2"/>
  <c r="Q108" i="2"/>
  <c r="P108" i="2"/>
  <c r="O108" i="2"/>
  <c r="N108" i="2"/>
  <c r="M108" i="2"/>
  <c r="I108" i="2"/>
  <c r="H108" i="2"/>
  <c r="G108" i="2"/>
  <c r="F108" i="2"/>
  <c r="E108" i="2"/>
  <c r="D108" i="2"/>
  <c r="B108" i="2"/>
  <c r="AY107" i="2"/>
  <c r="AX107" i="2"/>
  <c r="AW107" i="2"/>
  <c r="AV107" i="2"/>
  <c r="AU107" i="2"/>
  <c r="AT107" i="2"/>
  <c r="K107" i="2" s="1"/>
  <c r="AQ107" i="2"/>
  <c r="AP107" i="2"/>
  <c r="AO107" i="2"/>
  <c r="AN107" i="2"/>
  <c r="AM107" i="2"/>
  <c r="AL107" i="2"/>
  <c r="AK107" i="2"/>
  <c r="AJ107" i="2"/>
  <c r="AI107" i="2"/>
  <c r="AH107" i="2"/>
  <c r="AG107" i="2"/>
  <c r="AF107" i="2"/>
  <c r="AE107" i="2"/>
  <c r="AD107" i="2"/>
  <c r="AC107" i="2"/>
  <c r="AB107" i="2"/>
  <c r="AA107" i="2"/>
  <c r="Z107" i="2"/>
  <c r="V107" i="2"/>
  <c r="U107" i="2"/>
  <c r="T107" i="2"/>
  <c r="S107" i="2"/>
  <c r="R107" i="2"/>
  <c r="Q107" i="2"/>
  <c r="P107" i="2"/>
  <c r="O107" i="2"/>
  <c r="N107" i="2"/>
  <c r="M107" i="2"/>
  <c r="I107" i="2"/>
  <c r="H107" i="2"/>
  <c r="G107" i="2"/>
  <c r="F107" i="2"/>
  <c r="E107" i="2"/>
  <c r="D107" i="2"/>
  <c r="B107" i="2"/>
  <c r="AY106" i="2"/>
  <c r="AX106" i="2"/>
  <c r="AW106" i="2"/>
  <c r="AV106" i="2"/>
  <c r="AU106" i="2"/>
  <c r="AT106" i="2"/>
  <c r="K106" i="2" s="1"/>
  <c r="AQ106" i="2"/>
  <c r="AP106" i="2"/>
  <c r="AO106" i="2"/>
  <c r="AN106" i="2"/>
  <c r="AM106" i="2"/>
  <c r="AL106" i="2"/>
  <c r="AK106" i="2"/>
  <c r="AJ106" i="2"/>
  <c r="AI106" i="2"/>
  <c r="AH106" i="2"/>
  <c r="AG106" i="2"/>
  <c r="AF106" i="2"/>
  <c r="AE106" i="2"/>
  <c r="AD106" i="2"/>
  <c r="AC106" i="2"/>
  <c r="AB106" i="2"/>
  <c r="AA106" i="2"/>
  <c r="Z106" i="2"/>
  <c r="V106" i="2"/>
  <c r="U106" i="2"/>
  <c r="T106" i="2"/>
  <c r="S106" i="2"/>
  <c r="R106" i="2"/>
  <c r="Q106" i="2"/>
  <c r="P106" i="2"/>
  <c r="O106" i="2"/>
  <c r="N106" i="2"/>
  <c r="M106" i="2"/>
  <c r="I106" i="2"/>
  <c r="H106" i="2"/>
  <c r="G106" i="2"/>
  <c r="F106" i="2"/>
  <c r="E106" i="2"/>
  <c r="D106" i="2"/>
  <c r="B106" i="2"/>
  <c r="AY105" i="2"/>
  <c r="AX105" i="2"/>
  <c r="AW105" i="2"/>
  <c r="AV105" i="2"/>
  <c r="AU105" i="2"/>
  <c r="AT105" i="2"/>
  <c r="K105" i="2" s="1"/>
  <c r="AQ105" i="2"/>
  <c r="AP105" i="2"/>
  <c r="AO105" i="2"/>
  <c r="AN105" i="2"/>
  <c r="AM105" i="2"/>
  <c r="AL105" i="2"/>
  <c r="AK105" i="2"/>
  <c r="AJ105" i="2"/>
  <c r="AI105" i="2"/>
  <c r="AH105" i="2"/>
  <c r="AG105" i="2"/>
  <c r="AF105" i="2"/>
  <c r="AE105" i="2"/>
  <c r="AD105" i="2"/>
  <c r="AC105" i="2"/>
  <c r="AB105" i="2"/>
  <c r="AA105" i="2"/>
  <c r="Z105" i="2"/>
  <c r="V105" i="2"/>
  <c r="U105" i="2"/>
  <c r="T105" i="2"/>
  <c r="S105" i="2"/>
  <c r="R105" i="2"/>
  <c r="Q105" i="2"/>
  <c r="P105" i="2"/>
  <c r="O105" i="2"/>
  <c r="N105" i="2"/>
  <c r="M105" i="2"/>
  <c r="I105" i="2"/>
  <c r="H105" i="2"/>
  <c r="G105" i="2"/>
  <c r="F105" i="2"/>
  <c r="E105" i="2"/>
  <c r="D105" i="2"/>
  <c r="B105" i="2"/>
  <c r="AY104" i="2"/>
  <c r="AX104" i="2"/>
  <c r="AW104" i="2"/>
  <c r="AV104" i="2"/>
  <c r="AU104" i="2"/>
  <c r="AT104" i="2"/>
  <c r="K104" i="2" s="1"/>
  <c r="AQ104" i="2"/>
  <c r="AP104" i="2"/>
  <c r="AO104" i="2"/>
  <c r="AN104" i="2"/>
  <c r="AM104" i="2"/>
  <c r="AL104" i="2"/>
  <c r="AK104" i="2"/>
  <c r="AJ104" i="2"/>
  <c r="AI104" i="2"/>
  <c r="AH104" i="2"/>
  <c r="AG104" i="2"/>
  <c r="AF104" i="2"/>
  <c r="AE104" i="2"/>
  <c r="AD104" i="2"/>
  <c r="AC104" i="2"/>
  <c r="AB104" i="2"/>
  <c r="AA104" i="2"/>
  <c r="Z104" i="2"/>
  <c r="V104" i="2"/>
  <c r="U104" i="2"/>
  <c r="T104" i="2"/>
  <c r="S104" i="2"/>
  <c r="R104" i="2"/>
  <c r="Q104" i="2"/>
  <c r="P104" i="2"/>
  <c r="O104" i="2"/>
  <c r="N104" i="2"/>
  <c r="M104" i="2"/>
  <c r="I104" i="2"/>
  <c r="H104" i="2"/>
  <c r="G104" i="2"/>
  <c r="F104" i="2"/>
  <c r="E104" i="2"/>
  <c r="D104" i="2"/>
  <c r="B104" i="2"/>
  <c r="AY103" i="2"/>
  <c r="AX103" i="2"/>
  <c r="AW103" i="2"/>
  <c r="AV103" i="2"/>
  <c r="AU103" i="2"/>
  <c r="AT103" i="2"/>
  <c r="K103" i="2" s="1"/>
  <c r="AQ103" i="2"/>
  <c r="AP103" i="2"/>
  <c r="AO103" i="2"/>
  <c r="AN103" i="2"/>
  <c r="AM103" i="2"/>
  <c r="AL103" i="2"/>
  <c r="AK103" i="2"/>
  <c r="AJ103" i="2"/>
  <c r="AI103" i="2"/>
  <c r="AH103" i="2"/>
  <c r="AG103" i="2"/>
  <c r="AF103" i="2"/>
  <c r="AE103" i="2"/>
  <c r="AD103" i="2"/>
  <c r="AC103" i="2"/>
  <c r="AB103" i="2"/>
  <c r="AA103" i="2"/>
  <c r="Z103" i="2"/>
  <c r="V103" i="2"/>
  <c r="U103" i="2"/>
  <c r="T103" i="2"/>
  <c r="S103" i="2"/>
  <c r="R103" i="2"/>
  <c r="Q103" i="2"/>
  <c r="P103" i="2"/>
  <c r="O103" i="2"/>
  <c r="N103" i="2"/>
  <c r="M103" i="2"/>
  <c r="I103" i="2"/>
  <c r="H103" i="2"/>
  <c r="G103" i="2"/>
  <c r="F103" i="2"/>
  <c r="E103" i="2"/>
  <c r="D103" i="2"/>
  <c r="B103" i="2"/>
  <c r="AY102" i="2"/>
  <c r="AX102" i="2"/>
  <c r="AW102" i="2"/>
  <c r="AV102" i="2"/>
  <c r="AU102" i="2"/>
  <c r="AT102" i="2"/>
  <c r="K102" i="2" s="1"/>
  <c r="AQ102" i="2"/>
  <c r="AP102" i="2"/>
  <c r="AO102" i="2"/>
  <c r="AN102" i="2"/>
  <c r="AM102" i="2"/>
  <c r="AL102" i="2"/>
  <c r="AK102" i="2"/>
  <c r="AJ102" i="2"/>
  <c r="AI102" i="2"/>
  <c r="AH102" i="2"/>
  <c r="AG102" i="2"/>
  <c r="AF102" i="2"/>
  <c r="AE102" i="2"/>
  <c r="AD102" i="2"/>
  <c r="AC102" i="2"/>
  <c r="AB102" i="2"/>
  <c r="AA102" i="2"/>
  <c r="Z102" i="2"/>
  <c r="V102" i="2"/>
  <c r="U102" i="2"/>
  <c r="T102" i="2"/>
  <c r="S102" i="2"/>
  <c r="R102" i="2"/>
  <c r="Q102" i="2"/>
  <c r="P102" i="2"/>
  <c r="O102" i="2"/>
  <c r="N102" i="2"/>
  <c r="M102" i="2"/>
  <c r="I102" i="2"/>
  <c r="H102" i="2"/>
  <c r="G102" i="2"/>
  <c r="F102" i="2"/>
  <c r="E102" i="2"/>
  <c r="D102" i="2"/>
  <c r="B102" i="2"/>
  <c r="AY101" i="2"/>
  <c r="AX101" i="2"/>
  <c r="AW101" i="2"/>
  <c r="AV101" i="2"/>
  <c r="AU101" i="2"/>
  <c r="AT101" i="2"/>
  <c r="K101" i="2" s="1"/>
  <c r="AQ101" i="2"/>
  <c r="AP101" i="2"/>
  <c r="AO101" i="2"/>
  <c r="AN101" i="2"/>
  <c r="AM101" i="2"/>
  <c r="AL101" i="2"/>
  <c r="AK101" i="2"/>
  <c r="AJ101" i="2"/>
  <c r="AI101" i="2"/>
  <c r="AH101" i="2"/>
  <c r="AG101" i="2"/>
  <c r="AF101" i="2"/>
  <c r="AE101" i="2"/>
  <c r="AD101" i="2"/>
  <c r="AC101" i="2"/>
  <c r="AB101" i="2"/>
  <c r="AA101" i="2"/>
  <c r="Z101" i="2"/>
  <c r="V101" i="2"/>
  <c r="U101" i="2"/>
  <c r="T101" i="2"/>
  <c r="S101" i="2"/>
  <c r="R101" i="2"/>
  <c r="Q101" i="2"/>
  <c r="P101" i="2"/>
  <c r="O101" i="2"/>
  <c r="N101" i="2"/>
  <c r="M101" i="2"/>
  <c r="I101" i="2"/>
  <c r="H101" i="2"/>
  <c r="G101" i="2"/>
  <c r="F101" i="2"/>
  <c r="E101" i="2"/>
  <c r="D101" i="2"/>
  <c r="B101" i="2"/>
  <c r="AY100" i="2"/>
  <c r="AX100" i="2"/>
  <c r="AW100" i="2"/>
  <c r="AV100" i="2"/>
  <c r="AU100" i="2"/>
  <c r="AT100" i="2"/>
  <c r="K100" i="2" s="1"/>
  <c r="AQ100" i="2"/>
  <c r="AP100" i="2"/>
  <c r="AO100" i="2"/>
  <c r="AN100" i="2"/>
  <c r="AM100" i="2"/>
  <c r="AL100" i="2"/>
  <c r="AK100" i="2"/>
  <c r="AJ100" i="2"/>
  <c r="AI100" i="2"/>
  <c r="AH100" i="2"/>
  <c r="AG100" i="2"/>
  <c r="AF100" i="2"/>
  <c r="AE100" i="2"/>
  <c r="AD100" i="2"/>
  <c r="AC100" i="2"/>
  <c r="AB100" i="2"/>
  <c r="AA100" i="2"/>
  <c r="Z100" i="2"/>
  <c r="V100" i="2"/>
  <c r="U100" i="2"/>
  <c r="T100" i="2"/>
  <c r="S100" i="2"/>
  <c r="R100" i="2"/>
  <c r="Q100" i="2"/>
  <c r="P100" i="2"/>
  <c r="O100" i="2"/>
  <c r="N100" i="2"/>
  <c r="M100" i="2"/>
  <c r="I100" i="2"/>
  <c r="H100" i="2"/>
  <c r="G100" i="2"/>
  <c r="F100" i="2"/>
  <c r="E100" i="2"/>
  <c r="D100" i="2"/>
  <c r="B100" i="2"/>
  <c r="AY99" i="2"/>
  <c r="AX99" i="2"/>
  <c r="AW99" i="2"/>
  <c r="AV99" i="2"/>
  <c r="AU99" i="2"/>
  <c r="AT99" i="2"/>
  <c r="K99" i="2" s="1"/>
  <c r="AQ99" i="2"/>
  <c r="AP99" i="2"/>
  <c r="AO99" i="2"/>
  <c r="AN99" i="2"/>
  <c r="AM99" i="2"/>
  <c r="AL99" i="2"/>
  <c r="AK99" i="2"/>
  <c r="AJ99" i="2"/>
  <c r="AI99" i="2"/>
  <c r="AH99" i="2"/>
  <c r="AG99" i="2"/>
  <c r="AF99" i="2"/>
  <c r="AE99" i="2"/>
  <c r="AD99" i="2"/>
  <c r="AC99" i="2"/>
  <c r="AB99" i="2"/>
  <c r="AA99" i="2"/>
  <c r="Z99" i="2"/>
  <c r="V99" i="2"/>
  <c r="U99" i="2"/>
  <c r="T99" i="2"/>
  <c r="S99" i="2"/>
  <c r="R99" i="2"/>
  <c r="Q99" i="2"/>
  <c r="P99" i="2"/>
  <c r="N99" i="2"/>
  <c r="M99" i="2"/>
  <c r="H99" i="2"/>
  <c r="G99" i="2"/>
  <c r="F99" i="2"/>
  <c r="E99" i="2"/>
  <c r="D99" i="2"/>
  <c r="B99" i="2"/>
  <c r="AY98" i="2"/>
  <c r="AX98" i="2"/>
  <c r="AW98" i="2"/>
  <c r="AV98" i="2"/>
  <c r="AU98" i="2"/>
  <c r="AT98" i="2"/>
  <c r="K98" i="2" s="1"/>
  <c r="AQ98" i="2"/>
  <c r="AP98" i="2"/>
  <c r="AO98" i="2"/>
  <c r="AN98" i="2"/>
  <c r="AM98" i="2"/>
  <c r="AL98" i="2"/>
  <c r="AK98" i="2"/>
  <c r="AJ98" i="2"/>
  <c r="AI98" i="2"/>
  <c r="AH98" i="2"/>
  <c r="AG98" i="2"/>
  <c r="AF98" i="2"/>
  <c r="AE98" i="2"/>
  <c r="AD98" i="2"/>
  <c r="AC98" i="2"/>
  <c r="AB98" i="2"/>
  <c r="AA98" i="2"/>
  <c r="Z98" i="2"/>
  <c r="V98" i="2"/>
  <c r="U98" i="2"/>
  <c r="T98" i="2"/>
  <c r="S98" i="2"/>
  <c r="R98" i="2"/>
  <c r="Q98" i="2"/>
  <c r="P98" i="2"/>
  <c r="N98" i="2"/>
  <c r="M98" i="2"/>
  <c r="H98" i="2"/>
  <c r="G98" i="2"/>
  <c r="F98" i="2"/>
  <c r="E98" i="2"/>
  <c r="D98" i="2"/>
  <c r="B98" i="2"/>
  <c r="AY97" i="2"/>
  <c r="AX97" i="2"/>
  <c r="AW97" i="2"/>
  <c r="AV97" i="2"/>
  <c r="AU97" i="2"/>
  <c r="AT97" i="2"/>
  <c r="K97" i="2" s="1"/>
  <c r="AQ97" i="2"/>
  <c r="AP97" i="2"/>
  <c r="AO97" i="2"/>
  <c r="AN97" i="2"/>
  <c r="AM97" i="2"/>
  <c r="AL97" i="2"/>
  <c r="AK97" i="2"/>
  <c r="AJ97" i="2"/>
  <c r="AI97" i="2"/>
  <c r="AH97" i="2"/>
  <c r="AG97" i="2"/>
  <c r="AF97" i="2"/>
  <c r="AE97" i="2"/>
  <c r="AD97" i="2"/>
  <c r="AC97" i="2"/>
  <c r="AB97" i="2"/>
  <c r="AA97" i="2"/>
  <c r="Z97" i="2"/>
  <c r="V97" i="2"/>
  <c r="U97" i="2"/>
  <c r="T97" i="2"/>
  <c r="S97" i="2"/>
  <c r="R97" i="2"/>
  <c r="Q97" i="2"/>
  <c r="P97" i="2"/>
  <c r="N97" i="2"/>
  <c r="M97" i="2"/>
  <c r="H97" i="2"/>
  <c r="G97" i="2"/>
  <c r="F97" i="2"/>
  <c r="E97" i="2"/>
  <c r="D97" i="2"/>
  <c r="B97" i="2"/>
  <c r="AY96" i="2"/>
  <c r="AX96" i="2"/>
  <c r="AW96" i="2"/>
  <c r="AV96" i="2"/>
  <c r="AU96" i="2"/>
  <c r="AT96" i="2"/>
  <c r="K96" i="2" s="1"/>
  <c r="AQ96" i="2"/>
  <c r="AP96" i="2"/>
  <c r="AO96" i="2"/>
  <c r="AN96" i="2"/>
  <c r="AM96" i="2"/>
  <c r="AL96" i="2"/>
  <c r="AK96" i="2"/>
  <c r="AJ96" i="2"/>
  <c r="AI96" i="2"/>
  <c r="AH96" i="2"/>
  <c r="AG96" i="2"/>
  <c r="AF96" i="2"/>
  <c r="AE96" i="2"/>
  <c r="AD96" i="2"/>
  <c r="AC96" i="2"/>
  <c r="AB96" i="2"/>
  <c r="AA96" i="2"/>
  <c r="Z96" i="2"/>
  <c r="V96" i="2"/>
  <c r="U96" i="2"/>
  <c r="T96" i="2"/>
  <c r="S96" i="2"/>
  <c r="R96" i="2"/>
  <c r="Q96" i="2"/>
  <c r="P96" i="2"/>
  <c r="N96" i="2"/>
  <c r="M96" i="2"/>
  <c r="H96" i="2"/>
  <c r="G96" i="2"/>
  <c r="F96" i="2"/>
  <c r="E96" i="2"/>
  <c r="D96" i="2"/>
  <c r="B96" i="2"/>
  <c r="AY95" i="2"/>
  <c r="AX95" i="2"/>
  <c r="AW95" i="2"/>
  <c r="AV95" i="2"/>
  <c r="AU95" i="2"/>
  <c r="AT95" i="2"/>
  <c r="K95" i="2" s="1"/>
  <c r="AQ95" i="2"/>
  <c r="AP95" i="2"/>
  <c r="AO95" i="2"/>
  <c r="AN95" i="2"/>
  <c r="AM95" i="2"/>
  <c r="AL95" i="2"/>
  <c r="AK95" i="2"/>
  <c r="AJ95" i="2"/>
  <c r="AI95" i="2"/>
  <c r="AH95" i="2"/>
  <c r="AG95" i="2"/>
  <c r="AF95" i="2"/>
  <c r="AE95" i="2"/>
  <c r="AD95" i="2"/>
  <c r="AC95" i="2"/>
  <c r="AB95" i="2"/>
  <c r="AA95" i="2"/>
  <c r="Z95" i="2"/>
  <c r="V95" i="2"/>
  <c r="U95" i="2"/>
  <c r="T95" i="2"/>
  <c r="S95" i="2"/>
  <c r="R95" i="2"/>
  <c r="P95" i="2"/>
  <c r="N95" i="2"/>
  <c r="M95" i="2"/>
  <c r="H95" i="2"/>
  <c r="G95" i="2"/>
  <c r="F95" i="2"/>
  <c r="E95" i="2"/>
  <c r="D95" i="2"/>
  <c r="B95" i="2"/>
  <c r="AY94" i="2"/>
  <c r="AX94" i="2"/>
  <c r="AW94" i="2"/>
  <c r="AV94" i="2"/>
  <c r="AU94" i="2"/>
  <c r="AT94" i="2"/>
  <c r="K94" i="2" s="1"/>
  <c r="AQ94" i="2"/>
  <c r="AP94" i="2"/>
  <c r="AO94" i="2"/>
  <c r="AN94" i="2"/>
  <c r="AM94" i="2"/>
  <c r="AL94" i="2"/>
  <c r="AK94" i="2"/>
  <c r="AJ94" i="2"/>
  <c r="AI94" i="2"/>
  <c r="AH94" i="2"/>
  <c r="AG94" i="2"/>
  <c r="AF94" i="2"/>
  <c r="AE94" i="2"/>
  <c r="AD94" i="2"/>
  <c r="AC94" i="2"/>
  <c r="AB94" i="2"/>
  <c r="AA94" i="2"/>
  <c r="Z94" i="2"/>
  <c r="V94" i="2"/>
  <c r="U94" i="2"/>
  <c r="T94" i="2"/>
  <c r="S94" i="2"/>
  <c r="R94" i="2"/>
  <c r="P94" i="2"/>
  <c r="N94" i="2"/>
  <c r="M94" i="2"/>
  <c r="H94" i="2"/>
  <c r="G94" i="2"/>
  <c r="F94" i="2"/>
  <c r="E94" i="2"/>
  <c r="D94" i="2"/>
  <c r="B94" i="2"/>
  <c r="AY93" i="2"/>
  <c r="AX93" i="2"/>
  <c r="AW93" i="2"/>
  <c r="AV93" i="2"/>
  <c r="AU93" i="2"/>
  <c r="AT93" i="2"/>
  <c r="K93" i="2" s="1"/>
  <c r="AQ93" i="2"/>
  <c r="AP93" i="2"/>
  <c r="AO93" i="2"/>
  <c r="AN93" i="2"/>
  <c r="AM93" i="2"/>
  <c r="AL93" i="2"/>
  <c r="AK93" i="2"/>
  <c r="AJ93" i="2"/>
  <c r="AI93" i="2"/>
  <c r="AH93" i="2"/>
  <c r="AG93" i="2"/>
  <c r="AF93" i="2"/>
  <c r="AE93" i="2"/>
  <c r="AD93" i="2"/>
  <c r="AC93" i="2"/>
  <c r="AB93" i="2"/>
  <c r="AA93" i="2"/>
  <c r="Z93" i="2"/>
  <c r="V93" i="2"/>
  <c r="U93" i="2"/>
  <c r="T93" i="2"/>
  <c r="S93" i="2"/>
  <c r="R93" i="2"/>
  <c r="P93" i="2"/>
  <c r="N93" i="2"/>
  <c r="M93" i="2"/>
  <c r="H93" i="2"/>
  <c r="G93" i="2"/>
  <c r="F93" i="2"/>
  <c r="E93" i="2"/>
  <c r="D93" i="2"/>
  <c r="B93" i="2"/>
  <c r="AY92" i="2"/>
  <c r="AX92" i="2"/>
  <c r="AW92" i="2"/>
  <c r="AV92" i="2"/>
  <c r="AU92" i="2"/>
  <c r="AT92" i="2"/>
  <c r="K92" i="2" s="1"/>
  <c r="AQ92" i="2"/>
  <c r="AP92" i="2"/>
  <c r="AO92" i="2"/>
  <c r="AN92" i="2"/>
  <c r="AM92" i="2"/>
  <c r="AL92" i="2"/>
  <c r="AK92" i="2"/>
  <c r="AJ92" i="2"/>
  <c r="AI92" i="2"/>
  <c r="AH92" i="2"/>
  <c r="AG92" i="2"/>
  <c r="AF92" i="2"/>
  <c r="AE92" i="2"/>
  <c r="AD92" i="2"/>
  <c r="AC92" i="2"/>
  <c r="AB92" i="2"/>
  <c r="AA92" i="2"/>
  <c r="Z92" i="2"/>
  <c r="V92" i="2"/>
  <c r="U92" i="2"/>
  <c r="T92" i="2"/>
  <c r="S92" i="2"/>
  <c r="R92" i="2"/>
  <c r="P92" i="2"/>
  <c r="N92" i="2"/>
  <c r="M92" i="2"/>
  <c r="H92" i="2"/>
  <c r="G92" i="2"/>
  <c r="F92" i="2"/>
  <c r="E92" i="2"/>
  <c r="D92" i="2"/>
  <c r="B92" i="2"/>
  <c r="AY91" i="2"/>
  <c r="AX91" i="2"/>
  <c r="AW91" i="2"/>
  <c r="AV91" i="2"/>
  <c r="AU91" i="2"/>
  <c r="AT91" i="2"/>
  <c r="K91" i="2" s="1"/>
  <c r="AQ91" i="2"/>
  <c r="AP91" i="2"/>
  <c r="AO91" i="2"/>
  <c r="AN91" i="2"/>
  <c r="AM91" i="2"/>
  <c r="AL91" i="2"/>
  <c r="AK91" i="2"/>
  <c r="AJ91" i="2"/>
  <c r="AI91" i="2"/>
  <c r="AH91" i="2"/>
  <c r="AG91" i="2"/>
  <c r="AF91" i="2"/>
  <c r="AE91" i="2"/>
  <c r="AD91" i="2"/>
  <c r="AC91" i="2"/>
  <c r="AB91" i="2"/>
  <c r="AA91" i="2"/>
  <c r="Z91" i="2"/>
  <c r="V91" i="2"/>
  <c r="U91" i="2"/>
  <c r="T91" i="2"/>
  <c r="S91" i="2"/>
  <c r="R91" i="2"/>
  <c r="P91" i="2"/>
  <c r="N91" i="2"/>
  <c r="M91" i="2"/>
  <c r="H91" i="2"/>
  <c r="G91" i="2"/>
  <c r="F91" i="2"/>
  <c r="E91" i="2"/>
  <c r="D91" i="2"/>
  <c r="B91" i="2"/>
  <c r="AY90" i="2"/>
  <c r="AX90" i="2"/>
  <c r="AW90" i="2"/>
  <c r="AV90" i="2"/>
  <c r="AU90" i="2"/>
  <c r="AT90" i="2"/>
  <c r="K90" i="2" s="1"/>
  <c r="AQ90" i="2"/>
  <c r="AP90" i="2"/>
  <c r="AO90" i="2"/>
  <c r="AN90" i="2"/>
  <c r="AM90" i="2"/>
  <c r="AL90" i="2"/>
  <c r="AK90" i="2"/>
  <c r="AJ90" i="2"/>
  <c r="AI90" i="2"/>
  <c r="AH90" i="2"/>
  <c r="AG90" i="2"/>
  <c r="AF90" i="2"/>
  <c r="AE90" i="2"/>
  <c r="AD90" i="2"/>
  <c r="AC90" i="2"/>
  <c r="AB90" i="2"/>
  <c r="AA90" i="2"/>
  <c r="Z90" i="2"/>
  <c r="V90" i="2"/>
  <c r="U90" i="2"/>
  <c r="T90" i="2"/>
  <c r="S90" i="2"/>
  <c r="R90" i="2"/>
  <c r="P90" i="2"/>
  <c r="N90" i="2"/>
  <c r="M90" i="2"/>
  <c r="H90" i="2"/>
  <c r="G90" i="2"/>
  <c r="F90" i="2"/>
  <c r="E90" i="2"/>
  <c r="D90" i="2"/>
  <c r="B90" i="2"/>
  <c r="AY89" i="2"/>
  <c r="AX89" i="2"/>
  <c r="AW89" i="2"/>
  <c r="AV89" i="2"/>
  <c r="AU89" i="2"/>
  <c r="AT89" i="2"/>
  <c r="K89" i="2" s="1"/>
  <c r="AQ89" i="2"/>
  <c r="AP89" i="2"/>
  <c r="AO89" i="2"/>
  <c r="AN89" i="2"/>
  <c r="AM89" i="2"/>
  <c r="AL89" i="2"/>
  <c r="AK89" i="2"/>
  <c r="AJ89" i="2"/>
  <c r="AI89" i="2"/>
  <c r="AH89" i="2"/>
  <c r="AG89" i="2"/>
  <c r="AF89" i="2"/>
  <c r="AE89" i="2"/>
  <c r="AD89" i="2"/>
  <c r="AC89" i="2"/>
  <c r="AB89" i="2"/>
  <c r="AA89" i="2"/>
  <c r="Z89" i="2"/>
  <c r="V89" i="2"/>
  <c r="U89" i="2"/>
  <c r="T89" i="2"/>
  <c r="S89" i="2"/>
  <c r="R89" i="2"/>
  <c r="P89" i="2"/>
  <c r="N89" i="2"/>
  <c r="M89" i="2"/>
  <c r="H89" i="2"/>
  <c r="G89" i="2"/>
  <c r="F89" i="2"/>
  <c r="E89" i="2"/>
  <c r="D89" i="2"/>
  <c r="B89" i="2"/>
  <c r="AY88" i="2"/>
  <c r="AX88" i="2"/>
  <c r="AW88" i="2"/>
  <c r="AV88" i="2"/>
  <c r="AU88" i="2"/>
  <c r="AT88" i="2"/>
  <c r="K88" i="2" s="1"/>
  <c r="AQ88" i="2"/>
  <c r="AP88" i="2"/>
  <c r="AO88" i="2"/>
  <c r="AN88" i="2"/>
  <c r="AM88" i="2"/>
  <c r="AL88" i="2"/>
  <c r="AK88" i="2"/>
  <c r="AJ88" i="2"/>
  <c r="AI88" i="2"/>
  <c r="AH88" i="2"/>
  <c r="AG88" i="2"/>
  <c r="AF88" i="2"/>
  <c r="AE88" i="2"/>
  <c r="AD88" i="2"/>
  <c r="AC88" i="2"/>
  <c r="AB88" i="2"/>
  <c r="AA88" i="2"/>
  <c r="Z88" i="2"/>
  <c r="V88" i="2"/>
  <c r="U88" i="2"/>
  <c r="T88" i="2"/>
  <c r="S88" i="2"/>
  <c r="R88" i="2"/>
  <c r="P88" i="2"/>
  <c r="N88" i="2"/>
  <c r="M88" i="2"/>
  <c r="H88" i="2"/>
  <c r="G88" i="2"/>
  <c r="F88" i="2"/>
  <c r="E88" i="2"/>
  <c r="D88" i="2"/>
  <c r="B88" i="2"/>
  <c r="AY87" i="2"/>
  <c r="AX87" i="2"/>
  <c r="AW87" i="2"/>
  <c r="AV87" i="2"/>
  <c r="AU87" i="2"/>
  <c r="AT87" i="2"/>
  <c r="K87" i="2" s="1"/>
  <c r="AQ87" i="2"/>
  <c r="AP87" i="2"/>
  <c r="AO87" i="2"/>
  <c r="AN87" i="2"/>
  <c r="AM87" i="2"/>
  <c r="AL87" i="2"/>
  <c r="AK87" i="2"/>
  <c r="AJ87" i="2"/>
  <c r="AI87" i="2"/>
  <c r="AH87" i="2"/>
  <c r="AG87" i="2"/>
  <c r="AF87" i="2"/>
  <c r="AE87" i="2"/>
  <c r="AD87" i="2"/>
  <c r="AC87" i="2"/>
  <c r="AB87" i="2"/>
  <c r="AA87" i="2"/>
  <c r="Z87" i="2"/>
  <c r="V87" i="2"/>
  <c r="U87" i="2"/>
  <c r="T87" i="2"/>
  <c r="S87" i="2"/>
  <c r="R87" i="2"/>
  <c r="P87" i="2"/>
  <c r="N87" i="2"/>
  <c r="M87" i="2"/>
  <c r="H87" i="2"/>
  <c r="G87" i="2"/>
  <c r="F87" i="2"/>
  <c r="E87" i="2"/>
  <c r="D87" i="2"/>
  <c r="B87" i="2"/>
  <c r="AY86" i="2"/>
  <c r="AX86" i="2"/>
  <c r="AW86" i="2"/>
  <c r="AV86" i="2"/>
  <c r="AU86" i="2"/>
  <c r="AT86" i="2"/>
  <c r="K86" i="2" s="1"/>
  <c r="AQ86" i="2"/>
  <c r="AP86" i="2"/>
  <c r="AO86" i="2"/>
  <c r="AN86" i="2"/>
  <c r="AM86" i="2"/>
  <c r="AL86" i="2"/>
  <c r="AK86" i="2"/>
  <c r="AJ86" i="2"/>
  <c r="AI86" i="2"/>
  <c r="AH86" i="2"/>
  <c r="AG86" i="2"/>
  <c r="AF86" i="2"/>
  <c r="AE86" i="2"/>
  <c r="AD86" i="2"/>
  <c r="AC86" i="2"/>
  <c r="AB86" i="2"/>
  <c r="AA86" i="2"/>
  <c r="Z86" i="2"/>
  <c r="V86" i="2"/>
  <c r="U86" i="2"/>
  <c r="T86" i="2"/>
  <c r="S86" i="2"/>
  <c r="R86" i="2"/>
  <c r="P86" i="2"/>
  <c r="N86" i="2"/>
  <c r="M86" i="2"/>
  <c r="H86" i="2"/>
  <c r="G86" i="2"/>
  <c r="F86" i="2"/>
  <c r="E86" i="2"/>
  <c r="D86" i="2"/>
  <c r="B86" i="2"/>
  <c r="AY85" i="2"/>
  <c r="AX85" i="2"/>
  <c r="AW85" i="2"/>
  <c r="AV85" i="2"/>
  <c r="AU85" i="2"/>
  <c r="AT85" i="2"/>
  <c r="K85" i="2" s="1"/>
  <c r="AQ85" i="2"/>
  <c r="AP85" i="2"/>
  <c r="AO85" i="2"/>
  <c r="AN85" i="2"/>
  <c r="AM85" i="2"/>
  <c r="AL85" i="2"/>
  <c r="AK85" i="2"/>
  <c r="AJ85" i="2"/>
  <c r="AI85" i="2"/>
  <c r="AH85" i="2"/>
  <c r="AG85" i="2"/>
  <c r="AF85" i="2"/>
  <c r="AE85" i="2"/>
  <c r="AD85" i="2"/>
  <c r="AC85" i="2"/>
  <c r="AB85" i="2"/>
  <c r="AA85" i="2"/>
  <c r="Z85" i="2"/>
  <c r="V85" i="2"/>
  <c r="U85" i="2"/>
  <c r="T85" i="2"/>
  <c r="S85" i="2"/>
  <c r="R85" i="2"/>
  <c r="P85" i="2"/>
  <c r="N85" i="2"/>
  <c r="M85" i="2"/>
  <c r="H85" i="2"/>
  <c r="G85" i="2"/>
  <c r="F85" i="2"/>
  <c r="E85" i="2"/>
  <c r="D85" i="2"/>
  <c r="B85" i="2"/>
  <c r="AY84" i="2"/>
  <c r="AX84" i="2"/>
  <c r="AW84" i="2"/>
  <c r="AV84" i="2"/>
  <c r="AU84" i="2"/>
  <c r="AT84" i="2"/>
  <c r="K84" i="2" s="1"/>
  <c r="AQ84" i="2"/>
  <c r="AP84" i="2"/>
  <c r="AO84" i="2"/>
  <c r="AN84" i="2"/>
  <c r="AM84" i="2"/>
  <c r="AL84" i="2"/>
  <c r="AK84" i="2"/>
  <c r="AJ84" i="2"/>
  <c r="AI84" i="2"/>
  <c r="AH84" i="2"/>
  <c r="AG84" i="2"/>
  <c r="AF84" i="2"/>
  <c r="AE84" i="2"/>
  <c r="AD84" i="2"/>
  <c r="AC84" i="2"/>
  <c r="AB84" i="2"/>
  <c r="AA84" i="2"/>
  <c r="Z84" i="2"/>
  <c r="V84" i="2"/>
  <c r="U84" i="2"/>
  <c r="T84" i="2"/>
  <c r="S84" i="2"/>
  <c r="R84" i="2"/>
  <c r="P84" i="2"/>
  <c r="N84" i="2"/>
  <c r="M84" i="2"/>
  <c r="H84" i="2"/>
  <c r="G84" i="2"/>
  <c r="F84" i="2"/>
  <c r="E84" i="2"/>
  <c r="D84" i="2"/>
  <c r="B84" i="2"/>
  <c r="AY83" i="2"/>
  <c r="AX83" i="2"/>
  <c r="AW83" i="2"/>
  <c r="AV83" i="2"/>
  <c r="AU83" i="2"/>
  <c r="AT83" i="2"/>
  <c r="K83" i="2" s="1"/>
  <c r="AQ83" i="2"/>
  <c r="AP83" i="2"/>
  <c r="AO83" i="2"/>
  <c r="AN83" i="2"/>
  <c r="AM83" i="2"/>
  <c r="AL83" i="2"/>
  <c r="AK83" i="2"/>
  <c r="AJ83" i="2"/>
  <c r="AI83" i="2"/>
  <c r="AH83" i="2"/>
  <c r="AG83" i="2"/>
  <c r="AF83" i="2"/>
  <c r="AE83" i="2"/>
  <c r="AD83" i="2"/>
  <c r="AC83" i="2"/>
  <c r="AB83" i="2"/>
  <c r="AA83" i="2"/>
  <c r="Z83" i="2"/>
  <c r="V83" i="2"/>
  <c r="U83" i="2"/>
  <c r="T83" i="2"/>
  <c r="S83" i="2"/>
  <c r="R83" i="2"/>
  <c r="P83" i="2"/>
  <c r="N83" i="2"/>
  <c r="M83" i="2"/>
  <c r="H83" i="2"/>
  <c r="G83" i="2"/>
  <c r="F83" i="2"/>
  <c r="E83" i="2"/>
  <c r="D83" i="2"/>
  <c r="B83" i="2"/>
  <c r="AY82" i="2"/>
  <c r="AX82" i="2"/>
  <c r="AW82" i="2"/>
  <c r="AV82" i="2"/>
  <c r="AU82" i="2"/>
  <c r="AT82" i="2"/>
  <c r="K82" i="2" s="1"/>
  <c r="AQ82" i="2"/>
  <c r="AP82" i="2"/>
  <c r="AO82" i="2"/>
  <c r="AN82" i="2"/>
  <c r="AM82" i="2"/>
  <c r="AL82" i="2"/>
  <c r="AK82" i="2"/>
  <c r="AJ82" i="2"/>
  <c r="AI82" i="2"/>
  <c r="AH82" i="2"/>
  <c r="AG82" i="2"/>
  <c r="AF82" i="2"/>
  <c r="AE82" i="2"/>
  <c r="AD82" i="2"/>
  <c r="AC82" i="2"/>
  <c r="AB82" i="2"/>
  <c r="AA82" i="2"/>
  <c r="Z82" i="2"/>
  <c r="V82" i="2"/>
  <c r="U82" i="2"/>
  <c r="T82" i="2"/>
  <c r="S82" i="2"/>
  <c r="R82" i="2"/>
  <c r="P82" i="2"/>
  <c r="N82" i="2"/>
  <c r="M82" i="2"/>
  <c r="H82" i="2"/>
  <c r="G82" i="2"/>
  <c r="F82" i="2"/>
  <c r="E82" i="2"/>
  <c r="D82" i="2"/>
  <c r="B82" i="2"/>
  <c r="AY81" i="2"/>
  <c r="AX81" i="2"/>
  <c r="AW81" i="2"/>
  <c r="AV81" i="2"/>
  <c r="AU81" i="2"/>
  <c r="AT81" i="2"/>
  <c r="K81" i="2" s="1"/>
  <c r="AQ81" i="2"/>
  <c r="AP81" i="2"/>
  <c r="AO81" i="2"/>
  <c r="AN81" i="2"/>
  <c r="AM81" i="2"/>
  <c r="AL81" i="2"/>
  <c r="AK81" i="2"/>
  <c r="AJ81" i="2"/>
  <c r="AI81" i="2"/>
  <c r="AH81" i="2"/>
  <c r="AG81" i="2"/>
  <c r="AF81" i="2"/>
  <c r="AE81" i="2"/>
  <c r="AD81" i="2"/>
  <c r="AC81" i="2"/>
  <c r="AB81" i="2"/>
  <c r="AA81" i="2"/>
  <c r="Z81" i="2"/>
  <c r="V81" i="2"/>
  <c r="U81" i="2"/>
  <c r="T81" i="2"/>
  <c r="S81" i="2"/>
  <c r="R81" i="2"/>
  <c r="P81" i="2"/>
  <c r="N81" i="2"/>
  <c r="M81" i="2"/>
  <c r="H81" i="2"/>
  <c r="G81" i="2"/>
  <c r="F81" i="2"/>
  <c r="E81" i="2"/>
  <c r="D81" i="2"/>
  <c r="B81" i="2"/>
  <c r="AY80" i="2"/>
  <c r="AX80" i="2"/>
  <c r="AW80" i="2"/>
  <c r="AV80" i="2"/>
  <c r="AU80" i="2"/>
  <c r="AT80" i="2"/>
  <c r="K80" i="2" s="1"/>
  <c r="AQ80" i="2"/>
  <c r="AP80" i="2"/>
  <c r="AO80" i="2"/>
  <c r="AN80" i="2"/>
  <c r="AM80" i="2"/>
  <c r="AL80" i="2"/>
  <c r="AK80" i="2"/>
  <c r="AJ80" i="2"/>
  <c r="AI80" i="2"/>
  <c r="AH80" i="2"/>
  <c r="AG80" i="2"/>
  <c r="AF80" i="2"/>
  <c r="AE80" i="2"/>
  <c r="AD80" i="2"/>
  <c r="AC80" i="2"/>
  <c r="AB80" i="2"/>
  <c r="AA80" i="2"/>
  <c r="Z80" i="2"/>
  <c r="V80" i="2"/>
  <c r="U80" i="2"/>
  <c r="T80" i="2"/>
  <c r="S80" i="2"/>
  <c r="R80" i="2"/>
  <c r="P80" i="2"/>
  <c r="N80" i="2"/>
  <c r="M80" i="2"/>
  <c r="H80" i="2"/>
  <c r="G80" i="2"/>
  <c r="F80" i="2"/>
  <c r="E80" i="2"/>
  <c r="D80" i="2"/>
  <c r="B80" i="2"/>
  <c r="AY79" i="2"/>
  <c r="AX79" i="2"/>
  <c r="AW79" i="2"/>
  <c r="AV79" i="2"/>
  <c r="AU79" i="2"/>
  <c r="AT79" i="2"/>
  <c r="K79" i="2" s="1"/>
  <c r="AQ79" i="2"/>
  <c r="AP79" i="2"/>
  <c r="AO79" i="2"/>
  <c r="AN79" i="2"/>
  <c r="AM79" i="2"/>
  <c r="AL79" i="2"/>
  <c r="AK79" i="2"/>
  <c r="AJ79" i="2"/>
  <c r="AI79" i="2"/>
  <c r="AH79" i="2"/>
  <c r="AG79" i="2"/>
  <c r="AF79" i="2"/>
  <c r="AE79" i="2"/>
  <c r="AD79" i="2"/>
  <c r="AC79" i="2"/>
  <c r="AB79" i="2"/>
  <c r="AA79" i="2"/>
  <c r="Z79" i="2"/>
  <c r="V79" i="2"/>
  <c r="U79" i="2"/>
  <c r="T79" i="2"/>
  <c r="S79" i="2"/>
  <c r="R79" i="2"/>
  <c r="P79" i="2"/>
  <c r="N79" i="2"/>
  <c r="M79" i="2"/>
  <c r="H79" i="2"/>
  <c r="G79" i="2"/>
  <c r="F79" i="2"/>
  <c r="E79" i="2"/>
  <c r="D79" i="2"/>
  <c r="B79" i="2"/>
  <c r="AY78" i="2"/>
  <c r="AX78" i="2"/>
  <c r="AW78" i="2"/>
  <c r="AV78" i="2"/>
  <c r="AU78" i="2"/>
  <c r="AT78" i="2"/>
  <c r="K78" i="2" s="1"/>
  <c r="AQ78" i="2"/>
  <c r="AP78" i="2"/>
  <c r="AO78" i="2"/>
  <c r="AN78" i="2"/>
  <c r="AM78" i="2"/>
  <c r="AL78" i="2"/>
  <c r="AK78" i="2"/>
  <c r="AJ78" i="2"/>
  <c r="AI78" i="2"/>
  <c r="AH78" i="2"/>
  <c r="AG78" i="2"/>
  <c r="AF78" i="2"/>
  <c r="AE78" i="2"/>
  <c r="AD78" i="2"/>
  <c r="AC78" i="2"/>
  <c r="AB78" i="2"/>
  <c r="AA78" i="2"/>
  <c r="Z78" i="2"/>
  <c r="V78" i="2"/>
  <c r="U78" i="2"/>
  <c r="T78" i="2"/>
  <c r="S78" i="2"/>
  <c r="R78" i="2"/>
  <c r="P78" i="2"/>
  <c r="N78" i="2"/>
  <c r="M78" i="2"/>
  <c r="H78" i="2"/>
  <c r="G78" i="2"/>
  <c r="F78" i="2"/>
  <c r="E78" i="2"/>
  <c r="D78" i="2"/>
  <c r="B78" i="2"/>
  <c r="AY77" i="2"/>
  <c r="AX77" i="2"/>
  <c r="AW77" i="2"/>
  <c r="AV77" i="2"/>
  <c r="AU77" i="2"/>
  <c r="AT77" i="2"/>
  <c r="K77" i="2" s="1"/>
  <c r="AQ77" i="2"/>
  <c r="AP77" i="2"/>
  <c r="AO77" i="2"/>
  <c r="AN77" i="2"/>
  <c r="AM77" i="2"/>
  <c r="AL77" i="2"/>
  <c r="AK77" i="2"/>
  <c r="AJ77" i="2"/>
  <c r="AI77" i="2"/>
  <c r="AH77" i="2"/>
  <c r="AG77" i="2"/>
  <c r="AF77" i="2"/>
  <c r="AE77" i="2"/>
  <c r="AD77" i="2"/>
  <c r="AC77" i="2"/>
  <c r="AB77" i="2"/>
  <c r="AA77" i="2"/>
  <c r="Z77" i="2"/>
  <c r="V77" i="2"/>
  <c r="U77" i="2"/>
  <c r="T77" i="2"/>
  <c r="S77" i="2"/>
  <c r="R77" i="2"/>
  <c r="P77" i="2"/>
  <c r="N77" i="2"/>
  <c r="M77" i="2"/>
  <c r="H77" i="2"/>
  <c r="G77" i="2"/>
  <c r="F77" i="2"/>
  <c r="E77" i="2"/>
  <c r="D77" i="2"/>
  <c r="B77" i="2"/>
  <c r="AY76" i="2"/>
  <c r="AX76" i="2"/>
  <c r="AW76" i="2"/>
  <c r="AV76" i="2"/>
  <c r="AU76" i="2"/>
  <c r="AT76" i="2"/>
  <c r="K76" i="2" s="1"/>
  <c r="AQ76" i="2"/>
  <c r="AP76" i="2"/>
  <c r="AO76" i="2"/>
  <c r="AN76" i="2"/>
  <c r="AM76" i="2"/>
  <c r="AL76" i="2"/>
  <c r="AK76" i="2"/>
  <c r="AJ76" i="2"/>
  <c r="AI76" i="2"/>
  <c r="AH76" i="2"/>
  <c r="AG76" i="2"/>
  <c r="AF76" i="2"/>
  <c r="AE76" i="2"/>
  <c r="AD76" i="2"/>
  <c r="AC76" i="2"/>
  <c r="AB76" i="2"/>
  <c r="AA76" i="2"/>
  <c r="Z76" i="2"/>
  <c r="V76" i="2"/>
  <c r="U76" i="2"/>
  <c r="T76" i="2"/>
  <c r="S76" i="2"/>
  <c r="R76" i="2"/>
  <c r="P76" i="2"/>
  <c r="N76" i="2"/>
  <c r="M76" i="2"/>
  <c r="H76" i="2"/>
  <c r="G76" i="2"/>
  <c r="F76" i="2"/>
  <c r="E76" i="2"/>
  <c r="D76" i="2"/>
  <c r="B76" i="2"/>
  <c r="AY75" i="2"/>
  <c r="AX75" i="2"/>
  <c r="AW75" i="2"/>
  <c r="AV75" i="2"/>
  <c r="AU75" i="2"/>
  <c r="AT75" i="2"/>
  <c r="K75" i="2" s="1"/>
  <c r="AQ75" i="2"/>
  <c r="AP75" i="2"/>
  <c r="AO75" i="2"/>
  <c r="AN75" i="2"/>
  <c r="AM75" i="2"/>
  <c r="AL75" i="2"/>
  <c r="AK75" i="2"/>
  <c r="AJ75" i="2"/>
  <c r="AI75" i="2"/>
  <c r="AH75" i="2"/>
  <c r="AG75" i="2"/>
  <c r="AF75" i="2"/>
  <c r="AE75" i="2"/>
  <c r="AD75" i="2"/>
  <c r="AC75" i="2"/>
  <c r="AB75" i="2"/>
  <c r="AA75" i="2"/>
  <c r="Z75" i="2"/>
  <c r="V75" i="2"/>
  <c r="U75" i="2"/>
  <c r="T75" i="2"/>
  <c r="S75" i="2"/>
  <c r="R75" i="2"/>
  <c r="Q75" i="2"/>
  <c r="P75" i="2"/>
  <c r="O75" i="2"/>
  <c r="N75" i="2"/>
  <c r="M75" i="2"/>
  <c r="I75" i="2"/>
  <c r="H75" i="2"/>
  <c r="G75" i="2"/>
  <c r="F75" i="2"/>
  <c r="E75" i="2"/>
  <c r="D75" i="2"/>
  <c r="B75" i="2"/>
  <c r="AY74" i="2"/>
  <c r="AX74" i="2"/>
  <c r="AW74" i="2"/>
  <c r="AV74" i="2"/>
  <c r="AU74" i="2"/>
  <c r="AT74" i="2"/>
  <c r="K74" i="2" s="1"/>
  <c r="AQ74" i="2"/>
  <c r="AP74" i="2"/>
  <c r="AO74" i="2"/>
  <c r="AN74" i="2"/>
  <c r="AM74" i="2"/>
  <c r="AL74" i="2"/>
  <c r="AK74" i="2"/>
  <c r="AJ74" i="2"/>
  <c r="AI74" i="2"/>
  <c r="AH74" i="2"/>
  <c r="AG74" i="2"/>
  <c r="AF74" i="2"/>
  <c r="AE74" i="2"/>
  <c r="AD74" i="2"/>
  <c r="AC74" i="2"/>
  <c r="AB74" i="2"/>
  <c r="AA74" i="2"/>
  <c r="Z74" i="2"/>
  <c r="V74" i="2"/>
  <c r="U74" i="2"/>
  <c r="T74" i="2"/>
  <c r="S74" i="2"/>
  <c r="R74" i="2"/>
  <c r="Q74" i="2"/>
  <c r="P74" i="2"/>
  <c r="O74" i="2"/>
  <c r="N74" i="2"/>
  <c r="M74" i="2"/>
  <c r="I74" i="2"/>
  <c r="H74" i="2"/>
  <c r="G74" i="2"/>
  <c r="F74" i="2"/>
  <c r="E74" i="2"/>
  <c r="D74" i="2"/>
  <c r="B74" i="2"/>
  <c r="AY73" i="2"/>
  <c r="AX73" i="2"/>
  <c r="AW73" i="2"/>
  <c r="AV73" i="2"/>
  <c r="AU73" i="2"/>
  <c r="AT73" i="2"/>
  <c r="K73" i="2" s="1"/>
  <c r="AQ73" i="2"/>
  <c r="AP73" i="2"/>
  <c r="AO73" i="2"/>
  <c r="AN73" i="2"/>
  <c r="AM73" i="2"/>
  <c r="AL73" i="2"/>
  <c r="AK73" i="2"/>
  <c r="AJ73" i="2"/>
  <c r="AI73" i="2"/>
  <c r="AH73" i="2"/>
  <c r="AG73" i="2"/>
  <c r="AF73" i="2"/>
  <c r="AE73" i="2"/>
  <c r="AD73" i="2"/>
  <c r="AC73" i="2"/>
  <c r="AB73" i="2"/>
  <c r="AA73" i="2"/>
  <c r="Z73" i="2"/>
  <c r="V73" i="2"/>
  <c r="U73" i="2"/>
  <c r="T73" i="2"/>
  <c r="S73" i="2"/>
  <c r="R73" i="2"/>
  <c r="Q73" i="2"/>
  <c r="P73" i="2"/>
  <c r="O73" i="2"/>
  <c r="N73" i="2"/>
  <c r="M73" i="2"/>
  <c r="I73" i="2"/>
  <c r="H73" i="2"/>
  <c r="G73" i="2"/>
  <c r="F73" i="2"/>
  <c r="E73" i="2"/>
  <c r="D73" i="2"/>
  <c r="B73" i="2"/>
  <c r="AY72" i="2"/>
  <c r="AX72" i="2"/>
  <c r="AW72" i="2"/>
  <c r="AV72" i="2"/>
  <c r="AU72" i="2"/>
  <c r="AT72" i="2"/>
  <c r="K72" i="2" s="1"/>
  <c r="AQ72" i="2"/>
  <c r="AP72" i="2"/>
  <c r="AO72" i="2"/>
  <c r="AN72" i="2"/>
  <c r="AM72" i="2"/>
  <c r="AL72" i="2"/>
  <c r="AK72" i="2"/>
  <c r="AJ72" i="2"/>
  <c r="AI72" i="2"/>
  <c r="AH72" i="2"/>
  <c r="AG72" i="2"/>
  <c r="AF72" i="2"/>
  <c r="AE72" i="2"/>
  <c r="AD72" i="2"/>
  <c r="AC72" i="2"/>
  <c r="AB72" i="2"/>
  <c r="AA72" i="2"/>
  <c r="Z72" i="2"/>
  <c r="V72" i="2"/>
  <c r="U72" i="2"/>
  <c r="T72" i="2"/>
  <c r="S72" i="2"/>
  <c r="R72" i="2"/>
  <c r="Q72" i="2"/>
  <c r="P72" i="2"/>
  <c r="O72" i="2"/>
  <c r="N72" i="2"/>
  <c r="M72" i="2"/>
  <c r="I72" i="2"/>
  <c r="H72" i="2"/>
  <c r="G72" i="2"/>
  <c r="F72" i="2"/>
  <c r="E72" i="2"/>
  <c r="D72" i="2"/>
  <c r="B72" i="2"/>
  <c r="AY71" i="2"/>
  <c r="AX71" i="2"/>
  <c r="AW71" i="2"/>
  <c r="AV71" i="2"/>
  <c r="AU71" i="2"/>
  <c r="AT71" i="2"/>
  <c r="K71" i="2" s="1"/>
  <c r="AQ71" i="2"/>
  <c r="AP71" i="2"/>
  <c r="AO71" i="2"/>
  <c r="AN71" i="2"/>
  <c r="AM71" i="2"/>
  <c r="AL71" i="2"/>
  <c r="AK71" i="2"/>
  <c r="AJ71" i="2"/>
  <c r="AI71" i="2"/>
  <c r="AH71" i="2"/>
  <c r="AG71" i="2"/>
  <c r="AF71" i="2"/>
  <c r="AE71" i="2"/>
  <c r="AD71" i="2"/>
  <c r="AC71" i="2"/>
  <c r="AB71" i="2"/>
  <c r="AA71" i="2"/>
  <c r="Z71" i="2"/>
  <c r="V71" i="2"/>
  <c r="U71" i="2"/>
  <c r="T71" i="2"/>
  <c r="S71" i="2"/>
  <c r="R71" i="2"/>
  <c r="Q71" i="2"/>
  <c r="P71" i="2"/>
  <c r="O71" i="2"/>
  <c r="N71" i="2"/>
  <c r="M71" i="2"/>
  <c r="I71" i="2"/>
  <c r="H71" i="2"/>
  <c r="G71" i="2"/>
  <c r="F71" i="2"/>
  <c r="E71" i="2"/>
  <c r="D71" i="2"/>
  <c r="B71" i="2"/>
  <c r="AY70" i="2"/>
  <c r="AX70" i="2"/>
  <c r="AW70" i="2"/>
  <c r="AV70" i="2"/>
  <c r="AU70" i="2"/>
  <c r="AT70" i="2"/>
  <c r="K70" i="2" s="1"/>
  <c r="AQ70" i="2"/>
  <c r="AP70" i="2"/>
  <c r="AO70" i="2"/>
  <c r="AN70" i="2"/>
  <c r="AM70" i="2"/>
  <c r="AL70" i="2"/>
  <c r="AK70" i="2"/>
  <c r="AJ70" i="2"/>
  <c r="AI70" i="2"/>
  <c r="AH70" i="2"/>
  <c r="AG70" i="2"/>
  <c r="AF70" i="2"/>
  <c r="AE70" i="2"/>
  <c r="AD70" i="2"/>
  <c r="AC70" i="2"/>
  <c r="AB70" i="2"/>
  <c r="AA70" i="2"/>
  <c r="Z70" i="2"/>
  <c r="V70" i="2"/>
  <c r="U70" i="2"/>
  <c r="T70" i="2"/>
  <c r="S70" i="2"/>
  <c r="R70" i="2"/>
  <c r="Q70" i="2"/>
  <c r="P70" i="2"/>
  <c r="O70" i="2"/>
  <c r="N70" i="2"/>
  <c r="M70" i="2"/>
  <c r="I70" i="2"/>
  <c r="H70" i="2"/>
  <c r="G70" i="2"/>
  <c r="F70" i="2"/>
  <c r="E70" i="2"/>
  <c r="D70" i="2"/>
  <c r="B70" i="2"/>
  <c r="AY69" i="2"/>
  <c r="AX69" i="2"/>
  <c r="AW69" i="2"/>
  <c r="AV69" i="2"/>
  <c r="AU69" i="2"/>
  <c r="AT69" i="2"/>
  <c r="K69" i="2" s="1"/>
  <c r="AQ69" i="2"/>
  <c r="AP69" i="2"/>
  <c r="AO69" i="2"/>
  <c r="AN69" i="2"/>
  <c r="AM69" i="2"/>
  <c r="AL69" i="2"/>
  <c r="AK69" i="2"/>
  <c r="AJ69" i="2"/>
  <c r="AI69" i="2"/>
  <c r="AH69" i="2"/>
  <c r="AG69" i="2"/>
  <c r="AF69" i="2"/>
  <c r="AE69" i="2"/>
  <c r="AD69" i="2"/>
  <c r="AC69" i="2"/>
  <c r="AB69" i="2"/>
  <c r="AA69" i="2"/>
  <c r="Z69" i="2"/>
  <c r="V69" i="2"/>
  <c r="U69" i="2"/>
  <c r="T69" i="2"/>
  <c r="S69" i="2"/>
  <c r="R69" i="2"/>
  <c r="Q69" i="2"/>
  <c r="P69" i="2"/>
  <c r="O69" i="2"/>
  <c r="N69" i="2"/>
  <c r="M69" i="2"/>
  <c r="I69" i="2"/>
  <c r="H69" i="2"/>
  <c r="G69" i="2"/>
  <c r="F69" i="2"/>
  <c r="E69" i="2"/>
  <c r="D69" i="2"/>
  <c r="B69" i="2"/>
  <c r="AY68" i="2"/>
  <c r="AX68" i="2"/>
  <c r="AW68" i="2"/>
  <c r="AV68" i="2"/>
  <c r="AU68" i="2"/>
  <c r="AT68" i="2"/>
  <c r="K68" i="2" s="1"/>
  <c r="AQ68" i="2"/>
  <c r="AP68" i="2"/>
  <c r="AO68" i="2"/>
  <c r="AN68" i="2"/>
  <c r="AM68" i="2"/>
  <c r="AL68" i="2"/>
  <c r="AK68" i="2"/>
  <c r="AJ68" i="2"/>
  <c r="AI68" i="2"/>
  <c r="AH68" i="2"/>
  <c r="AG68" i="2"/>
  <c r="AF68" i="2"/>
  <c r="AE68" i="2"/>
  <c r="AD68" i="2"/>
  <c r="AC68" i="2"/>
  <c r="AB68" i="2"/>
  <c r="AA68" i="2"/>
  <c r="Z68" i="2"/>
  <c r="V68" i="2"/>
  <c r="U68" i="2"/>
  <c r="T68" i="2"/>
  <c r="S68" i="2"/>
  <c r="R68" i="2"/>
  <c r="Q68" i="2"/>
  <c r="P68" i="2"/>
  <c r="O68" i="2"/>
  <c r="N68" i="2"/>
  <c r="M68" i="2"/>
  <c r="I68" i="2"/>
  <c r="H68" i="2"/>
  <c r="G68" i="2"/>
  <c r="F68" i="2"/>
  <c r="E68" i="2"/>
  <c r="D68" i="2"/>
  <c r="B68" i="2"/>
  <c r="AY67" i="2"/>
  <c r="AX67" i="2"/>
  <c r="AW67" i="2"/>
  <c r="AV67" i="2"/>
  <c r="AU67" i="2"/>
  <c r="AT67" i="2"/>
  <c r="K67" i="2" s="1"/>
  <c r="AQ67" i="2"/>
  <c r="AP67" i="2"/>
  <c r="AO67" i="2"/>
  <c r="AN67" i="2"/>
  <c r="AM67" i="2"/>
  <c r="AL67" i="2"/>
  <c r="AK67" i="2"/>
  <c r="AJ67" i="2"/>
  <c r="AI67" i="2"/>
  <c r="AH67" i="2"/>
  <c r="AG67" i="2"/>
  <c r="AF67" i="2"/>
  <c r="AE67" i="2"/>
  <c r="AD67" i="2"/>
  <c r="AC67" i="2"/>
  <c r="AB67" i="2"/>
  <c r="AA67" i="2"/>
  <c r="Z67" i="2"/>
  <c r="V67" i="2"/>
  <c r="U67" i="2"/>
  <c r="T67" i="2"/>
  <c r="S67" i="2"/>
  <c r="R67" i="2"/>
  <c r="Q67" i="2"/>
  <c r="P67" i="2"/>
  <c r="O67" i="2"/>
  <c r="N67" i="2"/>
  <c r="M67" i="2"/>
  <c r="I67" i="2"/>
  <c r="H67" i="2"/>
  <c r="G67" i="2"/>
  <c r="F67" i="2"/>
  <c r="E67" i="2"/>
  <c r="D67" i="2"/>
  <c r="B67" i="2"/>
  <c r="AY66" i="2"/>
  <c r="AX66" i="2"/>
  <c r="AW66" i="2"/>
  <c r="AV66" i="2"/>
  <c r="AU66" i="2"/>
  <c r="AT66" i="2"/>
  <c r="K66" i="2" s="1"/>
  <c r="AQ66" i="2"/>
  <c r="AP66" i="2"/>
  <c r="AO66" i="2"/>
  <c r="AN66" i="2"/>
  <c r="AM66" i="2"/>
  <c r="AL66" i="2"/>
  <c r="AK66" i="2"/>
  <c r="AJ66" i="2"/>
  <c r="AI66" i="2"/>
  <c r="AH66" i="2"/>
  <c r="AG66" i="2"/>
  <c r="AF66" i="2"/>
  <c r="AE66" i="2"/>
  <c r="AD66" i="2"/>
  <c r="AC66" i="2"/>
  <c r="AB66" i="2"/>
  <c r="AA66" i="2"/>
  <c r="Z66" i="2"/>
  <c r="V66" i="2"/>
  <c r="U66" i="2"/>
  <c r="T66" i="2"/>
  <c r="S66" i="2"/>
  <c r="R66" i="2"/>
  <c r="Q66" i="2"/>
  <c r="P66" i="2"/>
  <c r="O66" i="2"/>
  <c r="N66" i="2"/>
  <c r="M66" i="2"/>
  <c r="I66" i="2"/>
  <c r="H66" i="2"/>
  <c r="G66" i="2"/>
  <c r="F66" i="2"/>
  <c r="E66" i="2"/>
  <c r="D66" i="2"/>
  <c r="B66" i="2"/>
  <c r="AY65" i="2"/>
  <c r="AX65" i="2"/>
  <c r="AW65" i="2"/>
  <c r="AV65" i="2"/>
  <c r="AU65" i="2"/>
  <c r="AT65" i="2"/>
  <c r="K65" i="2" s="1"/>
  <c r="AQ65" i="2"/>
  <c r="AP65" i="2"/>
  <c r="AN65" i="2"/>
  <c r="AM65" i="2"/>
  <c r="AL65" i="2"/>
  <c r="AK65" i="2"/>
  <c r="AJ65" i="2"/>
  <c r="AI65" i="2"/>
  <c r="AH65" i="2"/>
  <c r="AG65" i="2"/>
  <c r="AF65" i="2"/>
  <c r="AE65" i="2"/>
  <c r="AD65" i="2"/>
  <c r="AC65" i="2"/>
  <c r="AB65" i="2"/>
  <c r="AA65" i="2"/>
  <c r="Z65" i="2"/>
  <c r="V65" i="2"/>
  <c r="U65" i="2"/>
  <c r="T65" i="2"/>
  <c r="S65" i="2"/>
  <c r="R65" i="2"/>
  <c r="Q65" i="2"/>
  <c r="P65" i="2"/>
  <c r="O65" i="2"/>
  <c r="N65" i="2"/>
  <c r="M65" i="2"/>
  <c r="I65" i="2"/>
  <c r="H65" i="2"/>
  <c r="G65" i="2"/>
  <c r="F65" i="2"/>
  <c r="E65" i="2"/>
  <c r="D65" i="2"/>
  <c r="B65" i="2"/>
  <c r="AY64" i="2"/>
  <c r="AX64" i="2"/>
  <c r="AW64" i="2"/>
  <c r="AV64" i="2"/>
  <c r="AU64" i="2"/>
  <c r="AT64" i="2"/>
  <c r="K64" i="2" s="1"/>
  <c r="AQ64" i="2"/>
  <c r="AP64" i="2"/>
  <c r="AO64" i="2"/>
  <c r="AN64" i="2"/>
  <c r="AM64" i="2"/>
  <c r="AL64" i="2"/>
  <c r="AK64" i="2"/>
  <c r="AJ64" i="2"/>
  <c r="AI64" i="2"/>
  <c r="AH64" i="2"/>
  <c r="AG64" i="2"/>
  <c r="AF64" i="2"/>
  <c r="AE64" i="2"/>
  <c r="AD64" i="2"/>
  <c r="AC64" i="2"/>
  <c r="AB64" i="2"/>
  <c r="AA64" i="2"/>
  <c r="Z64" i="2"/>
  <c r="V64" i="2"/>
  <c r="U64" i="2"/>
  <c r="T64" i="2"/>
  <c r="S64" i="2"/>
  <c r="R64" i="2"/>
  <c r="Q64" i="2"/>
  <c r="P64" i="2"/>
  <c r="O64" i="2"/>
  <c r="N64" i="2"/>
  <c r="M64" i="2"/>
  <c r="I64" i="2"/>
  <c r="H64" i="2"/>
  <c r="G64" i="2"/>
  <c r="F64" i="2"/>
  <c r="E64" i="2"/>
  <c r="D64" i="2"/>
  <c r="B64" i="2"/>
  <c r="AY63" i="2"/>
  <c r="AX63" i="2"/>
  <c r="AW63" i="2"/>
  <c r="AV63" i="2"/>
  <c r="AU63" i="2"/>
  <c r="AT63" i="2"/>
  <c r="K63" i="2" s="1"/>
  <c r="AQ63" i="2"/>
  <c r="AP63" i="2"/>
  <c r="AO63" i="2"/>
  <c r="AN63" i="2"/>
  <c r="AM63" i="2"/>
  <c r="AL63" i="2"/>
  <c r="AK63" i="2"/>
  <c r="AJ63" i="2"/>
  <c r="AI63" i="2"/>
  <c r="AH63" i="2"/>
  <c r="AG63" i="2"/>
  <c r="AF63" i="2"/>
  <c r="AE63" i="2"/>
  <c r="AD63" i="2"/>
  <c r="AC63" i="2"/>
  <c r="AB63" i="2"/>
  <c r="AA63" i="2"/>
  <c r="Z63" i="2"/>
  <c r="V63" i="2"/>
  <c r="U63" i="2"/>
  <c r="T63" i="2"/>
  <c r="S63" i="2"/>
  <c r="R63" i="2"/>
  <c r="Q63" i="2"/>
  <c r="P63" i="2"/>
  <c r="O63" i="2"/>
  <c r="N63" i="2"/>
  <c r="M63" i="2"/>
  <c r="I63" i="2"/>
  <c r="H63" i="2"/>
  <c r="G63" i="2"/>
  <c r="F63" i="2"/>
  <c r="E63" i="2"/>
  <c r="D63" i="2"/>
  <c r="B63" i="2"/>
  <c r="AY62" i="2"/>
  <c r="AX62" i="2"/>
  <c r="AW62" i="2"/>
  <c r="AV62" i="2"/>
  <c r="AU62" i="2"/>
  <c r="AT62" i="2"/>
  <c r="K62" i="2" s="1"/>
  <c r="AQ62" i="2"/>
  <c r="AP62" i="2"/>
  <c r="AO62" i="2"/>
  <c r="AN62" i="2"/>
  <c r="AM62" i="2"/>
  <c r="AL62" i="2"/>
  <c r="AK62" i="2"/>
  <c r="AJ62" i="2"/>
  <c r="AI62" i="2"/>
  <c r="AH62" i="2"/>
  <c r="AG62" i="2"/>
  <c r="AF62" i="2"/>
  <c r="AE62" i="2"/>
  <c r="AD62" i="2"/>
  <c r="AC62" i="2"/>
  <c r="AB62" i="2"/>
  <c r="AA62" i="2"/>
  <c r="Z62" i="2"/>
  <c r="V62" i="2"/>
  <c r="U62" i="2"/>
  <c r="T62" i="2"/>
  <c r="S62" i="2"/>
  <c r="R62" i="2"/>
  <c r="Q62" i="2"/>
  <c r="P62" i="2"/>
  <c r="O62" i="2"/>
  <c r="N62" i="2"/>
  <c r="M62" i="2"/>
  <c r="I62" i="2"/>
  <c r="H62" i="2"/>
  <c r="G62" i="2"/>
  <c r="F62" i="2"/>
  <c r="E62" i="2"/>
  <c r="D62" i="2"/>
  <c r="B62" i="2"/>
  <c r="AY61" i="2"/>
  <c r="AX61" i="2"/>
  <c r="AW61" i="2"/>
  <c r="AV61" i="2"/>
  <c r="AU61" i="2"/>
  <c r="AT61" i="2"/>
  <c r="K61" i="2" s="1"/>
  <c r="AQ61" i="2"/>
  <c r="AP61" i="2"/>
  <c r="AO61" i="2"/>
  <c r="AN61" i="2"/>
  <c r="AM61" i="2"/>
  <c r="AL61" i="2"/>
  <c r="AK61" i="2"/>
  <c r="AJ61" i="2"/>
  <c r="AI61" i="2"/>
  <c r="AH61" i="2"/>
  <c r="AG61" i="2"/>
  <c r="AF61" i="2"/>
  <c r="AE61" i="2"/>
  <c r="AD61" i="2"/>
  <c r="AC61" i="2"/>
  <c r="AB61" i="2"/>
  <c r="AA61" i="2"/>
  <c r="Z61" i="2"/>
  <c r="V61" i="2"/>
  <c r="U61" i="2"/>
  <c r="T61" i="2"/>
  <c r="S61" i="2"/>
  <c r="R61" i="2"/>
  <c r="Q61" i="2"/>
  <c r="P61" i="2"/>
  <c r="O61" i="2"/>
  <c r="N61" i="2"/>
  <c r="M61" i="2"/>
  <c r="I61" i="2"/>
  <c r="H61" i="2"/>
  <c r="G61" i="2"/>
  <c r="F61" i="2"/>
  <c r="E61" i="2"/>
  <c r="D61" i="2"/>
  <c r="B61" i="2"/>
  <c r="AY60" i="2"/>
  <c r="AX60" i="2"/>
  <c r="AW60" i="2"/>
  <c r="AV60" i="2"/>
  <c r="AU60" i="2"/>
  <c r="AT60" i="2"/>
  <c r="K60" i="2" s="1"/>
  <c r="AQ60" i="2"/>
  <c r="AP60" i="2"/>
  <c r="AO60" i="2"/>
  <c r="AN60" i="2"/>
  <c r="AM60" i="2"/>
  <c r="AL60" i="2"/>
  <c r="AK60" i="2"/>
  <c r="AJ60" i="2"/>
  <c r="AI60" i="2"/>
  <c r="AH60" i="2"/>
  <c r="AG60" i="2"/>
  <c r="AF60" i="2"/>
  <c r="AE60" i="2"/>
  <c r="AD60" i="2"/>
  <c r="AC60" i="2"/>
  <c r="AB60" i="2"/>
  <c r="AA60" i="2"/>
  <c r="Z60" i="2"/>
  <c r="V60" i="2"/>
  <c r="U60" i="2"/>
  <c r="T60" i="2"/>
  <c r="S60" i="2"/>
  <c r="R60" i="2"/>
  <c r="Q60" i="2"/>
  <c r="P60" i="2"/>
  <c r="O60" i="2"/>
  <c r="N60" i="2"/>
  <c r="M60" i="2"/>
  <c r="I60" i="2"/>
  <c r="H60" i="2"/>
  <c r="G60" i="2"/>
  <c r="F60" i="2"/>
  <c r="E60" i="2"/>
  <c r="D60" i="2"/>
  <c r="B60" i="2"/>
  <c r="AY59" i="2"/>
  <c r="AX59" i="2"/>
  <c r="AW59" i="2"/>
  <c r="AV59" i="2"/>
  <c r="AU59" i="2"/>
  <c r="AT59" i="2"/>
  <c r="K59" i="2" s="1"/>
  <c r="AQ59" i="2"/>
  <c r="AP59" i="2"/>
  <c r="AO59" i="2"/>
  <c r="AN59" i="2"/>
  <c r="AM59" i="2"/>
  <c r="AL59" i="2"/>
  <c r="AK59" i="2"/>
  <c r="AJ59" i="2"/>
  <c r="AI59" i="2"/>
  <c r="AH59" i="2"/>
  <c r="AG59" i="2"/>
  <c r="AF59" i="2"/>
  <c r="AE59" i="2"/>
  <c r="AD59" i="2"/>
  <c r="AC59" i="2"/>
  <c r="AB59" i="2"/>
  <c r="AA59" i="2"/>
  <c r="Z59" i="2"/>
  <c r="V59" i="2"/>
  <c r="U59" i="2"/>
  <c r="T59" i="2"/>
  <c r="S59" i="2"/>
  <c r="R59" i="2"/>
  <c r="Q59" i="2"/>
  <c r="P59" i="2"/>
  <c r="O59" i="2"/>
  <c r="N59" i="2"/>
  <c r="M59" i="2"/>
  <c r="I59" i="2"/>
  <c r="H59" i="2"/>
  <c r="G59" i="2"/>
  <c r="F59" i="2"/>
  <c r="E59" i="2"/>
  <c r="D59" i="2"/>
  <c r="B59" i="2"/>
  <c r="AY58" i="2"/>
  <c r="AX58" i="2"/>
  <c r="AW58" i="2"/>
  <c r="AV58" i="2"/>
  <c r="AU58" i="2"/>
  <c r="AT58" i="2"/>
  <c r="K58" i="2" s="1"/>
  <c r="AQ58" i="2"/>
  <c r="AP58" i="2"/>
  <c r="AO58" i="2"/>
  <c r="AN58" i="2"/>
  <c r="AM58" i="2"/>
  <c r="AL58" i="2"/>
  <c r="AK58" i="2"/>
  <c r="AJ58" i="2"/>
  <c r="AI58" i="2"/>
  <c r="AH58" i="2"/>
  <c r="AG58" i="2"/>
  <c r="AF58" i="2"/>
  <c r="AE58" i="2"/>
  <c r="AD58" i="2"/>
  <c r="AC58" i="2"/>
  <c r="AB58" i="2"/>
  <c r="AA58" i="2"/>
  <c r="Z58" i="2"/>
  <c r="V58" i="2"/>
  <c r="U58" i="2"/>
  <c r="T58" i="2"/>
  <c r="S58" i="2"/>
  <c r="R58" i="2"/>
  <c r="Q58" i="2"/>
  <c r="P58" i="2"/>
  <c r="O58" i="2"/>
  <c r="N58" i="2"/>
  <c r="M58" i="2"/>
  <c r="I58" i="2"/>
  <c r="H58" i="2"/>
  <c r="G58" i="2"/>
  <c r="F58" i="2"/>
  <c r="E58" i="2"/>
  <c r="D58" i="2"/>
  <c r="B58" i="2"/>
  <c r="AY57" i="2"/>
  <c r="H57" i="2" s="1"/>
  <c r="AX57" i="2"/>
  <c r="E57" i="2" s="1"/>
  <c r="AU57" i="2"/>
  <c r="AT57" i="2"/>
  <c r="K57" i="2" s="1"/>
  <c r="AQ57" i="2"/>
  <c r="AP57" i="2"/>
  <c r="AO57" i="2"/>
  <c r="AN57" i="2"/>
  <c r="AM57" i="2"/>
  <c r="AL57" i="2"/>
  <c r="AK57" i="2"/>
  <c r="AJ57" i="2"/>
  <c r="AI57" i="2"/>
  <c r="AH57" i="2"/>
  <c r="AG57" i="2"/>
  <c r="AF57" i="2"/>
  <c r="AE57" i="2"/>
  <c r="AD57" i="2"/>
  <c r="AC57" i="2"/>
  <c r="AB57" i="2"/>
  <c r="AA57" i="2"/>
  <c r="Z57" i="2"/>
  <c r="V57" i="2"/>
  <c r="U57" i="2"/>
  <c r="T57" i="2"/>
  <c r="S57" i="2"/>
  <c r="R57" i="2"/>
  <c r="Q57" i="2"/>
  <c r="P57" i="2"/>
  <c r="O57" i="2"/>
  <c r="N57" i="2"/>
  <c r="M57" i="2"/>
  <c r="I57" i="2"/>
  <c r="G57" i="2"/>
  <c r="F57" i="2"/>
  <c r="AV57" i="2" s="1"/>
  <c r="AW57" i="2" s="1"/>
  <c r="D57" i="2"/>
  <c r="B57" i="2"/>
  <c r="AY56" i="2"/>
  <c r="H56" i="2" s="1"/>
  <c r="AX56" i="2"/>
  <c r="E56" i="2" s="1"/>
  <c r="AV56" i="2"/>
  <c r="AW56" i="2" s="1"/>
  <c r="AU56" i="2"/>
  <c r="AT56" i="2"/>
  <c r="K56" i="2" s="1"/>
  <c r="AQ56" i="2"/>
  <c r="AP56" i="2"/>
  <c r="AO56" i="2"/>
  <c r="AN56" i="2"/>
  <c r="AM56" i="2"/>
  <c r="AL56" i="2"/>
  <c r="AK56" i="2"/>
  <c r="AJ56" i="2"/>
  <c r="AI56" i="2"/>
  <c r="AH56" i="2"/>
  <c r="AG56" i="2"/>
  <c r="AF56" i="2"/>
  <c r="AE56" i="2"/>
  <c r="AD56" i="2"/>
  <c r="AC56" i="2"/>
  <c r="AB56" i="2"/>
  <c r="AA56" i="2"/>
  <c r="Z56" i="2"/>
  <c r="V56" i="2"/>
  <c r="U56" i="2"/>
  <c r="T56" i="2"/>
  <c r="S56" i="2"/>
  <c r="R56" i="2"/>
  <c r="Q56" i="2"/>
  <c r="P56" i="2"/>
  <c r="O56" i="2"/>
  <c r="N56" i="2"/>
  <c r="M56" i="2"/>
  <c r="I56" i="2"/>
  <c r="G56" i="2"/>
  <c r="F56" i="2"/>
  <c r="D56" i="2"/>
  <c r="B56" i="2"/>
  <c r="AY55" i="2"/>
  <c r="H55" i="2" s="1"/>
  <c r="AX55" i="2"/>
  <c r="E55" i="2" s="1"/>
  <c r="AU55" i="2"/>
  <c r="AT55" i="2"/>
  <c r="K55" i="2" s="1"/>
  <c r="AQ55" i="2"/>
  <c r="AP55" i="2"/>
  <c r="AO55" i="2"/>
  <c r="AN55" i="2"/>
  <c r="AM55" i="2"/>
  <c r="AL55" i="2"/>
  <c r="AK55" i="2"/>
  <c r="AJ55" i="2"/>
  <c r="AI55" i="2"/>
  <c r="AH55" i="2"/>
  <c r="AG55" i="2"/>
  <c r="AF55" i="2"/>
  <c r="AE55" i="2"/>
  <c r="AD55" i="2"/>
  <c r="AC55" i="2"/>
  <c r="AB55" i="2"/>
  <c r="AA55" i="2"/>
  <c r="Z55" i="2"/>
  <c r="V55" i="2"/>
  <c r="U55" i="2"/>
  <c r="T55" i="2"/>
  <c r="S55" i="2"/>
  <c r="R55" i="2"/>
  <c r="Q55" i="2"/>
  <c r="P55" i="2"/>
  <c r="O55" i="2"/>
  <c r="N55" i="2"/>
  <c r="M55" i="2"/>
  <c r="I55" i="2"/>
  <c r="G55" i="2"/>
  <c r="F55" i="2"/>
  <c r="D55" i="2"/>
  <c r="B55" i="2"/>
  <c r="AY54" i="2"/>
  <c r="H54" i="2" s="1"/>
  <c r="AX54" i="2"/>
  <c r="E54" i="2" s="1"/>
  <c r="AU54" i="2"/>
  <c r="AT54" i="2"/>
  <c r="K54" i="2" s="1"/>
  <c r="AQ54" i="2"/>
  <c r="AP54" i="2"/>
  <c r="AO54" i="2"/>
  <c r="AN54" i="2"/>
  <c r="AM54" i="2"/>
  <c r="AL54" i="2"/>
  <c r="AK54" i="2"/>
  <c r="AJ54" i="2"/>
  <c r="AI54" i="2"/>
  <c r="AH54" i="2"/>
  <c r="AG54" i="2"/>
  <c r="AF54" i="2"/>
  <c r="AE54" i="2"/>
  <c r="AD54" i="2"/>
  <c r="AC54" i="2"/>
  <c r="AB54" i="2"/>
  <c r="AA54" i="2"/>
  <c r="Z54" i="2"/>
  <c r="V54" i="2"/>
  <c r="U54" i="2"/>
  <c r="T54" i="2"/>
  <c r="S54" i="2"/>
  <c r="R54" i="2"/>
  <c r="Q54" i="2"/>
  <c r="P54" i="2"/>
  <c r="O54" i="2"/>
  <c r="N54" i="2"/>
  <c r="M54" i="2"/>
  <c r="I54" i="2"/>
  <c r="G54" i="2"/>
  <c r="F54" i="2"/>
  <c r="D54" i="2"/>
  <c r="B54" i="2"/>
  <c r="AY53" i="2"/>
  <c r="H53" i="2" s="1"/>
  <c r="AX53" i="2"/>
  <c r="E53" i="2" s="1"/>
  <c r="AU53" i="2"/>
  <c r="AT53" i="2"/>
  <c r="K53" i="2" s="1"/>
  <c r="AQ53" i="2"/>
  <c r="AP53" i="2"/>
  <c r="AO53" i="2"/>
  <c r="AN53" i="2"/>
  <c r="AM53" i="2"/>
  <c r="AL53" i="2"/>
  <c r="AK53" i="2"/>
  <c r="AJ53" i="2"/>
  <c r="AI53" i="2"/>
  <c r="AH53" i="2"/>
  <c r="AG53" i="2"/>
  <c r="AF53" i="2"/>
  <c r="AE53" i="2"/>
  <c r="AD53" i="2"/>
  <c r="AC53" i="2"/>
  <c r="AB53" i="2"/>
  <c r="AA53" i="2"/>
  <c r="Z53" i="2"/>
  <c r="V53" i="2"/>
  <c r="U53" i="2"/>
  <c r="T53" i="2"/>
  <c r="S53" i="2"/>
  <c r="R53" i="2"/>
  <c r="Q53" i="2"/>
  <c r="P53" i="2"/>
  <c r="O53" i="2"/>
  <c r="N53" i="2"/>
  <c r="M53" i="2"/>
  <c r="I53" i="2"/>
  <c r="G53" i="2"/>
  <c r="F53" i="2"/>
  <c r="D53" i="2"/>
  <c r="B53" i="2"/>
  <c r="AY52" i="2"/>
  <c r="H52" i="2" s="1"/>
  <c r="AX52" i="2"/>
  <c r="E52" i="2" s="1"/>
  <c r="AU52" i="2"/>
  <c r="AT52" i="2"/>
  <c r="K52" i="2" s="1"/>
  <c r="AQ52" i="2"/>
  <c r="AP52" i="2"/>
  <c r="AO52" i="2"/>
  <c r="AN52" i="2"/>
  <c r="AM52" i="2"/>
  <c r="AL52" i="2"/>
  <c r="AK52" i="2"/>
  <c r="AJ52" i="2"/>
  <c r="AI52" i="2"/>
  <c r="AH52" i="2"/>
  <c r="AG52" i="2"/>
  <c r="AF52" i="2"/>
  <c r="AE52" i="2"/>
  <c r="AD52" i="2"/>
  <c r="AC52" i="2"/>
  <c r="AB52" i="2"/>
  <c r="AA52" i="2"/>
  <c r="Z52" i="2"/>
  <c r="V52" i="2"/>
  <c r="U52" i="2"/>
  <c r="T52" i="2"/>
  <c r="S52" i="2"/>
  <c r="R52" i="2"/>
  <c r="Q52" i="2"/>
  <c r="P52" i="2"/>
  <c r="O52" i="2"/>
  <c r="N52" i="2"/>
  <c r="M52" i="2"/>
  <c r="I52" i="2"/>
  <c r="G52" i="2"/>
  <c r="F52" i="2"/>
  <c r="D52" i="2"/>
  <c r="B52" i="2"/>
  <c r="AY51" i="2"/>
  <c r="H51" i="2" s="1"/>
  <c r="AX51" i="2"/>
  <c r="E51" i="2" s="1"/>
  <c r="AU51" i="2"/>
  <c r="AT51" i="2"/>
  <c r="K51" i="2" s="1"/>
  <c r="AQ51" i="2"/>
  <c r="AP51" i="2"/>
  <c r="AO51" i="2"/>
  <c r="AN51" i="2"/>
  <c r="AM51" i="2"/>
  <c r="AL51" i="2"/>
  <c r="AK51" i="2"/>
  <c r="AJ51" i="2"/>
  <c r="AI51" i="2"/>
  <c r="AH51" i="2"/>
  <c r="AG51" i="2"/>
  <c r="AF51" i="2"/>
  <c r="AE51" i="2"/>
  <c r="AD51" i="2"/>
  <c r="AC51" i="2"/>
  <c r="AB51" i="2"/>
  <c r="AA51" i="2"/>
  <c r="Z51" i="2"/>
  <c r="V51" i="2"/>
  <c r="U51" i="2"/>
  <c r="T51" i="2"/>
  <c r="S51" i="2"/>
  <c r="R51" i="2"/>
  <c r="Q51" i="2"/>
  <c r="P51" i="2"/>
  <c r="O51" i="2"/>
  <c r="N51" i="2"/>
  <c r="M51" i="2"/>
  <c r="I51" i="2"/>
  <c r="G51" i="2"/>
  <c r="F51" i="2"/>
  <c r="D51" i="2"/>
  <c r="B51" i="2"/>
  <c r="AY50" i="2"/>
  <c r="H50" i="2" s="1"/>
  <c r="AU50" i="2"/>
  <c r="AT50" i="2"/>
  <c r="K50" i="2" s="1"/>
  <c r="AQ50" i="2"/>
  <c r="AP50" i="2"/>
  <c r="AO50" i="2"/>
  <c r="AN50" i="2"/>
  <c r="AM50" i="2"/>
  <c r="AL50" i="2"/>
  <c r="AK50" i="2"/>
  <c r="AJ50" i="2"/>
  <c r="AI50" i="2"/>
  <c r="AH50" i="2"/>
  <c r="AG50" i="2"/>
  <c r="AF50" i="2"/>
  <c r="AE50" i="2"/>
  <c r="AD50" i="2"/>
  <c r="AC50" i="2"/>
  <c r="AB50" i="2"/>
  <c r="AA50" i="2"/>
  <c r="Z50" i="2"/>
  <c r="V50" i="2"/>
  <c r="U50" i="2"/>
  <c r="T50" i="2"/>
  <c r="S50" i="2"/>
  <c r="R50" i="2"/>
  <c r="Q50" i="2"/>
  <c r="P50" i="2"/>
  <c r="O50" i="2"/>
  <c r="N50" i="2"/>
  <c r="M50" i="2"/>
  <c r="I50" i="2"/>
  <c r="G50" i="2"/>
  <c r="F50" i="2"/>
  <c r="D50" i="2"/>
  <c r="B50" i="2"/>
  <c r="AY49" i="2"/>
  <c r="H49" i="2" s="1"/>
  <c r="AX49" i="2"/>
  <c r="E49" i="2" s="1"/>
  <c r="AU49" i="2"/>
  <c r="AT49" i="2"/>
  <c r="K49" i="2" s="1"/>
  <c r="AQ49" i="2"/>
  <c r="AP49" i="2"/>
  <c r="AO49" i="2"/>
  <c r="AN49" i="2"/>
  <c r="AM49" i="2"/>
  <c r="AL49" i="2"/>
  <c r="AK49" i="2"/>
  <c r="AJ49" i="2"/>
  <c r="AI49" i="2"/>
  <c r="AH49" i="2"/>
  <c r="AG49" i="2"/>
  <c r="AF49" i="2"/>
  <c r="AE49" i="2"/>
  <c r="AD49" i="2"/>
  <c r="AC49" i="2"/>
  <c r="AB49" i="2"/>
  <c r="AA49" i="2"/>
  <c r="Z49" i="2"/>
  <c r="V49" i="2"/>
  <c r="U49" i="2"/>
  <c r="T49" i="2"/>
  <c r="S49" i="2"/>
  <c r="R49" i="2"/>
  <c r="Q49" i="2"/>
  <c r="P49" i="2"/>
  <c r="O49" i="2"/>
  <c r="N49" i="2"/>
  <c r="M49" i="2"/>
  <c r="I49" i="2"/>
  <c r="G49" i="2"/>
  <c r="F49" i="2"/>
  <c r="D49" i="2"/>
  <c r="B49" i="2"/>
  <c r="AY48" i="2"/>
  <c r="H48" i="2" s="1"/>
  <c r="AX48" i="2"/>
  <c r="E48" i="2" s="1"/>
  <c r="AU48" i="2"/>
  <c r="AT48" i="2"/>
  <c r="K48" i="2" s="1"/>
  <c r="AQ48" i="2"/>
  <c r="AP48" i="2"/>
  <c r="AO48" i="2"/>
  <c r="AN48" i="2"/>
  <c r="AM48" i="2"/>
  <c r="AL48" i="2"/>
  <c r="AK48" i="2"/>
  <c r="AJ48" i="2"/>
  <c r="AI48" i="2"/>
  <c r="AH48" i="2"/>
  <c r="AG48" i="2"/>
  <c r="AF48" i="2"/>
  <c r="AE48" i="2"/>
  <c r="AD48" i="2"/>
  <c r="AC48" i="2"/>
  <c r="AB48" i="2"/>
  <c r="AA48" i="2"/>
  <c r="Z48" i="2"/>
  <c r="V48" i="2"/>
  <c r="U48" i="2"/>
  <c r="T48" i="2"/>
  <c r="S48" i="2"/>
  <c r="R48" i="2"/>
  <c r="Q48" i="2"/>
  <c r="P48" i="2"/>
  <c r="O48" i="2"/>
  <c r="N48" i="2"/>
  <c r="M48" i="2"/>
  <c r="I48" i="2"/>
  <c r="G48" i="2"/>
  <c r="F48" i="2"/>
  <c r="D48" i="2"/>
  <c r="B48" i="2"/>
  <c r="AY47" i="2"/>
  <c r="H47" i="2" s="1"/>
  <c r="AX47" i="2"/>
  <c r="E47" i="2" s="1"/>
  <c r="AU47" i="2"/>
  <c r="AT47" i="2"/>
  <c r="K47" i="2" s="1"/>
  <c r="AQ47" i="2"/>
  <c r="AP47" i="2"/>
  <c r="AO47" i="2"/>
  <c r="AN47" i="2"/>
  <c r="AM47" i="2"/>
  <c r="AL47" i="2"/>
  <c r="AK47" i="2"/>
  <c r="AJ47" i="2"/>
  <c r="AI47" i="2"/>
  <c r="AH47" i="2"/>
  <c r="AG47" i="2"/>
  <c r="AF47" i="2"/>
  <c r="AE47" i="2"/>
  <c r="AD47" i="2"/>
  <c r="AC47" i="2"/>
  <c r="AB47" i="2"/>
  <c r="AA47" i="2"/>
  <c r="Z47" i="2"/>
  <c r="V47" i="2"/>
  <c r="U47" i="2"/>
  <c r="T47" i="2"/>
  <c r="S47" i="2"/>
  <c r="R47" i="2"/>
  <c r="Q47" i="2"/>
  <c r="P47" i="2"/>
  <c r="O47" i="2"/>
  <c r="N47" i="2"/>
  <c r="M47" i="2"/>
  <c r="I47" i="2"/>
  <c r="G47" i="2"/>
  <c r="F47" i="2"/>
  <c r="D47" i="2"/>
  <c r="B47" i="2"/>
  <c r="AY46" i="2"/>
  <c r="H46" i="2" s="1"/>
  <c r="AX46" i="2"/>
  <c r="E46" i="2" s="1"/>
  <c r="AU46" i="2"/>
  <c r="AT46" i="2"/>
  <c r="K46" i="2" s="1"/>
  <c r="AQ46" i="2"/>
  <c r="AP46" i="2"/>
  <c r="AO46" i="2"/>
  <c r="AN46" i="2"/>
  <c r="AM46" i="2"/>
  <c r="AL46" i="2"/>
  <c r="AK46" i="2"/>
  <c r="AJ46" i="2"/>
  <c r="AI46" i="2"/>
  <c r="AH46" i="2"/>
  <c r="AG46" i="2"/>
  <c r="AF46" i="2"/>
  <c r="AE46" i="2"/>
  <c r="AD46" i="2"/>
  <c r="AC46" i="2"/>
  <c r="AB46" i="2"/>
  <c r="AA46" i="2"/>
  <c r="Z46" i="2"/>
  <c r="V46" i="2"/>
  <c r="U46" i="2"/>
  <c r="T46" i="2"/>
  <c r="S46" i="2"/>
  <c r="R46" i="2"/>
  <c r="Q46" i="2"/>
  <c r="P46" i="2"/>
  <c r="O46" i="2"/>
  <c r="N46" i="2"/>
  <c r="M46" i="2"/>
  <c r="I46" i="2"/>
  <c r="G46" i="2"/>
  <c r="F46" i="2"/>
  <c r="D46" i="2"/>
  <c r="B46" i="2"/>
  <c r="AY45" i="2"/>
  <c r="H45" i="2" s="1"/>
  <c r="AX45" i="2"/>
  <c r="E45" i="2" s="1"/>
  <c r="AU45" i="2"/>
  <c r="AT45" i="2"/>
  <c r="K45" i="2" s="1"/>
  <c r="AQ45" i="2"/>
  <c r="AP45" i="2"/>
  <c r="AO45" i="2"/>
  <c r="AN45" i="2"/>
  <c r="AM45" i="2"/>
  <c r="AL45" i="2"/>
  <c r="AK45" i="2"/>
  <c r="AJ45" i="2"/>
  <c r="AI45" i="2"/>
  <c r="AH45" i="2"/>
  <c r="AG45" i="2"/>
  <c r="AF45" i="2"/>
  <c r="AE45" i="2"/>
  <c r="AD45" i="2"/>
  <c r="AC45" i="2"/>
  <c r="AB45" i="2"/>
  <c r="AA45" i="2"/>
  <c r="Z45" i="2"/>
  <c r="V45" i="2"/>
  <c r="U45" i="2"/>
  <c r="T45" i="2"/>
  <c r="S45" i="2"/>
  <c r="R45" i="2"/>
  <c r="Q45" i="2"/>
  <c r="P45" i="2"/>
  <c r="O45" i="2"/>
  <c r="N45" i="2"/>
  <c r="M45" i="2"/>
  <c r="I45" i="2"/>
  <c r="G45" i="2"/>
  <c r="F45" i="2"/>
  <c r="D45" i="2"/>
  <c r="B45" i="2"/>
  <c r="AY44" i="2"/>
  <c r="H44" i="2" s="1"/>
  <c r="AX44" i="2"/>
  <c r="E44" i="2" s="1"/>
  <c r="AU44" i="2"/>
  <c r="AT44" i="2"/>
  <c r="K44" i="2" s="1"/>
  <c r="AQ44" i="2"/>
  <c r="AP44" i="2"/>
  <c r="AO44" i="2"/>
  <c r="AN44" i="2"/>
  <c r="AM44" i="2"/>
  <c r="AL44" i="2"/>
  <c r="AK44" i="2"/>
  <c r="AJ44" i="2"/>
  <c r="AI44" i="2"/>
  <c r="AH44" i="2"/>
  <c r="AG44" i="2"/>
  <c r="AF44" i="2"/>
  <c r="AE44" i="2"/>
  <c r="AD44" i="2"/>
  <c r="AC44" i="2"/>
  <c r="AB44" i="2"/>
  <c r="AA44" i="2"/>
  <c r="Z44" i="2"/>
  <c r="V44" i="2"/>
  <c r="U44" i="2"/>
  <c r="T44" i="2"/>
  <c r="S44" i="2"/>
  <c r="R44" i="2"/>
  <c r="Q44" i="2"/>
  <c r="P44" i="2"/>
  <c r="O44" i="2"/>
  <c r="N44" i="2"/>
  <c r="M44" i="2"/>
  <c r="I44" i="2"/>
  <c r="G44" i="2"/>
  <c r="F44" i="2"/>
  <c r="D44" i="2"/>
  <c r="B44" i="2"/>
  <c r="AX43" i="2"/>
  <c r="E43" i="2" s="1"/>
  <c r="AV43" i="2"/>
  <c r="AW43" i="2" s="1"/>
  <c r="AU43" i="2"/>
  <c r="AT43" i="2"/>
  <c r="K43" i="2" s="1"/>
  <c r="AQ43" i="2"/>
  <c r="AP43" i="2"/>
  <c r="AO43" i="2"/>
  <c r="AN43" i="2"/>
  <c r="AM43" i="2"/>
  <c r="AL43" i="2"/>
  <c r="AK43" i="2"/>
  <c r="AJ43" i="2"/>
  <c r="AI43" i="2"/>
  <c r="AH43" i="2"/>
  <c r="AG43" i="2"/>
  <c r="AF43" i="2"/>
  <c r="AE43" i="2"/>
  <c r="AD43" i="2"/>
  <c r="AC43" i="2"/>
  <c r="AB43" i="2"/>
  <c r="AA43" i="2"/>
  <c r="Z43" i="2"/>
  <c r="V43" i="2"/>
  <c r="U43" i="2"/>
  <c r="T43" i="2"/>
  <c r="S43" i="2"/>
  <c r="R43" i="2"/>
  <c r="Q43" i="2"/>
  <c r="P43" i="2"/>
  <c r="O43" i="2"/>
  <c r="N43" i="2"/>
  <c r="M43" i="2"/>
  <c r="I43" i="2"/>
  <c r="G43" i="2"/>
  <c r="F43" i="2"/>
  <c r="D43" i="2"/>
  <c r="B43" i="2"/>
  <c r="AY42" i="2"/>
  <c r="H42" i="2" s="1"/>
  <c r="AX42" i="2"/>
  <c r="E42" i="2" s="1"/>
  <c r="AU42" i="2"/>
  <c r="AT42" i="2"/>
  <c r="K42" i="2" s="1"/>
  <c r="AQ42" i="2"/>
  <c r="AP42" i="2"/>
  <c r="AO42" i="2"/>
  <c r="AN42" i="2"/>
  <c r="AM42" i="2"/>
  <c r="AL42" i="2"/>
  <c r="AK42" i="2"/>
  <c r="AJ42" i="2"/>
  <c r="AI42" i="2"/>
  <c r="AH42" i="2"/>
  <c r="AG42" i="2"/>
  <c r="AF42" i="2"/>
  <c r="AE42" i="2"/>
  <c r="AD42" i="2"/>
  <c r="AC42" i="2"/>
  <c r="AB42" i="2"/>
  <c r="AA42" i="2"/>
  <c r="Z42" i="2"/>
  <c r="V42" i="2"/>
  <c r="U42" i="2"/>
  <c r="T42" i="2"/>
  <c r="S42" i="2"/>
  <c r="R42" i="2"/>
  <c r="Q42" i="2"/>
  <c r="P42" i="2"/>
  <c r="O42" i="2"/>
  <c r="N42" i="2"/>
  <c r="M42" i="2"/>
  <c r="I42" i="2"/>
  <c r="G42" i="2"/>
  <c r="F42" i="2"/>
  <c r="D42" i="2"/>
  <c r="B42" i="2"/>
  <c r="AY41" i="2"/>
  <c r="H41" i="2" s="1"/>
  <c r="AX41" i="2"/>
  <c r="E41" i="2" s="1"/>
  <c r="AU41" i="2"/>
  <c r="AT41" i="2"/>
  <c r="K41" i="2" s="1"/>
  <c r="AQ41" i="2"/>
  <c r="AP41" i="2"/>
  <c r="AO41" i="2"/>
  <c r="AN41" i="2"/>
  <c r="AM41" i="2"/>
  <c r="AL41" i="2"/>
  <c r="AK41" i="2"/>
  <c r="AJ41" i="2"/>
  <c r="AI41" i="2"/>
  <c r="AH41" i="2"/>
  <c r="AG41" i="2"/>
  <c r="AF41" i="2"/>
  <c r="AE41" i="2"/>
  <c r="AD41" i="2"/>
  <c r="AC41" i="2"/>
  <c r="AB41" i="2"/>
  <c r="AA41" i="2"/>
  <c r="Z41" i="2"/>
  <c r="V41" i="2"/>
  <c r="U41" i="2"/>
  <c r="T41" i="2"/>
  <c r="S41" i="2"/>
  <c r="R41" i="2"/>
  <c r="Q41" i="2"/>
  <c r="P41" i="2"/>
  <c r="O41" i="2"/>
  <c r="N41" i="2"/>
  <c r="M41" i="2"/>
  <c r="I41" i="2"/>
  <c r="G41" i="2"/>
  <c r="F41" i="2"/>
  <c r="D41" i="2"/>
  <c r="B41" i="2"/>
  <c r="AY40" i="2"/>
  <c r="H40" i="2" s="1"/>
  <c r="AX40" i="2"/>
  <c r="E40" i="2" s="1"/>
  <c r="AU40" i="2"/>
  <c r="AT40" i="2"/>
  <c r="K40" i="2" s="1"/>
  <c r="AQ40" i="2"/>
  <c r="AP40" i="2"/>
  <c r="AO40" i="2"/>
  <c r="AN40" i="2"/>
  <c r="AM40" i="2"/>
  <c r="AL40" i="2"/>
  <c r="AK40" i="2"/>
  <c r="AJ40" i="2"/>
  <c r="AI40" i="2"/>
  <c r="AH40" i="2"/>
  <c r="AG40" i="2"/>
  <c r="AF40" i="2"/>
  <c r="AE40" i="2"/>
  <c r="AD40" i="2"/>
  <c r="AC40" i="2"/>
  <c r="AB40" i="2"/>
  <c r="AA40" i="2"/>
  <c r="Z40" i="2"/>
  <c r="V40" i="2"/>
  <c r="U40" i="2"/>
  <c r="T40" i="2"/>
  <c r="S40" i="2"/>
  <c r="R40" i="2"/>
  <c r="Q40" i="2"/>
  <c r="P40" i="2"/>
  <c r="O40" i="2"/>
  <c r="N40" i="2"/>
  <c r="M40" i="2"/>
  <c r="I40" i="2"/>
  <c r="G40" i="2"/>
  <c r="F40" i="2"/>
  <c r="D40" i="2"/>
  <c r="B40" i="2"/>
  <c r="AY39" i="2"/>
  <c r="H39" i="2" s="1"/>
  <c r="AX39" i="2"/>
  <c r="E39" i="2" s="1"/>
  <c r="AU39" i="2"/>
  <c r="AT39" i="2"/>
  <c r="K39" i="2" s="1"/>
  <c r="AQ39" i="2"/>
  <c r="AP39" i="2"/>
  <c r="AO39" i="2"/>
  <c r="AN39" i="2"/>
  <c r="AM39" i="2"/>
  <c r="AL39" i="2"/>
  <c r="AK39" i="2"/>
  <c r="AJ39" i="2"/>
  <c r="AI39" i="2"/>
  <c r="AH39" i="2"/>
  <c r="AG39" i="2"/>
  <c r="AF39" i="2"/>
  <c r="AE39" i="2"/>
  <c r="AD39" i="2"/>
  <c r="AC39" i="2"/>
  <c r="AB39" i="2"/>
  <c r="AA39" i="2"/>
  <c r="Z39" i="2"/>
  <c r="V39" i="2"/>
  <c r="U39" i="2"/>
  <c r="T39" i="2"/>
  <c r="S39" i="2"/>
  <c r="R39" i="2"/>
  <c r="Q39" i="2"/>
  <c r="P39" i="2"/>
  <c r="O39" i="2"/>
  <c r="N39" i="2"/>
  <c r="M39" i="2"/>
  <c r="I39" i="2"/>
  <c r="G39" i="2"/>
  <c r="F39" i="2"/>
  <c r="D39" i="2"/>
  <c r="B39" i="2"/>
  <c r="AY38" i="2"/>
  <c r="H38" i="2" s="1"/>
  <c r="AX38" i="2"/>
  <c r="E38" i="2" s="1"/>
  <c r="AU38" i="2"/>
  <c r="AT38" i="2"/>
  <c r="K38" i="2" s="1"/>
  <c r="AQ38" i="2"/>
  <c r="AP38" i="2"/>
  <c r="AO38" i="2"/>
  <c r="AN38" i="2"/>
  <c r="AM38" i="2"/>
  <c r="AL38" i="2"/>
  <c r="AK38" i="2"/>
  <c r="AJ38" i="2"/>
  <c r="AI38" i="2"/>
  <c r="AH38" i="2"/>
  <c r="AG38" i="2"/>
  <c r="AF38" i="2"/>
  <c r="AE38" i="2"/>
  <c r="AD38" i="2"/>
  <c r="AC38" i="2"/>
  <c r="AB38" i="2"/>
  <c r="AA38" i="2"/>
  <c r="Z38" i="2"/>
  <c r="V38" i="2"/>
  <c r="U38" i="2"/>
  <c r="T38" i="2"/>
  <c r="S38" i="2"/>
  <c r="R38" i="2"/>
  <c r="Q38" i="2"/>
  <c r="P38" i="2"/>
  <c r="O38" i="2"/>
  <c r="N38" i="2"/>
  <c r="M38" i="2"/>
  <c r="I38" i="2"/>
  <c r="G38" i="2"/>
  <c r="F38" i="2"/>
  <c r="D38" i="2"/>
  <c r="B38" i="2"/>
  <c r="AY37" i="2"/>
  <c r="H37" i="2" s="1"/>
  <c r="AX37" i="2"/>
  <c r="E37" i="2" s="1"/>
  <c r="AU37" i="2"/>
  <c r="AT37" i="2"/>
  <c r="K37" i="2" s="1"/>
  <c r="AQ37" i="2"/>
  <c r="AP37" i="2"/>
  <c r="AO37" i="2"/>
  <c r="AN37" i="2"/>
  <c r="AM37" i="2"/>
  <c r="AL37" i="2"/>
  <c r="AK37" i="2"/>
  <c r="AJ37" i="2"/>
  <c r="AI37" i="2"/>
  <c r="AH37" i="2"/>
  <c r="AG37" i="2"/>
  <c r="AF37" i="2"/>
  <c r="AE37" i="2"/>
  <c r="AD37" i="2"/>
  <c r="AC37" i="2"/>
  <c r="AB37" i="2"/>
  <c r="AA37" i="2"/>
  <c r="Z37" i="2"/>
  <c r="V37" i="2"/>
  <c r="U37" i="2"/>
  <c r="T37" i="2"/>
  <c r="S37" i="2"/>
  <c r="R37" i="2"/>
  <c r="Q37" i="2"/>
  <c r="P37" i="2"/>
  <c r="O37" i="2"/>
  <c r="N37" i="2"/>
  <c r="M37" i="2"/>
  <c r="I37" i="2"/>
  <c r="G37" i="2"/>
  <c r="F37" i="2"/>
  <c r="D37" i="2"/>
  <c r="B37" i="2"/>
  <c r="AY36" i="2"/>
  <c r="H36" i="2" s="1"/>
  <c r="AX36" i="2"/>
  <c r="E36" i="2" s="1"/>
  <c r="AU36" i="2"/>
  <c r="AT36" i="2"/>
  <c r="K36" i="2" s="1"/>
  <c r="AQ36" i="2"/>
  <c r="AP36" i="2"/>
  <c r="AO36" i="2"/>
  <c r="AN36" i="2"/>
  <c r="AM36" i="2"/>
  <c r="AL36" i="2"/>
  <c r="AK36" i="2"/>
  <c r="AJ36" i="2"/>
  <c r="AI36" i="2"/>
  <c r="AH36" i="2"/>
  <c r="AG36" i="2"/>
  <c r="AF36" i="2"/>
  <c r="AE36" i="2"/>
  <c r="AD36" i="2"/>
  <c r="AC36" i="2"/>
  <c r="AB36" i="2"/>
  <c r="AA36" i="2"/>
  <c r="Z36" i="2"/>
  <c r="V36" i="2"/>
  <c r="U36" i="2"/>
  <c r="T36" i="2"/>
  <c r="S36" i="2"/>
  <c r="R36" i="2"/>
  <c r="Q36" i="2"/>
  <c r="P36" i="2"/>
  <c r="O36" i="2"/>
  <c r="N36" i="2"/>
  <c r="M36" i="2"/>
  <c r="I36" i="2"/>
  <c r="G36" i="2"/>
  <c r="F36" i="2"/>
  <c r="D36" i="2"/>
  <c r="B36" i="2"/>
  <c r="AY35" i="2"/>
  <c r="H35" i="2" s="1"/>
  <c r="AX35" i="2"/>
  <c r="E35" i="2" s="1"/>
  <c r="AU35" i="2"/>
  <c r="AT35" i="2"/>
  <c r="K35" i="2" s="1"/>
  <c r="AQ35" i="2"/>
  <c r="AP35" i="2"/>
  <c r="AO35" i="2"/>
  <c r="AN35" i="2"/>
  <c r="AM35" i="2"/>
  <c r="AL35" i="2"/>
  <c r="AK35" i="2"/>
  <c r="AJ35" i="2"/>
  <c r="AI35" i="2"/>
  <c r="AH35" i="2"/>
  <c r="AG35" i="2"/>
  <c r="AF35" i="2"/>
  <c r="AE35" i="2"/>
  <c r="AD35" i="2"/>
  <c r="AC35" i="2"/>
  <c r="AB35" i="2"/>
  <c r="AA35" i="2"/>
  <c r="Z35" i="2"/>
  <c r="V35" i="2"/>
  <c r="U35" i="2"/>
  <c r="T35" i="2"/>
  <c r="S35" i="2"/>
  <c r="R35" i="2"/>
  <c r="Q35" i="2"/>
  <c r="P35" i="2"/>
  <c r="O35" i="2"/>
  <c r="N35" i="2"/>
  <c r="M35" i="2"/>
  <c r="I35" i="2"/>
  <c r="G35" i="2"/>
  <c r="F35" i="2"/>
  <c r="D35" i="2"/>
  <c r="B35" i="2"/>
  <c r="AY34" i="2"/>
  <c r="H34" i="2" s="1"/>
  <c r="AX34" i="2"/>
  <c r="E34" i="2" s="1"/>
  <c r="AU34" i="2"/>
  <c r="AT34" i="2"/>
  <c r="K34" i="2" s="1"/>
  <c r="AQ34" i="2"/>
  <c r="AP34" i="2"/>
  <c r="AO34" i="2"/>
  <c r="AN34" i="2"/>
  <c r="AM34" i="2"/>
  <c r="AL34" i="2"/>
  <c r="AK34" i="2"/>
  <c r="AJ34" i="2"/>
  <c r="AI34" i="2"/>
  <c r="AH34" i="2"/>
  <c r="AG34" i="2"/>
  <c r="AF34" i="2"/>
  <c r="AE34" i="2"/>
  <c r="AD34" i="2"/>
  <c r="AC34" i="2"/>
  <c r="AB34" i="2"/>
  <c r="AA34" i="2"/>
  <c r="Z34" i="2"/>
  <c r="V34" i="2"/>
  <c r="U34" i="2"/>
  <c r="T34" i="2"/>
  <c r="S34" i="2"/>
  <c r="R34" i="2"/>
  <c r="Q34" i="2"/>
  <c r="P34" i="2"/>
  <c r="O34" i="2"/>
  <c r="N34" i="2"/>
  <c r="M34" i="2"/>
  <c r="I34" i="2"/>
  <c r="G34" i="2"/>
  <c r="F34" i="2"/>
  <c r="D34" i="2"/>
  <c r="B34" i="2"/>
  <c r="AY33" i="2"/>
  <c r="H33" i="2" s="1"/>
  <c r="AX33" i="2"/>
  <c r="E33" i="2" s="1"/>
  <c r="AU33" i="2"/>
  <c r="AT33" i="2"/>
  <c r="K33" i="2" s="1"/>
  <c r="AQ33" i="2"/>
  <c r="AP33" i="2"/>
  <c r="AO33" i="2"/>
  <c r="AN33" i="2"/>
  <c r="AM33" i="2"/>
  <c r="AL33" i="2"/>
  <c r="AK33" i="2"/>
  <c r="AJ33" i="2"/>
  <c r="AI33" i="2"/>
  <c r="AH33" i="2"/>
  <c r="AG33" i="2"/>
  <c r="AF33" i="2"/>
  <c r="AE33" i="2"/>
  <c r="AD33" i="2"/>
  <c r="AC33" i="2"/>
  <c r="AB33" i="2"/>
  <c r="AA33" i="2"/>
  <c r="Z33" i="2"/>
  <c r="V33" i="2"/>
  <c r="U33" i="2"/>
  <c r="T33" i="2"/>
  <c r="S33" i="2"/>
  <c r="R33" i="2"/>
  <c r="Q33" i="2"/>
  <c r="P33" i="2"/>
  <c r="O33" i="2"/>
  <c r="N33" i="2"/>
  <c r="M33" i="2"/>
  <c r="I33" i="2"/>
  <c r="G33" i="2"/>
  <c r="F33" i="2"/>
  <c r="D33" i="2"/>
  <c r="B33" i="2"/>
  <c r="AY32" i="2"/>
  <c r="H32" i="2" s="1"/>
  <c r="AX32" i="2"/>
  <c r="E32" i="2" s="1"/>
  <c r="AU32" i="2"/>
  <c r="AT32" i="2"/>
  <c r="K32" i="2" s="1"/>
  <c r="AQ32" i="2"/>
  <c r="AP32" i="2"/>
  <c r="AO32" i="2"/>
  <c r="AN32" i="2"/>
  <c r="AM32" i="2"/>
  <c r="AL32" i="2"/>
  <c r="AK32" i="2"/>
  <c r="AJ32" i="2"/>
  <c r="AI32" i="2"/>
  <c r="AH32" i="2"/>
  <c r="AG32" i="2"/>
  <c r="AF32" i="2"/>
  <c r="AE32" i="2"/>
  <c r="AD32" i="2"/>
  <c r="AC32" i="2"/>
  <c r="AB32" i="2"/>
  <c r="AA32" i="2"/>
  <c r="Z32" i="2"/>
  <c r="V32" i="2"/>
  <c r="U32" i="2"/>
  <c r="T32" i="2"/>
  <c r="S32" i="2"/>
  <c r="R32" i="2"/>
  <c r="Q32" i="2"/>
  <c r="P32" i="2"/>
  <c r="O32" i="2"/>
  <c r="N32" i="2"/>
  <c r="M32" i="2"/>
  <c r="I32" i="2"/>
  <c r="G32" i="2"/>
  <c r="F32" i="2"/>
  <c r="D32" i="2"/>
  <c r="B32" i="2"/>
  <c r="AY31" i="2"/>
  <c r="H31" i="2" s="1"/>
  <c r="AX31" i="2"/>
  <c r="E31" i="2" s="1"/>
  <c r="AU31" i="2"/>
  <c r="AT31" i="2"/>
  <c r="K31" i="2" s="1"/>
  <c r="AQ31" i="2"/>
  <c r="AP31" i="2"/>
  <c r="AO31" i="2"/>
  <c r="AN31" i="2"/>
  <c r="AM31" i="2"/>
  <c r="AL31" i="2"/>
  <c r="AK31" i="2"/>
  <c r="AJ31" i="2"/>
  <c r="AI31" i="2"/>
  <c r="AH31" i="2"/>
  <c r="AG31" i="2"/>
  <c r="AF31" i="2"/>
  <c r="AE31" i="2"/>
  <c r="AD31" i="2"/>
  <c r="AC31" i="2"/>
  <c r="AB31" i="2"/>
  <c r="AA31" i="2"/>
  <c r="Z31" i="2"/>
  <c r="V31" i="2"/>
  <c r="U31" i="2"/>
  <c r="T31" i="2"/>
  <c r="S31" i="2"/>
  <c r="R31" i="2"/>
  <c r="Q31" i="2"/>
  <c r="P31" i="2"/>
  <c r="O31" i="2"/>
  <c r="N31" i="2"/>
  <c r="M31" i="2"/>
  <c r="I31" i="2"/>
  <c r="G31" i="2"/>
  <c r="F31" i="2"/>
  <c r="D31" i="2"/>
  <c r="B31" i="2"/>
  <c r="AY30" i="2"/>
  <c r="H30" i="2" s="1"/>
  <c r="AU30" i="2"/>
  <c r="AT30" i="2"/>
  <c r="K30" i="2" s="1"/>
  <c r="AQ30" i="2"/>
  <c r="AP30" i="2"/>
  <c r="AO30" i="2"/>
  <c r="AN30" i="2"/>
  <c r="AM30" i="2"/>
  <c r="AL30" i="2"/>
  <c r="AK30" i="2"/>
  <c r="AJ30" i="2"/>
  <c r="AI30" i="2"/>
  <c r="AH30" i="2"/>
  <c r="AG30" i="2"/>
  <c r="AF30" i="2"/>
  <c r="AE30" i="2"/>
  <c r="AD30" i="2"/>
  <c r="AC30" i="2"/>
  <c r="AB30" i="2"/>
  <c r="AA30" i="2"/>
  <c r="Z30" i="2"/>
  <c r="V30" i="2"/>
  <c r="U30" i="2"/>
  <c r="T30" i="2"/>
  <c r="S30" i="2"/>
  <c r="R30" i="2"/>
  <c r="Q30" i="2"/>
  <c r="P30" i="2"/>
  <c r="O30" i="2"/>
  <c r="N30" i="2"/>
  <c r="M30" i="2"/>
  <c r="I30" i="2"/>
  <c r="G30" i="2"/>
  <c r="F30" i="2"/>
  <c r="D30" i="2"/>
  <c r="B30" i="2"/>
  <c r="AY29" i="2"/>
  <c r="H29" i="2" s="1"/>
  <c r="AX29" i="2"/>
  <c r="E29" i="2" s="1"/>
  <c r="AU29" i="2"/>
  <c r="AT29" i="2"/>
  <c r="K29" i="2" s="1"/>
  <c r="AQ29" i="2"/>
  <c r="AP29" i="2"/>
  <c r="AO29" i="2"/>
  <c r="AN29" i="2"/>
  <c r="AM29" i="2"/>
  <c r="AL29" i="2"/>
  <c r="AK29" i="2"/>
  <c r="AJ29" i="2"/>
  <c r="AI29" i="2"/>
  <c r="AH29" i="2"/>
  <c r="AG29" i="2"/>
  <c r="AF29" i="2"/>
  <c r="AE29" i="2"/>
  <c r="AD29" i="2"/>
  <c r="AC29" i="2"/>
  <c r="AB29" i="2"/>
  <c r="AA29" i="2"/>
  <c r="Z29" i="2"/>
  <c r="V29" i="2"/>
  <c r="U29" i="2"/>
  <c r="T29" i="2"/>
  <c r="S29" i="2"/>
  <c r="R29" i="2"/>
  <c r="Q29" i="2"/>
  <c r="P29" i="2"/>
  <c r="O29" i="2"/>
  <c r="N29" i="2"/>
  <c r="M29" i="2"/>
  <c r="I29" i="2"/>
  <c r="G29" i="2"/>
  <c r="F29" i="2"/>
  <c r="D29" i="2"/>
  <c r="B29" i="2"/>
  <c r="AY28" i="2"/>
  <c r="H28" i="2" s="1"/>
  <c r="AX28" i="2"/>
  <c r="E28" i="2" s="1"/>
  <c r="AU28" i="2"/>
  <c r="AT28" i="2"/>
  <c r="K28" i="2" s="1"/>
  <c r="AQ28" i="2"/>
  <c r="AP28" i="2"/>
  <c r="AO28" i="2"/>
  <c r="AN28" i="2"/>
  <c r="AM28" i="2"/>
  <c r="AL28" i="2"/>
  <c r="AK28" i="2"/>
  <c r="AJ28" i="2"/>
  <c r="AI28" i="2"/>
  <c r="AH28" i="2"/>
  <c r="AG28" i="2"/>
  <c r="AF28" i="2"/>
  <c r="AE28" i="2"/>
  <c r="AD28" i="2"/>
  <c r="AC28" i="2"/>
  <c r="AB28" i="2"/>
  <c r="AA28" i="2"/>
  <c r="Z28" i="2"/>
  <c r="V28" i="2"/>
  <c r="U28" i="2"/>
  <c r="T28" i="2"/>
  <c r="S28" i="2"/>
  <c r="R28" i="2"/>
  <c r="Q28" i="2"/>
  <c r="P28" i="2"/>
  <c r="O28" i="2"/>
  <c r="N28" i="2"/>
  <c r="M28" i="2"/>
  <c r="I28" i="2"/>
  <c r="G28" i="2"/>
  <c r="F28" i="2"/>
  <c r="D28" i="2"/>
  <c r="B28" i="2"/>
  <c r="AY27" i="2"/>
  <c r="H27" i="2" s="1"/>
  <c r="AX27" i="2"/>
  <c r="E27" i="2" s="1"/>
  <c r="AU27" i="2"/>
  <c r="AT27" i="2"/>
  <c r="K27" i="2" s="1"/>
  <c r="AQ27" i="2"/>
  <c r="AP27" i="2"/>
  <c r="AO27" i="2"/>
  <c r="AN27" i="2"/>
  <c r="AM27" i="2"/>
  <c r="AL27" i="2"/>
  <c r="AK27" i="2"/>
  <c r="AJ27" i="2"/>
  <c r="AI27" i="2"/>
  <c r="AH27" i="2"/>
  <c r="AG27" i="2"/>
  <c r="AF27" i="2"/>
  <c r="AE27" i="2"/>
  <c r="AD27" i="2"/>
  <c r="AC27" i="2"/>
  <c r="AB27" i="2"/>
  <c r="AA27" i="2"/>
  <c r="Z27" i="2"/>
  <c r="V27" i="2"/>
  <c r="U27" i="2"/>
  <c r="T27" i="2"/>
  <c r="S27" i="2"/>
  <c r="R27" i="2"/>
  <c r="Q27" i="2"/>
  <c r="P27" i="2"/>
  <c r="O27" i="2"/>
  <c r="N27" i="2"/>
  <c r="M27" i="2"/>
  <c r="I27" i="2"/>
  <c r="G27" i="2"/>
  <c r="F27" i="2"/>
  <c r="D27" i="2"/>
  <c r="B27" i="2"/>
  <c r="AY26" i="2"/>
  <c r="H26" i="2" s="1"/>
  <c r="AX26" i="2"/>
  <c r="E26" i="2" s="1"/>
  <c r="AU26" i="2"/>
  <c r="AT26" i="2"/>
  <c r="K26" i="2" s="1"/>
  <c r="AQ26" i="2"/>
  <c r="AP26" i="2"/>
  <c r="AO26" i="2"/>
  <c r="AN26" i="2"/>
  <c r="AM26" i="2"/>
  <c r="AL26" i="2"/>
  <c r="AK26" i="2"/>
  <c r="AJ26" i="2"/>
  <c r="AI26" i="2"/>
  <c r="AH26" i="2"/>
  <c r="AG26" i="2"/>
  <c r="AF26" i="2"/>
  <c r="AE26" i="2"/>
  <c r="AD26" i="2"/>
  <c r="AC26" i="2"/>
  <c r="AB26" i="2"/>
  <c r="AA26" i="2"/>
  <c r="Z26" i="2"/>
  <c r="V26" i="2"/>
  <c r="U26" i="2"/>
  <c r="T26" i="2"/>
  <c r="S26" i="2"/>
  <c r="R26" i="2"/>
  <c r="Q26" i="2"/>
  <c r="P26" i="2"/>
  <c r="O26" i="2"/>
  <c r="N26" i="2"/>
  <c r="M26" i="2"/>
  <c r="I26" i="2"/>
  <c r="G26" i="2"/>
  <c r="F26" i="2"/>
  <c r="D26" i="2"/>
  <c r="B26" i="2"/>
  <c r="AY25" i="2"/>
  <c r="H25" i="2" s="1"/>
  <c r="AX25" i="2"/>
  <c r="E25" i="2" s="1"/>
  <c r="AV25" i="2"/>
  <c r="AW25" i="2" s="1"/>
  <c r="AU25" i="2"/>
  <c r="AT25" i="2"/>
  <c r="K25" i="2" s="1"/>
  <c r="AQ25" i="2"/>
  <c r="AP25" i="2"/>
  <c r="AO25" i="2"/>
  <c r="AN25" i="2"/>
  <c r="AM25" i="2"/>
  <c r="AL25" i="2"/>
  <c r="AK25" i="2"/>
  <c r="AJ25" i="2"/>
  <c r="AI25" i="2"/>
  <c r="AH25" i="2"/>
  <c r="AG25" i="2"/>
  <c r="AF25" i="2"/>
  <c r="AE25" i="2"/>
  <c r="AD25" i="2"/>
  <c r="AC25" i="2"/>
  <c r="AB25" i="2"/>
  <c r="AA25" i="2"/>
  <c r="Z25" i="2"/>
  <c r="V25" i="2"/>
  <c r="U25" i="2"/>
  <c r="T25" i="2"/>
  <c r="S25" i="2"/>
  <c r="R25" i="2"/>
  <c r="Q25" i="2"/>
  <c r="P25" i="2"/>
  <c r="O25" i="2"/>
  <c r="N25" i="2"/>
  <c r="M25" i="2"/>
  <c r="I25" i="2"/>
  <c r="G25" i="2"/>
  <c r="F25" i="2"/>
  <c r="D25" i="2"/>
  <c r="B25" i="2"/>
  <c r="AY24" i="2"/>
  <c r="H24" i="2" s="1"/>
  <c r="AX24" i="2"/>
  <c r="E24" i="2" s="1"/>
  <c r="AU24" i="2"/>
  <c r="AT24" i="2"/>
  <c r="K24" i="2" s="1"/>
  <c r="AQ24" i="2"/>
  <c r="AP24" i="2"/>
  <c r="AO24" i="2"/>
  <c r="AN24" i="2"/>
  <c r="AM24" i="2"/>
  <c r="AL24" i="2"/>
  <c r="AK24" i="2"/>
  <c r="AJ24" i="2"/>
  <c r="AI24" i="2"/>
  <c r="AH24" i="2"/>
  <c r="AG24" i="2"/>
  <c r="AF24" i="2"/>
  <c r="AE24" i="2"/>
  <c r="AD24" i="2"/>
  <c r="AC24" i="2"/>
  <c r="AB24" i="2"/>
  <c r="AA24" i="2"/>
  <c r="Z24" i="2"/>
  <c r="V24" i="2"/>
  <c r="U24" i="2"/>
  <c r="T24" i="2"/>
  <c r="S24" i="2"/>
  <c r="R24" i="2"/>
  <c r="Q24" i="2"/>
  <c r="P24" i="2"/>
  <c r="O24" i="2"/>
  <c r="N24" i="2"/>
  <c r="M24" i="2"/>
  <c r="I24" i="2"/>
  <c r="G24" i="2"/>
  <c r="F24" i="2"/>
  <c r="D24" i="2"/>
  <c r="B24" i="2"/>
  <c r="AX23" i="2"/>
  <c r="E23" i="2" s="1"/>
  <c r="AU23" i="2"/>
  <c r="AT23" i="2"/>
  <c r="K23" i="2" s="1"/>
  <c r="AQ23" i="2"/>
  <c r="AP23" i="2"/>
  <c r="AO23" i="2"/>
  <c r="AN23" i="2"/>
  <c r="AM23" i="2"/>
  <c r="AL23" i="2"/>
  <c r="AK23" i="2"/>
  <c r="AJ23" i="2"/>
  <c r="AI23" i="2"/>
  <c r="AH23" i="2"/>
  <c r="AG23" i="2"/>
  <c r="AF23" i="2"/>
  <c r="AE23" i="2"/>
  <c r="AD23" i="2"/>
  <c r="AC23" i="2"/>
  <c r="AB23" i="2"/>
  <c r="AA23" i="2"/>
  <c r="Z23" i="2"/>
  <c r="V23" i="2"/>
  <c r="U23" i="2"/>
  <c r="T23" i="2"/>
  <c r="S23" i="2"/>
  <c r="R23" i="2"/>
  <c r="Q23" i="2"/>
  <c r="P23" i="2"/>
  <c r="O23" i="2"/>
  <c r="N23" i="2"/>
  <c r="M23" i="2"/>
  <c r="I23" i="2"/>
  <c r="G23" i="2"/>
  <c r="F23" i="2"/>
  <c r="D23" i="2"/>
  <c r="B23" i="2"/>
  <c r="AY22" i="2"/>
  <c r="H22" i="2" s="1"/>
  <c r="AX22" i="2"/>
  <c r="E22" i="2" s="1"/>
  <c r="AU22" i="2"/>
  <c r="AT22" i="2"/>
  <c r="K22" i="2" s="1"/>
  <c r="AQ22" i="2"/>
  <c r="AP22" i="2"/>
  <c r="AO22" i="2"/>
  <c r="AN22" i="2"/>
  <c r="AM22" i="2"/>
  <c r="AL22" i="2"/>
  <c r="AK22" i="2"/>
  <c r="AJ22" i="2"/>
  <c r="AI22" i="2"/>
  <c r="AH22" i="2"/>
  <c r="AG22" i="2"/>
  <c r="AF22" i="2"/>
  <c r="AE22" i="2"/>
  <c r="AD22" i="2"/>
  <c r="AC22" i="2"/>
  <c r="AB22" i="2"/>
  <c r="AA22" i="2"/>
  <c r="Z22" i="2"/>
  <c r="V22" i="2"/>
  <c r="U22" i="2"/>
  <c r="T22" i="2"/>
  <c r="S22" i="2"/>
  <c r="R22" i="2"/>
  <c r="Q22" i="2"/>
  <c r="P22" i="2"/>
  <c r="O22" i="2"/>
  <c r="N22" i="2"/>
  <c r="M22" i="2"/>
  <c r="I22" i="2"/>
  <c r="G22" i="2"/>
  <c r="F22" i="2"/>
  <c r="D22" i="2"/>
  <c r="B22" i="2"/>
  <c r="AY21" i="2"/>
  <c r="H21" i="2" s="1"/>
  <c r="AX21" i="2"/>
  <c r="E21" i="2" s="1"/>
  <c r="AU21" i="2"/>
  <c r="AT21" i="2"/>
  <c r="K21" i="2" s="1"/>
  <c r="AQ21" i="2"/>
  <c r="AP21" i="2"/>
  <c r="AO21" i="2"/>
  <c r="AN21" i="2"/>
  <c r="AM21" i="2"/>
  <c r="AL21" i="2"/>
  <c r="AK21" i="2"/>
  <c r="AJ21" i="2"/>
  <c r="AI21" i="2"/>
  <c r="AH21" i="2"/>
  <c r="AG21" i="2"/>
  <c r="AF21" i="2"/>
  <c r="AE21" i="2"/>
  <c r="AD21" i="2"/>
  <c r="AC21" i="2"/>
  <c r="AB21" i="2"/>
  <c r="AA21" i="2"/>
  <c r="Z21" i="2"/>
  <c r="V21" i="2"/>
  <c r="U21" i="2"/>
  <c r="T21" i="2"/>
  <c r="S21" i="2"/>
  <c r="R21" i="2"/>
  <c r="Q21" i="2"/>
  <c r="P21" i="2"/>
  <c r="O21" i="2"/>
  <c r="N21" i="2"/>
  <c r="M21" i="2"/>
  <c r="I21" i="2"/>
  <c r="G21" i="2"/>
  <c r="F21" i="2"/>
  <c r="D21" i="2"/>
  <c r="B21" i="2"/>
  <c r="AY20" i="2"/>
  <c r="H20" i="2" s="1"/>
  <c r="AX20" i="2"/>
  <c r="E20" i="2" s="1"/>
  <c r="AU20" i="2"/>
  <c r="AT20" i="2"/>
  <c r="K20" i="2" s="1"/>
  <c r="AQ20" i="2"/>
  <c r="AP20" i="2"/>
  <c r="AO20" i="2"/>
  <c r="AN20" i="2"/>
  <c r="AM20" i="2"/>
  <c r="AL20" i="2"/>
  <c r="AK20" i="2"/>
  <c r="AJ20" i="2"/>
  <c r="AI20" i="2"/>
  <c r="AH20" i="2"/>
  <c r="AG20" i="2"/>
  <c r="AF20" i="2"/>
  <c r="AE20" i="2"/>
  <c r="AD20" i="2"/>
  <c r="AC20" i="2"/>
  <c r="AB20" i="2"/>
  <c r="AA20" i="2"/>
  <c r="Z20" i="2"/>
  <c r="V20" i="2"/>
  <c r="U20" i="2"/>
  <c r="T20" i="2"/>
  <c r="S20" i="2"/>
  <c r="R20" i="2"/>
  <c r="Q20" i="2"/>
  <c r="P20" i="2"/>
  <c r="O20" i="2"/>
  <c r="N20" i="2"/>
  <c r="M20" i="2"/>
  <c r="I20" i="2"/>
  <c r="G20" i="2"/>
  <c r="F20" i="2"/>
  <c r="D20" i="2"/>
  <c r="B20" i="2"/>
  <c r="AY19" i="2"/>
  <c r="H19" i="2" s="1"/>
  <c r="AX19" i="2"/>
  <c r="E19" i="2" s="1"/>
  <c r="AU19" i="2"/>
  <c r="AT19" i="2"/>
  <c r="K19" i="2" s="1"/>
  <c r="AQ19" i="2"/>
  <c r="AP19" i="2"/>
  <c r="AO19" i="2"/>
  <c r="AN19" i="2"/>
  <c r="AM19" i="2"/>
  <c r="AL19" i="2"/>
  <c r="AK19" i="2"/>
  <c r="AJ19" i="2"/>
  <c r="AI19" i="2"/>
  <c r="AH19" i="2"/>
  <c r="AG19" i="2"/>
  <c r="AF19" i="2"/>
  <c r="AE19" i="2"/>
  <c r="AD19" i="2"/>
  <c r="AC19" i="2"/>
  <c r="AB19" i="2"/>
  <c r="AA19" i="2"/>
  <c r="Z19" i="2"/>
  <c r="V19" i="2"/>
  <c r="U19" i="2"/>
  <c r="T19" i="2"/>
  <c r="S19" i="2"/>
  <c r="R19" i="2"/>
  <c r="Q19" i="2"/>
  <c r="P19" i="2"/>
  <c r="O19" i="2"/>
  <c r="N19" i="2"/>
  <c r="M19" i="2"/>
  <c r="I19" i="2"/>
  <c r="G19" i="2"/>
  <c r="F19" i="2"/>
  <c r="D19" i="2"/>
  <c r="B19" i="2"/>
  <c r="AY18" i="2"/>
  <c r="H18" i="2" s="1"/>
  <c r="AX18" i="2"/>
  <c r="E18" i="2" s="1"/>
  <c r="AU18" i="2"/>
  <c r="AT18" i="2"/>
  <c r="K18" i="2" s="1"/>
  <c r="AQ18" i="2"/>
  <c r="AP18" i="2"/>
  <c r="AO18" i="2"/>
  <c r="AN18" i="2"/>
  <c r="AM18" i="2"/>
  <c r="AL18" i="2"/>
  <c r="AK18" i="2"/>
  <c r="AJ18" i="2"/>
  <c r="AI18" i="2"/>
  <c r="AH18" i="2"/>
  <c r="AG18" i="2"/>
  <c r="AF18" i="2"/>
  <c r="AE18" i="2"/>
  <c r="AD18" i="2"/>
  <c r="AC18" i="2"/>
  <c r="AB18" i="2"/>
  <c r="AA18" i="2"/>
  <c r="Z18" i="2"/>
  <c r="V18" i="2"/>
  <c r="U18" i="2"/>
  <c r="T18" i="2"/>
  <c r="S18" i="2"/>
  <c r="R18" i="2"/>
  <c r="Q18" i="2"/>
  <c r="P18" i="2"/>
  <c r="O18" i="2"/>
  <c r="N18" i="2"/>
  <c r="M18" i="2"/>
  <c r="I18" i="2"/>
  <c r="G18" i="2"/>
  <c r="F18" i="2"/>
  <c r="D18" i="2"/>
  <c r="B18" i="2"/>
  <c r="AY17" i="2"/>
  <c r="H17" i="2" s="1"/>
  <c r="AX17" i="2"/>
  <c r="E17" i="2" s="1"/>
  <c r="AU17" i="2"/>
  <c r="AT17" i="2"/>
  <c r="K17" i="2" s="1"/>
  <c r="AQ17" i="2"/>
  <c r="AP17" i="2"/>
  <c r="AO17" i="2"/>
  <c r="AN17" i="2"/>
  <c r="AM17" i="2"/>
  <c r="AL17" i="2"/>
  <c r="AK17" i="2"/>
  <c r="AJ17" i="2"/>
  <c r="AI17" i="2"/>
  <c r="AH17" i="2"/>
  <c r="AG17" i="2"/>
  <c r="AF17" i="2"/>
  <c r="AE17" i="2"/>
  <c r="AD17" i="2"/>
  <c r="AC17" i="2"/>
  <c r="AB17" i="2"/>
  <c r="AA17" i="2"/>
  <c r="Z17" i="2"/>
  <c r="V17" i="2"/>
  <c r="U17" i="2"/>
  <c r="T17" i="2"/>
  <c r="S17" i="2"/>
  <c r="R17" i="2"/>
  <c r="Q17" i="2"/>
  <c r="P17" i="2"/>
  <c r="O17" i="2"/>
  <c r="N17" i="2"/>
  <c r="M17" i="2"/>
  <c r="I17" i="2"/>
  <c r="G17" i="2"/>
  <c r="F17" i="2"/>
  <c r="D17" i="2"/>
  <c r="B17" i="2"/>
  <c r="AY16" i="2"/>
  <c r="H16" i="2" s="1"/>
  <c r="AX16" i="2"/>
  <c r="E16" i="2" s="1"/>
  <c r="AU16" i="2"/>
  <c r="AT16" i="2"/>
  <c r="K16" i="2" s="1"/>
  <c r="AQ16" i="2"/>
  <c r="AP16" i="2"/>
  <c r="AO16" i="2"/>
  <c r="AN16" i="2"/>
  <c r="AM16" i="2"/>
  <c r="AL16" i="2"/>
  <c r="AK16" i="2"/>
  <c r="AJ16" i="2"/>
  <c r="AI16" i="2"/>
  <c r="AH16" i="2"/>
  <c r="AG16" i="2"/>
  <c r="AF16" i="2"/>
  <c r="AE16" i="2"/>
  <c r="AD16" i="2"/>
  <c r="AC16" i="2"/>
  <c r="AB16" i="2"/>
  <c r="AA16" i="2"/>
  <c r="Z16" i="2"/>
  <c r="V16" i="2"/>
  <c r="U16" i="2"/>
  <c r="T16" i="2"/>
  <c r="S16" i="2"/>
  <c r="R16" i="2"/>
  <c r="Q16" i="2"/>
  <c r="P16" i="2"/>
  <c r="O16" i="2"/>
  <c r="N16" i="2"/>
  <c r="M16" i="2"/>
  <c r="I16" i="2"/>
  <c r="G16" i="2"/>
  <c r="F16" i="2"/>
  <c r="D16" i="2"/>
  <c r="B16" i="2"/>
  <c r="AY15" i="2"/>
  <c r="H15" i="2" s="1"/>
  <c r="AX15" i="2"/>
  <c r="E15" i="2" s="1"/>
  <c r="AU15" i="2"/>
  <c r="AT15" i="2"/>
  <c r="K15" i="2" s="1"/>
  <c r="AQ15" i="2"/>
  <c r="AP15" i="2"/>
  <c r="AO15" i="2"/>
  <c r="AN15" i="2"/>
  <c r="AM15" i="2"/>
  <c r="AL15" i="2"/>
  <c r="AK15" i="2"/>
  <c r="AJ15" i="2"/>
  <c r="AI15" i="2"/>
  <c r="AH15" i="2"/>
  <c r="AG15" i="2"/>
  <c r="AF15" i="2"/>
  <c r="AE15" i="2"/>
  <c r="AD15" i="2"/>
  <c r="AC15" i="2"/>
  <c r="AB15" i="2"/>
  <c r="AA15" i="2"/>
  <c r="Z15" i="2"/>
  <c r="V15" i="2"/>
  <c r="U15" i="2"/>
  <c r="T15" i="2"/>
  <c r="S15" i="2"/>
  <c r="R15" i="2"/>
  <c r="Q15" i="2"/>
  <c r="P15" i="2"/>
  <c r="O15" i="2"/>
  <c r="N15" i="2"/>
  <c r="M15" i="2"/>
  <c r="I15" i="2"/>
  <c r="G15" i="2"/>
  <c r="F15" i="2"/>
  <c r="D15" i="2"/>
  <c r="B15" i="2"/>
  <c r="AV34" i="2" l="1"/>
  <c r="AW34" i="2" s="1"/>
  <c r="AV130" i="2"/>
  <c r="AW130" i="2" s="1"/>
  <c r="AV54" i="2"/>
  <c r="AW54" i="2" s="1"/>
  <c r="AV55" i="2"/>
  <c r="AW55" i="2" s="1"/>
  <c r="AV50" i="2"/>
  <c r="AW50" i="2" s="1"/>
  <c r="AV198" i="2"/>
  <c r="AW198" i="2" s="1"/>
  <c r="AV155" i="2"/>
  <c r="AW155" i="2" s="1"/>
  <c r="AV165" i="2"/>
  <c r="AW165" i="2" s="1"/>
  <c r="AV185" i="2"/>
  <c r="AW185" i="2" s="1"/>
  <c r="AV32" i="2"/>
  <c r="AW32" i="2" s="1"/>
  <c r="AV35" i="2"/>
  <c r="AW35" i="2" s="1"/>
  <c r="AV131" i="2"/>
  <c r="AW131" i="2" s="1"/>
  <c r="AV124" i="2"/>
  <c r="AW124" i="2" s="1"/>
  <c r="AV166" i="2"/>
  <c r="AW166" i="2" s="1"/>
  <c r="AV196" i="2"/>
  <c r="AW196" i="2" s="1"/>
  <c r="AV177" i="2"/>
  <c r="AW177" i="2" s="1"/>
  <c r="AV194" i="2"/>
  <c r="AW194" i="2" s="1"/>
  <c r="AV121" i="2"/>
  <c r="AW121" i="2" s="1"/>
  <c r="AV19" i="2"/>
  <c r="AW19" i="2" s="1"/>
  <c r="AV47" i="2"/>
  <c r="AW47" i="2" s="1"/>
  <c r="AV120" i="2"/>
  <c r="AW120" i="2" s="1"/>
  <c r="AV148" i="2"/>
  <c r="AW148" i="2" s="1"/>
  <c r="AV188" i="2"/>
  <c r="AW188" i="2" s="1"/>
  <c r="AV153" i="2"/>
  <c r="AW153" i="2" s="1"/>
  <c r="AV173" i="2"/>
  <c r="AW173" i="2" s="1"/>
  <c r="AV125" i="2"/>
  <c r="AW125" i="2" s="1"/>
  <c r="AV162" i="2"/>
  <c r="AW162" i="2" s="1"/>
  <c r="K194" i="2"/>
  <c r="AV197" i="2"/>
  <c r="AW197" i="2" s="1"/>
  <c r="AV38" i="2"/>
  <c r="AW38" i="2" s="1"/>
  <c r="AV136" i="2"/>
  <c r="AW136" i="2" s="1"/>
  <c r="AV169" i="2"/>
  <c r="AW169" i="2" s="1"/>
  <c r="AV191" i="2"/>
  <c r="AW191" i="2" s="1"/>
  <c r="AV29" i="2"/>
  <c r="AW29" i="2" s="1"/>
  <c r="AV151" i="2"/>
  <c r="AW151" i="2" s="1"/>
  <c r="AV168" i="2"/>
  <c r="AW168" i="2" s="1"/>
  <c r="AV176" i="2"/>
  <c r="AW176" i="2" s="1"/>
  <c r="AV150" i="2"/>
  <c r="AW150" i="2" s="1"/>
  <c r="AV159" i="2"/>
  <c r="AW159" i="2" s="1"/>
  <c r="AV44" i="2"/>
  <c r="AW44" i="2" s="1"/>
  <c r="K130" i="2"/>
  <c r="AV175" i="2"/>
  <c r="AW175" i="2" s="1"/>
  <c r="AV202" i="2"/>
  <c r="AW202" i="2" s="1"/>
  <c r="AV36" i="2"/>
  <c r="AW36" i="2" s="1"/>
  <c r="AV134" i="2"/>
  <c r="AW134" i="2" s="1"/>
  <c r="AV149" i="2"/>
  <c r="AW149" i="2" s="1"/>
  <c r="AV158" i="2"/>
  <c r="AW158" i="2" s="1"/>
  <c r="AV133" i="2"/>
  <c r="AW133" i="2" s="1"/>
  <c r="AV174" i="2"/>
  <c r="AW174" i="2" s="1"/>
  <c r="AV189" i="2"/>
  <c r="AW189" i="2" s="1"/>
  <c r="AV33" i="2"/>
  <c r="AW33" i="2" s="1"/>
  <c r="AV156" i="2"/>
  <c r="AW156" i="2" s="1"/>
  <c r="AV171" i="2"/>
  <c r="AW171" i="2" s="1"/>
  <c r="AV186" i="2"/>
  <c r="AW186" i="2" s="1"/>
  <c r="AV31" i="2"/>
  <c r="AW31" i="2" s="1"/>
  <c r="AV40" i="2"/>
  <c r="AW40" i="2" s="1"/>
  <c r="AV138" i="2"/>
  <c r="AW138" i="2" s="1"/>
  <c r="AV145" i="2"/>
  <c r="AW145" i="2" s="1"/>
  <c r="AV154" i="2"/>
  <c r="AW154" i="2" s="1"/>
  <c r="AV163" i="2"/>
  <c r="AW163" i="2" s="1"/>
  <c r="K202" i="2"/>
  <c r="AV30" i="2"/>
  <c r="AW30" i="2" s="1"/>
  <c r="AV152" i="2"/>
  <c r="AW152" i="2" s="1"/>
  <c r="AV187" i="2"/>
  <c r="AW187" i="2" s="1"/>
  <c r="AV201" i="2"/>
  <c r="AW201" i="2" s="1"/>
  <c r="AV21" i="2"/>
  <c r="AW21" i="2" s="1"/>
  <c r="AV22" i="2"/>
  <c r="AW22" i="2" s="1"/>
  <c r="AV24" i="2"/>
  <c r="AW24" i="2" s="1"/>
  <c r="AV26" i="2"/>
  <c r="AW26" i="2" s="1"/>
  <c r="AV28" i="2"/>
  <c r="AW28" i="2" s="1"/>
  <c r="AV147" i="2"/>
  <c r="AW147" i="2" s="1"/>
  <c r="AV178" i="2"/>
  <c r="AW178" i="2" s="1"/>
  <c r="AV179" i="2"/>
  <c r="AW179" i="2" s="1"/>
  <c r="AV180" i="2"/>
  <c r="AW180" i="2" s="1"/>
  <c r="AV181" i="2"/>
  <c r="AW181" i="2" s="1"/>
  <c r="AV184" i="2"/>
  <c r="AW184" i="2" s="1"/>
  <c r="AV200" i="2"/>
  <c r="AW200" i="2" s="1"/>
  <c r="AV20" i="2"/>
  <c r="AW20" i="2" s="1"/>
  <c r="AV23" i="2"/>
  <c r="AW23" i="2" s="1"/>
  <c r="AV27" i="2"/>
  <c r="AW27" i="2" s="1"/>
  <c r="AV146" i="2"/>
  <c r="AW146" i="2" s="1"/>
  <c r="AV182" i="2"/>
  <c r="AW182" i="2" s="1"/>
  <c r="AV183" i="2"/>
  <c r="AW183" i="2" s="1"/>
  <c r="AV199" i="2"/>
  <c r="AW199" i="2" s="1"/>
  <c r="AV17" i="2"/>
  <c r="AW17" i="2" s="1"/>
  <c r="AV18" i="2"/>
  <c r="AW18" i="2" s="1"/>
  <c r="AV137" i="2"/>
  <c r="AW137" i="2" s="1"/>
  <c r="AV144" i="2"/>
  <c r="AW144" i="2" s="1"/>
  <c r="AV15" i="2"/>
  <c r="AW15" i="2" s="1"/>
  <c r="AV16" i="2"/>
  <c r="AW16" i="2" s="1"/>
  <c r="AV135" i="2"/>
  <c r="AW135" i="2" s="1"/>
  <c r="AV139" i="2"/>
  <c r="AW139" i="2" s="1"/>
  <c r="AV140" i="2"/>
  <c r="AW140" i="2" s="1"/>
  <c r="AV143" i="2"/>
  <c r="AW143" i="2" s="1"/>
  <c r="AV172" i="2"/>
  <c r="AW172" i="2" s="1"/>
  <c r="AV195" i="2"/>
  <c r="AW195" i="2" s="1"/>
  <c r="H136" i="2"/>
  <c r="AV141" i="2"/>
  <c r="AW141" i="2" s="1"/>
  <c r="AV142" i="2"/>
  <c r="AW142" i="2" s="1"/>
  <c r="AV53" i="2"/>
  <c r="AW53" i="2" s="1"/>
  <c r="AV170" i="2"/>
  <c r="AW170" i="2" s="1"/>
  <c r="AV193" i="2"/>
  <c r="AW193" i="2" s="1"/>
  <c r="AV51" i="2"/>
  <c r="AW51" i="2" s="1"/>
  <c r="AV52" i="2"/>
  <c r="AW52" i="2" s="1"/>
  <c r="AV132" i="2"/>
  <c r="AW132" i="2" s="1"/>
  <c r="AV129" i="2"/>
  <c r="AW129" i="2" s="1"/>
  <c r="AV167" i="2"/>
  <c r="AW167" i="2" s="1"/>
  <c r="AV49" i="2"/>
  <c r="AW49" i="2" s="1"/>
  <c r="AV118" i="2"/>
  <c r="AW118" i="2" s="1"/>
  <c r="AV127" i="2"/>
  <c r="AW127" i="2" s="1"/>
  <c r="AV128" i="2"/>
  <c r="AW128" i="2" s="1"/>
  <c r="AV192" i="2"/>
  <c r="AW192" i="2" s="1"/>
  <c r="AV41" i="2"/>
  <c r="AW41" i="2" s="1"/>
  <c r="AV42" i="2"/>
  <c r="AW42" i="2" s="1"/>
  <c r="AV45" i="2"/>
  <c r="AW45" i="2" s="1"/>
  <c r="AV46" i="2"/>
  <c r="AW46" i="2" s="1"/>
  <c r="AV48" i="2"/>
  <c r="AW48" i="2" s="1"/>
  <c r="AV119" i="2"/>
  <c r="AW119" i="2" s="1"/>
  <c r="AV122" i="2"/>
  <c r="AW122" i="2" s="1"/>
  <c r="AV123" i="2"/>
  <c r="AW123" i="2" s="1"/>
  <c r="AV126" i="2"/>
  <c r="AW126" i="2" s="1"/>
  <c r="AV37" i="2"/>
  <c r="AW37" i="2" s="1"/>
  <c r="AV39" i="2"/>
  <c r="AW39" i="2" s="1"/>
  <c r="AV157" i="2"/>
  <c r="AW157" i="2" s="1"/>
  <c r="AV160" i="2"/>
  <c r="AW160" i="2" s="1"/>
  <c r="AV161" i="2"/>
  <c r="AW161" i="2" s="1"/>
  <c r="AV164" i="2"/>
  <c r="AW164" i="2" s="1"/>
  <c r="AV190" i="2"/>
  <c r="AW190" i="2" s="1"/>
  <c r="AC193" i="2"/>
  <c r="AD201" i="2"/>
  <c r="AD203" i="2"/>
  <c r="AD187" i="2"/>
  <c r="AD191" i="2"/>
  <c r="AD192" i="2"/>
  <c r="AD173" i="2"/>
  <c r="AD193" i="2"/>
  <c r="AD176" i="2"/>
  <c r="AD195" i="2"/>
  <c r="AD177" i="2"/>
  <c r="L201" i="2" l="1"/>
  <c r="L183" i="2"/>
  <c r="L173" i="2"/>
  <c r="L163" i="2"/>
  <c r="L154" i="2"/>
  <c r="L145" i="2"/>
  <c r="L136" i="2"/>
  <c r="L127" i="2"/>
  <c r="L88" i="2"/>
  <c r="Q88" i="2" s="1"/>
  <c r="L78" i="2"/>
  <c r="Q78" i="2" s="1"/>
  <c r="L60" i="2"/>
  <c r="L42" i="2"/>
  <c r="L23" i="2"/>
  <c r="L192" i="2"/>
  <c r="L117" i="2"/>
  <c r="L107" i="2"/>
  <c r="L97" i="2"/>
  <c r="L69" i="2"/>
  <c r="L51" i="2"/>
  <c r="L32" i="2"/>
  <c r="L200" i="2"/>
  <c r="L182" i="2"/>
  <c r="L172" i="2"/>
  <c r="L162" i="2"/>
  <c r="L135" i="2"/>
  <c r="L87" i="2"/>
  <c r="Q87" i="2" s="1"/>
  <c r="L77" i="2"/>
  <c r="Q77" i="2" s="1"/>
  <c r="L59" i="2"/>
  <c r="L41" i="2"/>
  <c r="L22" i="2"/>
  <c r="L191" i="2"/>
  <c r="L153" i="2"/>
  <c r="L144" i="2"/>
  <c r="L126" i="2"/>
  <c r="L116" i="2"/>
  <c r="L106" i="2"/>
  <c r="L96" i="2"/>
  <c r="L68" i="2"/>
  <c r="L50" i="2"/>
  <c r="L31" i="2"/>
  <c r="L199" i="2"/>
  <c r="L181" i="2"/>
  <c r="L171" i="2"/>
  <c r="L134" i="2"/>
  <c r="L86" i="2"/>
  <c r="Q86" i="2" s="1"/>
  <c r="L76" i="2"/>
  <c r="Q76" i="2" s="1"/>
  <c r="L58" i="2"/>
  <c r="L40" i="2"/>
  <c r="L21" i="2"/>
  <c r="L190" i="2"/>
  <c r="L161" i="2"/>
  <c r="L152" i="2"/>
  <c r="L143" i="2"/>
  <c r="L125" i="2"/>
  <c r="L115" i="2"/>
  <c r="L105" i="2"/>
  <c r="L95" i="2"/>
  <c r="Q95" i="2" s="1"/>
  <c r="L67" i="2"/>
  <c r="L198" i="2"/>
  <c r="L180" i="2"/>
  <c r="L170" i="2"/>
  <c r="L133" i="2"/>
  <c r="L85" i="2"/>
  <c r="Q85" i="2" s="1"/>
  <c r="L49" i="2"/>
  <c r="L39" i="2"/>
  <c r="L30" i="2"/>
  <c r="L20" i="2"/>
  <c r="L189" i="2"/>
  <c r="L160" i="2"/>
  <c r="L151" i="2"/>
  <c r="L142" i="2"/>
  <c r="L124" i="2"/>
  <c r="L114" i="2"/>
  <c r="L104" i="2"/>
  <c r="L94" i="2"/>
  <c r="Q94" i="2" s="1"/>
  <c r="L75" i="2"/>
  <c r="L66" i="2"/>
  <c r="L57" i="2"/>
  <c r="L197" i="2"/>
  <c r="L179" i="2"/>
  <c r="L169" i="2"/>
  <c r="L84" i="2"/>
  <c r="Q84" i="2" s="1"/>
  <c r="L48" i="2"/>
  <c r="L38" i="2"/>
  <c r="L29" i="2"/>
  <c r="L19" i="2"/>
  <c r="L159" i="2"/>
  <c r="L141" i="2"/>
  <c r="L132" i="2"/>
  <c r="L123" i="2"/>
  <c r="L113" i="2"/>
  <c r="L103" i="2"/>
  <c r="L93" i="2"/>
  <c r="Q93" i="2" s="1"/>
  <c r="L74" i="2"/>
  <c r="L65" i="2"/>
  <c r="L56" i="2"/>
  <c r="L188" i="2"/>
  <c r="L178" i="2"/>
  <c r="L168" i="2"/>
  <c r="L150" i="2"/>
  <c r="L83" i="2"/>
  <c r="Q83" i="2" s="1"/>
  <c r="L47" i="2"/>
  <c r="L37" i="2"/>
  <c r="L28" i="2"/>
  <c r="L18" i="2"/>
  <c r="L196" i="2"/>
  <c r="L158" i="2"/>
  <c r="L140" i="2"/>
  <c r="L131" i="2"/>
  <c r="L122" i="2"/>
  <c r="L112" i="2"/>
  <c r="L102" i="2"/>
  <c r="L92" i="2"/>
  <c r="Q92" i="2" s="1"/>
  <c r="L187" i="2"/>
  <c r="L177" i="2"/>
  <c r="L167" i="2"/>
  <c r="L149" i="2"/>
  <c r="L82" i="2"/>
  <c r="Q82" i="2" s="1"/>
  <c r="L73" i="2"/>
  <c r="L64" i="2"/>
  <c r="L55" i="2"/>
  <c r="L46" i="2"/>
  <c r="L36" i="2"/>
  <c r="L27" i="2"/>
  <c r="L157" i="2"/>
  <c r="L139" i="2"/>
  <c r="L130" i="2"/>
  <c r="L121" i="2"/>
  <c r="L111" i="2"/>
  <c r="L101" i="2"/>
  <c r="L91" i="2"/>
  <c r="Q91" i="2" s="1"/>
  <c r="L17" i="2"/>
  <c r="L195" i="2"/>
  <c r="L186" i="2"/>
  <c r="L176" i="2"/>
  <c r="L166" i="2"/>
  <c r="L148" i="2"/>
  <c r="L81" i="2"/>
  <c r="Q81" i="2" s="1"/>
  <c r="L72" i="2"/>
  <c r="L63" i="2"/>
  <c r="L54" i="2"/>
  <c r="L45" i="2"/>
  <c r="L26" i="2"/>
  <c r="L16" i="2"/>
  <c r="L203" i="2"/>
  <c r="L156" i="2"/>
  <c r="L138" i="2"/>
  <c r="L120" i="2"/>
  <c r="L110" i="2"/>
  <c r="L100" i="2"/>
  <c r="L90" i="2"/>
  <c r="Q90" i="2" s="1"/>
  <c r="L35" i="2"/>
  <c r="L194" i="2"/>
  <c r="L185" i="2"/>
  <c r="L175" i="2"/>
  <c r="L165" i="2"/>
  <c r="L147" i="2"/>
  <c r="L129" i="2"/>
  <c r="L80" i="2"/>
  <c r="Q80" i="2" s="1"/>
  <c r="L71" i="2"/>
  <c r="L62" i="2"/>
  <c r="L53" i="2"/>
  <c r="L44" i="2"/>
  <c r="L25" i="2"/>
  <c r="L202" i="2"/>
  <c r="L119" i="2"/>
  <c r="L109" i="2"/>
  <c r="L99" i="2"/>
  <c r="L89" i="2"/>
  <c r="Q89" i="2" s="1"/>
  <c r="L34" i="2"/>
  <c r="L15" i="2"/>
  <c r="L184" i="2"/>
  <c r="L174" i="2"/>
  <c r="L164" i="2"/>
  <c r="L155" i="2"/>
  <c r="L146" i="2"/>
  <c r="L137" i="2"/>
  <c r="L128" i="2"/>
  <c r="L79" i="2"/>
  <c r="Q79" i="2" s="1"/>
  <c r="L61" i="2"/>
  <c r="L43" i="2"/>
  <c r="L24" i="2"/>
  <c r="L193" i="2"/>
  <c r="L118" i="2"/>
  <c r="L108" i="2"/>
  <c r="L98" i="2"/>
  <c r="L70" i="2"/>
  <c r="L52" i="2"/>
  <c r="L33" i="2"/>
  <c r="AC209" i="2"/>
  <c r="AY208" i="2"/>
  <c r="H208" i="2" s="1"/>
  <c r="AC208" i="2"/>
  <c r="AY207" i="2"/>
  <c r="H207" i="2" s="1"/>
  <c r="AC206" i="2"/>
  <c r="B205" i="2"/>
  <c r="B204" i="2"/>
  <c r="AY209" i="2"/>
  <c r="H209" i="2" s="1"/>
  <c r="AY206" i="2"/>
  <c r="H206" i="2" s="1"/>
  <c r="AY205" i="2"/>
  <c r="H205" i="2" s="1"/>
  <c r="B206" i="2"/>
  <c r="I209" i="2"/>
  <c r="I207" i="2"/>
  <c r="I205" i="2"/>
  <c r="I204" i="2"/>
  <c r="AX209" i="2"/>
  <c r="E209" i="2" s="1"/>
  <c r="AU209" i="2"/>
  <c r="AT209" i="2"/>
  <c r="K209" i="2" s="1"/>
  <c r="AQ209" i="2"/>
  <c r="AP209" i="2"/>
  <c r="AO209" i="2"/>
  <c r="AN209" i="2"/>
  <c r="AM209" i="2"/>
  <c r="AL209" i="2"/>
  <c r="AK209" i="2"/>
  <c r="AJ209" i="2"/>
  <c r="AI209" i="2"/>
  <c r="AH209" i="2"/>
  <c r="AG209" i="2"/>
  <c r="AF209" i="2"/>
  <c r="AE209" i="2"/>
  <c r="AD209" i="2"/>
  <c r="AB209" i="2"/>
  <c r="AA209" i="2"/>
  <c r="Z209" i="2"/>
  <c r="V209" i="2"/>
  <c r="U209" i="2"/>
  <c r="T209" i="2"/>
  <c r="S209" i="2"/>
  <c r="R209" i="2"/>
  <c r="Q209" i="2"/>
  <c r="P209" i="2"/>
  <c r="O209" i="2"/>
  <c r="N209" i="2"/>
  <c r="M209" i="2"/>
  <c r="G209" i="2"/>
  <c r="F209" i="2"/>
  <c r="D209" i="2"/>
  <c r="B209" i="2"/>
  <c r="AU208" i="2"/>
  <c r="AT208" i="2"/>
  <c r="K208" i="2" s="1"/>
  <c r="AQ208" i="2"/>
  <c r="AP208" i="2"/>
  <c r="AO208" i="2"/>
  <c r="AN208" i="2"/>
  <c r="AM208" i="2"/>
  <c r="AL208" i="2"/>
  <c r="AK208" i="2"/>
  <c r="AJ208" i="2"/>
  <c r="AI208" i="2"/>
  <c r="AH208" i="2"/>
  <c r="AG208" i="2"/>
  <c r="AF208" i="2"/>
  <c r="AE208" i="2"/>
  <c r="AD208" i="2"/>
  <c r="AB208" i="2"/>
  <c r="AA208" i="2"/>
  <c r="Z208" i="2"/>
  <c r="V208" i="2"/>
  <c r="U208" i="2"/>
  <c r="T208" i="2"/>
  <c r="S208" i="2"/>
  <c r="R208" i="2"/>
  <c r="Q208" i="2"/>
  <c r="P208" i="2"/>
  <c r="O208" i="2"/>
  <c r="N208" i="2"/>
  <c r="M208" i="2"/>
  <c r="I208" i="2"/>
  <c r="G208" i="2"/>
  <c r="F208" i="2"/>
  <c r="D208" i="2"/>
  <c r="B208" i="2"/>
  <c r="AU207" i="2"/>
  <c r="AT207" i="2"/>
  <c r="K207" i="2" s="1"/>
  <c r="AQ207" i="2"/>
  <c r="AP207" i="2"/>
  <c r="AO207" i="2"/>
  <c r="AN207" i="2"/>
  <c r="AM207" i="2"/>
  <c r="AL207" i="2"/>
  <c r="AK207" i="2"/>
  <c r="AJ207" i="2"/>
  <c r="AI207" i="2"/>
  <c r="AH207" i="2"/>
  <c r="AG207" i="2"/>
  <c r="AF207" i="2"/>
  <c r="AE207" i="2"/>
  <c r="AD207" i="2"/>
  <c r="AC207" i="2"/>
  <c r="AB207" i="2"/>
  <c r="AA207" i="2"/>
  <c r="Z207" i="2"/>
  <c r="V207" i="2"/>
  <c r="U207" i="2"/>
  <c r="T207" i="2"/>
  <c r="S207" i="2"/>
  <c r="R207" i="2"/>
  <c r="Q207" i="2"/>
  <c r="P207" i="2"/>
  <c r="O207" i="2"/>
  <c r="N207" i="2"/>
  <c r="M207" i="2"/>
  <c r="G207" i="2"/>
  <c r="F207" i="2"/>
  <c r="D207" i="2"/>
  <c r="B207" i="2"/>
  <c r="AX206" i="2"/>
  <c r="E206" i="2" s="1"/>
  <c r="AU206" i="2"/>
  <c r="AT206" i="2"/>
  <c r="K206" i="2" s="1"/>
  <c r="AQ206" i="2"/>
  <c r="AP206" i="2"/>
  <c r="AO206" i="2"/>
  <c r="AN206" i="2"/>
  <c r="AM206" i="2"/>
  <c r="AL206" i="2"/>
  <c r="AK206" i="2"/>
  <c r="AJ206" i="2"/>
  <c r="AI206" i="2"/>
  <c r="AH206" i="2"/>
  <c r="AG206" i="2"/>
  <c r="AF206" i="2"/>
  <c r="AE206" i="2"/>
  <c r="AD206" i="2"/>
  <c r="AB206" i="2"/>
  <c r="AA206" i="2"/>
  <c r="Z206" i="2"/>
  <c r="V206" i="2"/>
  <c r="U206" i="2"/>
  <c r="T206" i="2"/>
  <c r="S206" i="2"/>
  <c r="R206" i="2"/>
  <c r="Q206" i="2"/>
  <c r="P206" i="2"/>
  <c r="O206" i="2"/>
  <c r="N206" i="2"/>
  <c r="M206" i="2"/>
  <c r="I206" i="2"/>
  <c r="G206" i="2"/>
  <c r="F206" i="2"/>
  <c r="D206" i="2"/>
  <c r="AU205" i="2"/>
  <c r="AT205" i="2"/>
  <c r="K205" i="2" s="1"/>
  <c r="AQ205" i="2"/>
  <c r="AP205" i="2"/>
  <c r="AO205" i="2"/>
  <c r="AN205" i="2"/>
  <c r="AM205" i="2"/>
  <c r="AL205" i="2"/>
  <c r="AK205" i="2"/>
  <c r="AJ205" i="2"/>
  <c r="AI205" i="2"/>
  <c r="AH205" i="2"/>
  <c r="AG205" i="2"/>
  <c r="AF205" i="2"/>
  <c r="AE205" i="2"/>
  <c r="AD205" i="2"/>
  <c r="AB205" i="2"/>
  <c r="AA205" i="2"/>
  <c r="Z205" i="2"/>
  <c r="V205" i="2"/>
  <c r="U205" i="2"/>
  <c r="T205" i="2"/>
  <c r="S205" i="2"/>
  <c r="R205" i="2"/>
  <c r="Q205" i="2"/>
  <c r="P205" i="2"/>
  <c r="O205" i="2"/>
  <c r="N205" i="2"/>
  <c r="M205" i="2"/>
  <c r="G205" i="2"/>
  <c r="F205" i="2"/>
  <c r="D205" i="2"/>
  <c r="AY204" i="2"/>
  <c r="H204" i="2" s="1"/>
  <c r="AX204" i="2"/>
  <c r="E204" i="2" s="1"/>
  <c r="AU204" i="2"/>
  <c r="AT204" i="2"/>
  <c r="K204" i="2" s="1"/>
  <c r="AQ204" i="2"/>
  <c r="AP204" i="2"/>
  <c r="AO204" i="2"/>
  <c r="AN204" i="2"/>
  <c r="AM204" i="2"/>
  <c r="AL204" i="2"/>
  <c r="AK204" i="2"/>
  <c r="AJ204" i="2"/>
  <c r="AI204" i="2"/>
  <c r="AH204" i="2"/>
  <c r="AG204" i="2"/>
  <c r="AF204" i="2"/>
  <c r="AE204" i="2"/>
  <c r="AD204" i="2"/>
  <c r="AB204" i="2"/>
  <c r="AA204" i="2"/>
  <c r="Z204" i="2"/>
  <c r="V204" i="2"/>
  <c r="U204" i="2"/>
  <c r="T204" i="2"/>
  <c r="S204" i="2"/>
  <c r="R204" i="2"/>
  <c r="Q204" i="2"/>
  <c r="P204" i="2"/>
  <c r="O204" i="2"/>
  <c r="N204" i="2"/>
  <c r="M204" i="2"/>
  <c r="G204" i="2"/>
  <c r="F204" i="2"/>
  <c r="D204" i="2"/>
  <c r="AV209" i="2" l="1"/>
  <c r="AW209" i="2" s="1"/>
  <c r="AV207" i="2"/>
  <c r="AW207" i="2" s="1"/>
  <c r="AV208" i="2"/>
  <c r="AW208" i="2" s="1"/>
  <c r="AV206" i="2"/>
  <c r="AW206" i="2" s="1"/>
  <c r="AX208" i="2"/>
  <c r="E208" i="2" s="1"/>
  <c r="AX207" i="2"/>
  <c r="E207" i="2" s="1"/>
  <c r="AV205" i="2"/>
  <c r="AW205" i="2" s="1"/>
  <c r="AV204" i="2"/>
  <c r="AW204" i="2" s="1"/>
  <c r="AX205" i="2"/>
  <c r="E205" i="2" s="1"/>
  <c r="AC204" i="2"/>
  <c r="AC205" i="2"/>
  <c r="L206" i="2" l="1"/>
  <c r="L205" i="2"/>
  <c r="L204" i="2"/>
  <c r="L207" i="2"/>
  <c r="L209" i="2"/>
  <c r="L208" i="2"/>
  <c r="V216" i="2" l="1"/>
  <c r="U216" i="2"/>
  <c r="V215" i="2"/>
  <c r="U215" i="2"/>
  <c r="V214" i="2"/>
  <c r="U214" i="2"/>
  <c r="V213" i="2"/>
  <c r="U213" i="2"/>
  <c r="V212" i="2"/>
  <c r="U212" i="2"/>
  <c r="V211" i="2"/>
  <c r="U211" i="2"/>
  <c r="V210" i="2"/>
  <c r="U210" i="2"/>
  <c r="V14" i="2"/>
  <c r="U14" i="2"/>
  <c r="T216" i="2"/>
  <c r="T215" i="2"/>
  <c r="T214" i="2"/>
  <c r="T213" i="2"/>
  <c r="T212" i="2"/>
  <c r="T211" i="2"/>
  <c r="T210" i="2"/>
  <c r="T14" i="2"/>
  <c r="S216" i="2"/>
  <c r="S215" i="2"/>
  <c r="S214" i="2"/>
  <c r="S213" i="2"/>
  <c r="S212" i="2"/>
  <c r="S211" i="2"/>
  <c r="S210" i="2"/>
  <c r="S14" i="2"/>
  <c r="R216" i="2"/>
  <c r="R215" i="2"/>
  <c r="R214" i="2"/>
  <c r="R213" i="2"/>
  <c r="R212" i="2"/>
  <c r="R211" i="2"/>
  <c r="R210" i="2"/>
  <c r="R14" i="2"/>
  <c r="Z216" i="2" l="1"/>
  <c r="Z215" i="2"/>
  <c r="Z214" i="2"/>
  <c r="Z213" i="2"/>
  <c r="Z212" i="2"/>
  <c r="Z211" i="2"/>
  <c r="Z210" i="2"/>
  <c r="Z14" i="2"/>
  <c r="Q216" i="2" l="1"/>
  <c r="Q215" i="2"/>
  <c r="Q214" i="2"/>
  <c r="Q213" i="2"/>
  <c r="Q212" i="2"/>
  <c r="Q211" i="2"/>
  <c r="Q210" i="2"/>
  <c r="Q14" i="2"/>
  <c r="AA216" i="2" l="1"/>
  <c r="AA215" i="2"/>
  <c r="AA214" i="2"/>
  <c r="AA213" i="2"/>
  <c r="AA212" i="2"/>
  <c r="AA211" i="2"/>
  <c r="AA210" i="2"/>
  <c r="AA14" i="2"/>
  <c r="AY12" i="2" l="1"/>
  <c r="L216" i="2" l="1"/>
  <c r="L215" i="2"/>
  <c r="L214" i="2"/>
  <c r="L213" i="2"/>
  <c r="L212" i="2"/>
  <c r="L211" i="2"/>
  <c r="L210" i="2"/>
  <c r="L14" i="2"/>
  <c r="M216" i="2"/>
  <c r="AF216" i="2"/>
  <c r="AF215" i="2"/>
  <c r="AF214" i="2"/>
  <c r="AF213" i="2"/>
  <c r="AF212" i="2"/>
  <c r="AF211" i="2"/>
  <c r="AF210" i="2"/>
  <c r="AF14" i="2"/>
  <c r="AM216" i="2"/>
  <c r="AL216" i="2"/>
  <c r="AK216" i="2"/>
  <c r="AJ216" i="2"/>
  <c r="AI216" i="2"/>
  <c r="AH216" i="2"/>
  <c r="AG216" i="2"/>
  <c r="AE216" i="2"/>
  <c r="AD216" i="2"/>
  <c r="AM215" i="2"/>
  <c r="AL215" i="2"/>
  <c r="AK215" i="2"/>
  <c r="AJ215" i="2"/>
  <c r="AI215" i="2"/>
  <c r="AH215" i="2"/>
  <c r="AG215" i="2"/>
  <c r="AE215" i="2"/>
  <c r="AD215" i="2"/>
  <c r="AM214" i="2"/>
  <c r="AL214" i="2"/>
  <c r="AK214" i="2"/>
  <c r="AJ214" i="2"/>
  <c r="AI214" i="2"/>
  <c r="AH214" i="2"/>
  <c r="AG214" i="2"/>
  <c r="AE214" i="2"/>
  <c r="AD214" i="2"/>
  <c r="AM213" i="2"/>
  <c r="AL213" i="2"/>
  <c r="AK213" i="2"/>
  <c r="AJ213" i="2"/>
  <c r="AI213" i="2"/>
  <c r="AH213" i="2"/>
  <c r="AG213" i="2"/>
  <c r="AE213" i="2"/>
  <c r="AD213" i="2"/>
  <c r="AM212" i="2"/>
  <c r="AL212" i="2"/>
  <c r="AK212" i="2"/>
  <c r="AJ212" i="2"/>
  <c r="AI212" i="2"/>
  <c r="AH212" i="2"/>
  <c r="AG212" i="2"/>
  <c r="AE212" i="2"/>
  <c r="AD212" i="2"/>
  <c r="AM211" i="2"/>
  <c r="AL211" i="2"/>
  <c r="AK211" i="2"/>
  <c r="AJ211" i="2"/>
  <c r="AI211" i="2"/>
  <c r="AH211" i="2"/>
  <c r="AG211" i="2"/>
  <c r="AE211" i="2"/>
  <c r="AD211" i="2"/>
  <c r="AM210" i="2"/>
  <c r="AL210" i="2"/>
  <c r="AK210" i="2"/>
  <c r="AJ210" i="2"/>
  <c r="AI210" i="2"/>
  <c r="AH210" i="2"/>
  <c r="AG210" i="2"/>
  <c r="AE210" i="2"/>
  <c r="AD210" i="2"/>
  <c r="AM14" i="2"/>
  <c r="AL14" i="2"/>
  <c r="AK14" i="2"/>
  <c r="AJ14" i="2"/>
  <c r="AI14" i="2"/>
  <c r="AH14" i="2"/>
  <c r="AG14" i="2"/>
  <c r="AE14" i="2"/>
  <c r="AD14" i="2"/>
  <c r="M14" i="2" l="1"/>
  <c r="M211" i="2"/>
  <c r="M212" i="2"/>
  <c r="M210" i="2"/>
  <c r="M213" i="2"/>
  <c r="M214" i="2"/>
  <c r="M215" i="2"/>
  <c r="AB216" i="2"/>
  <c r="AB215" i="2"/>
  <c r="AB214" i="2"/>
  <c r="AB213" i="2"/>
  <c r="AB212" i="2"/>
  <c r="AB211" i="2"/>
  <c r="AB210" i="2"/>
  <c r="AB14" i="2"/>
  <c r="AT216" i="2" l="1"/>
  <c r="G216" i="2"/>
  <c r="AT215" i="2"/>
  <c r="G215" i="2"/>
  <c r="AT214" i="2"/>
  <c r="G214" i="2"/>
  <c r="AT213" i="2"/>
  <c r="G213" i="2"/>
  <c r="AT212" i="2"/>
  <c r="G212" i="2"/>
  <c r="AT211" i="2"/>
  <c r="G211" i="2"/>
  <c r="AT210" i="2"/>
  <c r="G210" i="2"/>
  <c r="AT14" i="2"/>
  <c r="G14" i="2"/>
  <c r="B216" i="2"/>
  <c r="B215" i="2"/>
  <c r="N216" i="2"/>
  <c r="N215" i="2"/>
  <c r="N214" i="2"/>
  <c r="N213" i="2"/>
  <c r="N212" i="2"/>
  <c r="N211" i="2"/>
  <c r="N210" i="2"/>
  <c r="N14" i="2"/>
  <c r="AC216" i="2" l="1"/>
  <c r="AC215" i="2"/>
  <c r="AC214" i="2"/>
  <c r="AC213" i="2"/>
  <c r="AC212" i="2"/>
  <c r="AC211" i="2"/>
  <c r="AC210" i="2"/>
  <c r="AC14" i="2"/>
  <c r="B214" i="2" l="1"/>
  <c r="B213" i="2"/>
  <c r="B212" i="2"/>
  <c r="B211" i="2"/>
  <c r="B210" i="2"/>
  <c r="B14" i="2"/>
  <c r="D13" i="1"/>
  <c r="BF96" i="2" l="1"/>
  <c r="BF86" i="2"/>
  <c r="BF95" i="2"/>
  <c r="BF85" i="2"/>
  <c r="BF94" i="2"/>
  <c r="BF84" i="2"/>
  <c r="BF93" i="2"/>
  <c r="BF83" i="2"/>
  <c r="BF92" i="2"/>
  <c r="BF82" i="2"/>
  <c r="BF91" i="2"/>
  <c r="BF81" i="2"/>
  <c r="BF90" i="2"/>
  <c r="BF80" i="2"/>
  <c r="BF89" i="2"/>
  <c r="BF99" i="2"/>
  <c r="BF98" i="2"/>
  <c r="BF88" i="2"/>
  <c r="BF97" i="2"/>
  <c r="BF87" i="2"/>
  <c r="O216" i="2"/>
  <c r="O215" i="2"/>
  <c r="O214" i="2"/>
  <c r="O213" i="2"/>
  <c r="O212" i="2"/>
  <c r="O211" i="2"/>
  <c r="O210" i="2"/>
  <c r="O14" i="2"/>
  <c r="O99" i="2" l="1"/>
  <c r="I99" i="2"/>
  <c r="O98" i="2"/>
  <c r="I98" i="2"/>
  <c r="O97" i="2"/>
  <c r="I97" i="2"/>
  <c r="O96" i="2"/>
  <c r="I96" i="2"/>
  <c r="O86" i="2"/>
  <c r="I86" i="2"/>
  <c r="I79" i="2"/>
  <c r="O79" i="2"/>
  <c r="O85" i="2"/>
  <c r="I85" i="2"/>
  <c r="I78" i="2"/>
  <c r="O78" i="2"/>
  <c r="O82" i="2"/>
  <c r="I82" i="2"/>
  <c r="O92" i="2"/>
  <c r="I92" i="2"/>
  <c r="O76" i="2"/>
  <c r="I76" i="2"/>
  <c r="O88" i="2"/>
  <c r="I88" i="2"/>
  <c r="O83" i="2"/>
  <c r="I83" i="2"/>
  <c r="I77" i="2"/>
  <c r="O77" i="2"/>
  <c r="O90" i="2"/>
  <c r="I90" i="2"/>
  <c r="O81" i="2"/>
  <c r="I81" i="2"/>
  <c r="O93" i="2"/>
  <c r="I93" i="2"/>
  <c r="O95" i="2"/>
  <c r="I95" i="2"/>
  <c r="O89" i="2"/>
  <c r="I89" i="2"/>
  <c r="O84" i="2"/>
  <c r="I84" i="2"/>
  <c r="O87" i="2"/>
  <c r="I87" i="2"/>
  <c r="O80" i="2"/>
  <c r="I80" i="2"/>
  <c r="O91" i="2"/>
  <c r="I91" i="2"/>
  <c r="O94" i="2"/>
  <c r="I94" i="2"/>
  <c r="P216" i="2"/>
  <c r="P215" i="2"/>
  <c r="P214" i="2"/>
  <c r="P213" i="2"/>
  <c r="P212" i="2"/>
  <c r="P211" i="2"/>
  <c r="P210" i="2"/>
  <c r="P14" i="2"/>
  <c r="AN216" i="2" l="1"/>
  <c r="AN215" i="2"/>
  <c r="AN214" i="2"/>
  <c r="AN213" i="2"/>
  <c r="AN212" i="2"/>
  <c r="AN211" i="2"/>
  <c r="AN210" i="2"/>
  <c r="AN14" i="2"/>
  <c r="AO14" i="2" l="1"/>
  <c r="AO216" i="2" l="1"/>
  <c r="AO215" i="2"/>
  <c r="AO214" i="2"/>
  <c r="AO213" i="2"/>
  <c r="AO212" i="2"/>
  <c r="AO211" i="2"/>
  <c r="AO210" i="2"/>
  <c r="V9" i="1"/>
  <c r="U9" i="1"/>
  <c r="T9" i="1"/>
  <c r="S9" i="1"/>
  <c r="AP216" i="2" l="1"/>
  <c r="I216" i="2"/>
  <c r="F216" i="2"/>
  <c r="D216" i="2"/>
  <c r="AP215" i="2"/>
  <c r="I215" i="2"/>
  <c r="F215" i="2"/>
  <c r="D215" i="2"/>
  <c r="AP214" i="2"/>
  <c r="I214" i="2"/>
  <c r="F214" i="2"/>
  <c r="D214" i="2"/>
  <c r="AP213" i="2"/>
  <c r="I213" i="2"/>
  <c r="F213" i="2"/>
  <c r="D213" i="2"/>
  <c r="AP212" i="2"/>
  <c r="I212" i="2"/>
  <c r="F212" i="2"/>
  <c r="D212" i="2"/>
  <c r="AP211" i="2"/>
  <c r="I211" i="2"/>
  <c r="F211" i="2"/>
  <c r="D211" i="2"/>
  <c r="AP210" i="2"/>
  <c r="I210" i="2"/>
  <c r="F210" i="2"/>
  <c r="D210" i="2"/>
  <c r="AP14" i="2"/>
  <c r="I14" i="2"/>
  <c r="F14" i="2"/>
  <c r="D14" i="2"/>
  <c r="G2" i="1" l="1"/>
  <c r="G4" i="1" s="1"/>
  <c r="H4" i="1" s="1"/>
  <c r="R9" i="1" l="1"/>
  <c r="Q9" i="1"/>
  <c r="P9" i="1"/>
  <c r="O9" i="1"/>
  <c r="N9" i="1"/>
  <c r="K210" i="2" l="1"/>
  <c r="K211" i="2"/>
  <c r="K212" i="2"/>
  <c r="K213" i="2"/>
  <c r="K214" i="2"/>
  <c r="K215" i="2"/>
  <c r="K216" i="2"/>
  <c r="K14" i="2"/>
  <c r="AU210" i="2"/>
  <c r="AU211" i="2"/>
  <c r="AU212" i="2"/>
  <c r="AU213" i="2"/>
  <c r="AU214" i="2"/>
  <c r="AU215" i="2"/>
  <c r="AU216" i="2"/>
  <c r="AU14" i="2"/>
  <c r="AV210" i="2" l="1"/>
  <c r="AW210" i="2" s="1"/>
  <c r="AV211" i="2"/>
  <c r="AW211" i="2" s="1"/>
  <c r="AV212" i="2"/>
  <c r="AW212" i="2" s="1"/>
  <c r="AV213" i="2"/>
  <c r="AW213" i="2" s="1"/>
  <c r="AV214" i="2"/>
  <c r="AW214" i="2" s="1"/>
  <c r="AV215" i="2"/>
  <c r="AW215" i="2" s="1"/>
  <c r="AV216" i="2"/>
  <c r="AW216" i="2" s="1"/>
  <c r="AX210" i="2" l="1"/>
  <c r="E210" i="2" s="1"/>
  <c r="AX211" i="2"/>
  <c r="E211" i="2" s="1"/>
  <c r="AX212" i="2"/>
  <c r="E212" i="2" s="1"/>
  <c r="AX213" i="2"/>
  <c r="E213" i="2" s="1"/>
  <c r="AX214" i="2"/>
  <c r="E214" i="2" s="1"/>
  <c r="AX215" i="2"/>
  <c r="E215" i="2" s="1"/>
  <c r="AX216" i="2"/>
  <c r="E216" i="2" s="1"/>
  <c r="AX14" i="2"/>
  <c r="E14" i="2" s="1"/>
  <c r="M9" i="1"/>
  <c r="L9" i="1"/>
  <c r="AQ210" i="2"/>
  <c r="AQ211" i="2"/>
  <c r="AQ212" i="2"/>
  <c r="AQ213" i="2"/>
  <c r="AQ214" i="2"/>
  <c r="AQ215" i="2"/>
  <c r="AQ216" i="2"/>
  <c r="AQ14" i="2"/>
  <c r="AY210" i="2"/>
  <c r="H210" i="2" s="1"/>
  <c r="AY211" i="2"/>
  <c r="H211" i="2" s="1"/>
  <c r="AY212" i="2"/>
  <c r="H212" i="2" s="1"/>
  <c r="AY213" i="2"/>
  <c r="H213" i="2" s="1"/>
  <c r="AY214" i="2"/>
  <c r="H214" i="2" s="1"/>
  <c r="AY215" i="2"/>
  <c r="H215" i="2" s="1"/>
  <c r="AY216" i="2"/>
  <c r="H216" i="2" s="1"/>
  <c r="AY14" i="2"/>
  <c r="H14" i="2" s="1"/>
  <c r="K9" i="1"/>
  <c r="J9" i="1"/>
  <c r="I9" i="1"/>
  <c r="H9" i="1"/>
  <c r="G9" i="1"/>
  <c r="F9" i="1"/>
  <c r="AV14" i="2" l="1"/>
  <c r="AW14" i="2" l="1"/>
</calcChain>
</file>

<file path=xl/sharedStrings.xml><?xml version="1.0" encoding="utf-8"?>
<sst xmlns="http://schemas.openxmlformats.org/spreadsheetml/2006/main" count="2943" uniqueCount="1208">
  <si>
    <t>ResourceName</t>
  </si>
  <si>
    <t>CategoryNameProvider</t>
  </si>
  <si>
    <t>PinName</t>
  </si>
  <si>
    <t>SignalWireName</t>
  </si>
  <si>
    <t>SignalType</t>
  </si>
  <si>
    <t>Address</t>
  </si>
  <si>
    <t>Comment</t>
  </si>
  <si>
    <t>External Connection</t>
  </si>
  <si>
    <t>PLC Resource</t>
  </si>
  <si>
    <t>Name</t>
  </si>
  <si>
    <t>Data Type</t>
  </si>
  <si>
    <t>Description</t>
  </si>
  <si>
    <t>BOOL</t>
  </si>
  <si>
    <t>Connection</t>
  </si>
  <si>
    <t>Entry/Exit</t>
  </si>
  <si>
    <t>ENTRY</t>
  </si>
  <si>
    <t>PLC</t>
  </si>
  <si>
    <t>EXIT</t>
  </si>
  <si>
    <t>LB Name</t>
  </si>
  <si>
    <t xml:space="preserve"> </t>
  </si>
  <si>
    <t>RunMode</t>
  </si>
  <si>
    <t>ConnectionFaulted</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</si>
  <si>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</si>
  <si>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</si>
  <si>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</si>
  <si>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</si>
  <si>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</si>
  <si>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</si>
  <si>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</si>
  <si>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</si>
  <si>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</si>
  <si>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</si>
  <si>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</si>
  <si>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</si>
  <si>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</si>
  <si>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</si>
  <si>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</si>
  <si>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</si>
  <si>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</si>
  <si>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</si>
  <si>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</si>
  <si>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</si>
  <si>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</si>
  <si>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</si>
  <si>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</si>
  <si>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</si>
  <si>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</si>
  <si>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</si>
  <si>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</si>
  <si>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</si>
  <si>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</si>
  <si>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</si>
  <si>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</si>
  <si>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</si>
  <si>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</si>
  <si>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</si>
  <si>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</si>
  <si>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</si>
  <si>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</si>
  <si>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</si>
  <si>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</si>
  <si>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</si>
  <si>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</si>
  <si>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</si>
  <si>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I</t>
  </si>
  <si>
    <t>Data Type
(Ref)</t>
  </si>
  <si>
    <t>_VC_</t>
  </si>
  <si>
    <t>PLC Type</t>
  </si>
  <si>
    <t>CLX</t>
  </si>
  <si>
    <t>for non-PLC signals</t>
  </si>
  <si>
    <t>Siemens SignalWireName</t>
  </si>
  <si>
    <t>Rockwell PLC Signal Name</t>
  </si>
  <si>
    <t>Rockwell Comment Prefix</t>
  </si>
  <si>
    <t>Siemens Comment Prefix</t>
  </si>
  <si>
    <t>starting in this column</t>
  </si>
  <si>
    <t>Controller</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</si>
  <si>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</si>
  <si>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</si>
  <si>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</si>
  <si>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</si>
  <si>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</si>
  <si>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</si>
  <si>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</si>
  <si>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</si>
  <si>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</si>
  <si>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</si>
  <si>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BYTE</t>
  </si>
  <si>
    <t>WORD</t>
  </si>
  <si>
    <t>DWORD</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</si>
  <si>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</si>
  <si>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</si>
  <si>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</si>
  <si>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</si>
  <si>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</si>
  <si>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</si>
  <si>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</si>
  <si>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</si>
  <si>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</si>
  <si>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</si>
  <si>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_VCs_</t>
  </si>
  <si>
    <t>Address Byte</t>
  </si>
  <si>
    <t>Address Bit</t>
  </si>
  <si>
    <t>Symbol</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</si>
  <si>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</si>
  <si>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</si>
  <si>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</si>
  <si>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</si>
  <si>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</si>
  <si>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</si>
  <si>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</si>
  <si>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</si>
  <si>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</si>
  <si>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</si>
  <si>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</si>
  <si>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</si>
  <si>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</si>
  <si>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</si>
  <si>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</si>
  <si>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</si>
  <si>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</si>
  <si>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</si>
  <si>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</si>
  <si>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</si>
  <si>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</si>
  <si>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</si>
  <si>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</si>
  <si>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</si>
  <si>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</si>
  <si>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</si>
  <si>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</si>
  <si>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</si>
  <si>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</si>
  <si>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</si>
  <si>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</si>
  <si>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</si>
  <si>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</si>
  <si>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</si>
  <si>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</si>
  <si>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</si>
  <si>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</si>
  <si>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</si>
  <si>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</si>
  <si>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</si>
  <si>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</si>
  <si>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</si>
  <si>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t>&lt;Config15&gt;</t>
  </si>
  <si>
    <t>&lt;Config16&gt;</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</si>
  <si>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</si>
  <si>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</si>
  <si>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</si>
  <si>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</si>
  <si>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</si>
  <si>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</si>
  <si>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</si>
  <si>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</si>
  <si>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</si>
  <si>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</si>
  <si>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</si>
  <si>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</si>
  <si>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</si>
  <si>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</si>
  <si>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</si>
  <si>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</si>
  <si>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</si>
  <si>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</si>
  <si>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</si>
  <si>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</si>
  <si>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</si>
  <si>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</si>
  <si>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</si>
  <si>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</si>
  <si>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</si>
  <si>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</si>
  <si>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</si>
  <si>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</si>
  <si>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</si>
  <si>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</si>
  <si>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</si>
  <si>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</si>
  <si>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Use this tab as necessary for intermediate data/formulas between the Header and Signals tab.  Name any cells referenced in other sheets using the format 'Prep_XXX'</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</si>
  <si>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</si>
  <si>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</si>
  <si>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</si>
  <si>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</si>
  <si>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</si>
  <si>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</si>
  <si>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</si>
  <si>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</si>
  <si>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</si>
  <si>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</si>
  <si>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</si>
  <si>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</si>
  <si>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</si>
  <si>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</si>
  <si>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</si>
  <si>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</si>
  <si>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</si>
  <si>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</si>
  <si>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</si>
  <si>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</si>
  <si>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</si>
  <si>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</si>
  <si>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</si>
  <si>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</si>
  <si>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</si>
  <si>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</si>
  <si>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</si>
  <si>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</si>
  <si>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</si>
  <si>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</si>
  <si>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</si>
  <si>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</si>
  <si>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</si>
  <si>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</si>
  <si>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</si>
  <si>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</si>
  <si>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</si>
  <si>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</si>
  <si>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</si>
  <si>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</si>
  <si>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</si>
  <si>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</si>
  <si>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</si>
  <si>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</si>
  <si>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</si>
  <si>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</si>
  <si>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</si>
  <si>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</si>
  <si>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</si>
  <si>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</si>
  <si>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</si>
  <si>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</si>
  <si>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</si>
  <si>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</si>
  <si>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</si>
  <si>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</si>
  <si>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</si>
  <si>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</si>
  <si>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</si>
  <si>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</si>
  <si>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</si>
  <si>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&lt;Placeholder&gt;</t>
  </si>
  <si>
    <t>OPC Server</t>
  </si>
  <si>
    <t>Dnet Network</t>
  </si>
  <si>
    <t>AB_RACKx_SLOTa</t>
  </si>
  <si>
    <t>Standard Node</t>
  </si>
  <si>
    <t>Standard Data Word</t>
  </si>
  <si>
    <t>DIST_PANEL_CB</t>
  </si>
  <si>
    <t>b01</t>
  </si>
  <si>
    <t>FaultReset</t>
  </si>
  <si>
    <t>b02</t>
  </si>
  <si>
    <t>b06</t>
  </si>
  <si>
    <t>b07</t>
  </si>
  <si>
    <t>Trip</t>
  </si>
  <si>
    <t>TurnOffDisconnect</t>
  </si>
  <si>
    <t>UnplugDnet</t>
  </si>
  <si>
    <t>From_SIM_ScannerOk</t>
  </si>
  <si>
    <t>b03</t>
  </si>
  <si>
    <t>b04</t>
  </si>
  <si>
    <t>b05</t>
  </si>
  <si>
    <t>b11</t>
  </si>
  <si>
    <t>b12</t>
  </si>
  <si>
    <t>b13</t>
  </si>
  <si>
    <t>b16</t>
  </si>
  <si>
    <t>b17</t>
  </si>
  <si>
    <t>From_PLC_FaultReset</t>
  </si>
  <si>
    <t>From_KEY_DIST_PANEL_CB_Trip</t>
  </si>
  <si>
    <t>From_KEY_TurnOffDisconnect</t>
  </si>
  <si>
    <t>From_KEY_UnplugDnet</t>
  </si>
  <si>
    <t>CommOk</t>
  </si>
  <si>
    <t>false</t>
  </si>
  <si>
    <t>480VACPowerOk</t>
  </si>
  <si>
    <t>5</t>
  </si>
  <si>
    <t>VC Forms</t>
  </si>
  <si>
    <t>name</t>
  </si>
  <si>
    <t>USED</t>
  </si>
  <si>
    <t>type</t>
  </si>
  <si>
    <t>name=</t>
  </si>
  <si>
    <t>deviceNetwork</t>
  </si>
  <si>
    <t>deviceNode</t>
  </si>
  <si>
    <t>b32</t>
  </si>
  <si>
    <t>b08</t>
  </si>
  <si>
    <t>b09</t>
  </si>
  <si>
    <t>b20</t>
  </si>
  <si>
    <t>b21</t>
  </si>
  <si>
    <t>b22</t>
  </si>
  <si>
    <t>b23</t>
  </si>
  <si>
    <t>b24</t>
  </si>
  <si>
    <t>b25</t>
  </si>
  <si>
    <t>b27</t>
  </si>
  <si>
    <t>From_SIM_InputPwrOk</t>
  </si>
  <si>
    <t>Pallet</t>
  </si>
  <si>
    <t>Standard Node [*Mapped DINT]</t>
  </si>
  <si>
    <t>SxxRyy</t>
  </si>
  <si>
    <t>51[82]</t>
  </si>
  <si>
    <t>Y/N</t>
  </si>
  <si>
    <t>Network Name</t>
  </si>
  <si>
    <t>X</t>
  </si>
  <si>
    <t>From_RBT_WorkComplete</t>
  </si>
  <si>
    <t>FANUC</t>
  </si>
  <si>
    <t>PLC Robot Name</t>
  </si>
  <si>
    <t>Safety Node [*Mapped DINT]</t>
  </si>
  <si>
    <t>PDP:480V CB</t>
  </si>
  <si>
    <t>24VDC Source</t>
  </si>
  <si>
    <t>*Process 1</t>
  </si>
  <si>
    <t>*Process 2</t>
  </si>
  <si>
    <t>*Rbt Type [MH;TC;RACK]</t>
  </si>
  <si>
    <t>*Parts</t>
  </si>
  <si>
    <t>*2nd Home Pose</t>
  </si>
  <si>
    <t>*DCS</t>
  </si>
  <si>
    <t>*TC # of tools (1-7)</t>
  </si>
  <si>
    <t>56[114]</t>
  </si>
  <si>
    <t>DPyy:Cbaaaaaaa</t>
  </si>
  <si>
    <t>PSyy:AUX1</t>
  </si>
  <si>
    <t>Proc1Name</t>
  </si>
  <si>
    <t>Proc2Name</t>
  </si>
  <si>
    <t>MH;TC;RACK;SHUTTLE;TT;FIXT;VIS;PALLET</t>
  </si>
  <si>
    <t>[1]PART1x[2]PART2xx[3]PART3xxx[4]PART4xxxx[6]PART6xxxxxx[7]PART7xxxxxxx[8]PART8[9]PART9[10]PART10[11]PART11[12]PART12abcdefg</t>
  </si>
  <si>
    <t>start2</t>
  </si>
  <si>
    <t>STELLANTIS_DN</t>
  </si>
  <si>
    <t>STELLANTIS\Common\ToolPrototype\Robots</t>
  </si>
  <si>
    <t>Proc</t>
  </si>
  <si>
    <t>Proc1</t>
  </si>
  <si>
    <t>Proc2</t>
  </si>
  <si>
    <t>Blank Proc 1</t>
  </si>
  <si>
    <t>Blank Proc 2</t>
  </si>
  <si>
    <t>Blank Common</t>
  </si>
  <si>
    <t>Ped1</t>
  </si>
  <si>
    <t>Blank MH</t>
  </si>
  <si>
    <t>Part01</t>
  </si>
  <si>
    <t>[1]</t>
  </si>
  <si>
    <t>Safety Module</t>
  </si>
  <si>
    <t>ANY</t>
  </si>
  <si>
    <t>Ped2</t>
  </si>
  <si>
    <t>Blank MH+Spot</t>
  </si>
  <si>
    <t>Part02</t>
  </si>
  <si>
    <t>[2]</t>
  </si>
  <si>
    <t>SPOT</t>
  </si>
  <si>
    <t>MH</t>
  </si>
  <si>
    <t>Blank MH+Disp</t>
  </si>
  <si>
    <t>Part03</t>
  </si>
  <si>
    <t>[3]</t>
  </si>
  <si>
    <t>Safety Status Node</t>
  </si>
  <si>
    <t>MIG</t>
  </si>
  <si>
    <t>TC</t>
  </si>
  <si>
    <t>Blank TC</t>
  </si>
  <si>
    <t>Part04</t>
  </si>
  <si>
    <t>[4]</t>
  </si>
  <si>
    <t>Safety Status Data Word</t>
  </si>
  <si>
    <t>STUD</t>
  </si>
  <si>
    <t>Rack</t>
  </si>
  <si>
    <t>Blank Rack</t>
  </si>
  <si>
    <t>Part05</t>
  </si>
  <si>
    <t>[5]</t>
  </si>
  <si>
    <t>DISP</t>
  </si>
  <si>
    <t>Shuttle</t>
  </si>
  <si>
    <t>Blank Shuttle</t>
  </si>
  <si>
    <t>Part06</t>
  </si>
  <si>
    <t>[6]</t>
  </si>
  <si>
    <t>Turntable</t>
  </si>
  <si>
    <t>Blank Turntable</t>
  </si>
  <si>
    <t>Part07</t>
  </si>
  <si>
    <t>[7]</t>
  </si>
  <si>
    <t>Fixture</t>
  </si>
  <si>
    <t>Blank Fixture</t>
  </si>
  <si>
    <t>Part08</t>
  </si>
  <si>
    <t>[8]</t>
  </si>
  <si>
    <t>Vision</t>
  </si>
  <si>
    <t>Blank Vision</t>
  </si>
  <si>
    <t>Part09</t>
  </si>
  <si>
    <t>[9]</t>
  </si>
  <si>
    <t>Std &amp; Safe Nodes Match</t>
  </si>
  <si>
    <t>Blank Pallet</t>
  </si>
  <si>
    <t>Part10</t>
  </si>
  <si>
    <t>[10]</t>
  </si>
  <si>
    <t>Part11</t>
  </si>
  <si>
    <t>[11]</t>
  </si>
  <si>
    <t>Part12</t>
  </si>
  <si>
    <t>[12]</t>
  </si>
  <si>
    <t>VCInitialized</t>
  </si>
  <si>
    <t>InJoint1Zone1Pos</t>
  </si>
  <si>
    <t>InJoint1Zone2Pos</t>
  </si>
  <si>
    <t>InJoint1Zone3Pos</t>
  </si>
  <si>
    <t>InJoint2Zone1Pos</t>
  </si>
  <si>
    <t>InJoint3Zone1Pos</t>
  </si>
  <si>
    <t>WorkComplete</t>
  </si>
  <si>
    <t>GO[1]</t>
  </si>
  <si>
    <t>GO[2]</t>
  </si>
  <si>
    <t>GO[3]</t>
  </si>
  <si>
    <t>Stepper1Reset</t>
  </si>
  <si>
    <t>GripperPartCheck</t>
  </si>
  <si>
    <t>AbortProgram</t>
  </si>
  <si>
    <t>PART01</t>
  </si>
  <si>
    <t>PART02</t>
  </si>
  <si>
    <t>PART03</t>
  </si>
  <si>
    <t>PART04</t>
  </si>
  <si>
    <t>PART05</t>
  </si>
  <si>
    <t>PART06</t>
  </si>
  <si>
    <t>PART07</t>
  </si>
  <si>
    <t>PART08</t>
  </si>
  <si>
    <t>PART09</t>
  </si>
  <si>
    <t>PART10</t>
  </si>
  <si>
    <t>PART11</t>
  </si>
  <si>
    <t>PART12</t>
  </si>
  <si>
    <t>EOAT00_NONE</t>
  </si>
  <si>
    <t>EOAT01</t>
  </si>
  <si>
    <t>EOAT02</t>
  </si>
  <si>
    <t>EOAT03</t>
  </si>
  <si>
    <t>EOAT04</t>
  </si>
  <si>
    <t>EOAT05</t>
  </si>
  <si>
    <t>EOAT06</t>
  </si>
  <si>
    <t>EOAT07</t>
  </si>
  <si>
    <t>GI[4]</t>
  </si>
  <si>
    <t>GI[5]</t>
  </si>
  <si>
    <t>GI[6]</t>
  </si>
  <si>
    <t>ReturnFromPounceMem</t>
  </si>
  <si>
    <t>AbortPickupMem</t>
  </si>
  <si>
    <t>GripperPartCheckPass</t>
  </si>
  <si>
    <t>SensorToolID</t>
  </si>
  <si>
    <t>START_LB</t>
  </si>
  <si>
    <t>at_PR[1:HOME]</t>
  </si>
  <si>
    <t>DO[19]</t>
  </si>
  <si>
    <t>DO[32]</t>
  </si>
  <si>
    <t>DO[97]</t>
  </si>
  <si>
    <t>DO[98]</t>
  </si>
  <si>
    <t>RobotSW24V</t>
  </si>
  <si>
    <t>RobotTC24V</t>
  </si>
  <si>
    <t>NoHold</t>
  </si>
  <si>
    <t>*HOLD DI1</t>
  </si>
  <si>
    <t>Resume</t>
  </si>
  <si>
    <t>RESUME DI2</t>
  </si>
  <si>
    <t>FAULT RESET DI3</t>
  </si>
  <si>
    <t>UseDryCycle</t>
  </si>
  <si>
    <t>20 HOUR RUN MODE DI4</t>
  </si>
  <si>
    <t>AppErrorAck</t>
  </si>
  <si>
    <t>APPLICATION ERROR ACKNOWLEDGE DI8</t>
  </si>
  <si>
    <t>STYLEBit1</t>
  </si>
  <si>
    <t>GI[1]</t>
  </si>
  <si>
    <t>STYLE BIT 1 DI9</t>
  </si>
  <si>
    <t>STYLEBit2</t>
  </si>
  <si>
    <t>b10</t>
  </si>
  <si>
    <t>STYLE BIT 2 DI10</t>
  </si>
  <si>
    <t>STYLEBit4</t>
  </si>
  <si>
    <t>STYLE BIT 4 DI11</t>
  </si>
  <si>
    <t>STYLEBit8</t>
  </si>
  <si>
    <t>STYLE BIT 8 DI12</t>
  </si>
  <si>
    <t>STYLEBit16</t>
  </si>
  <si>
    <t>STYLE BIT 16 DI13</t>
  </si>
  <si>
    <t>STYLEBit32</t>
  </si>
  <si>
    <t>b14</t>
  </si>
  <si>
    <t>STYLE BIT 32 DI14</t>
  </si>
  <si>
    <t>STYLEBit64</t>
  </si>
  <si>
    <t>b15</t>
  </si>
  <si>
    <t>STYLE BIT 64 DI15</t>
  </si>
  <si>
    <t>RetFromPounce</t>
  </si>
  <si>
    <t>RETURN FROM POUNCE DI25</t>
  </si>
  <si>
    <t>ProdStart</t>
  </si>
  <si>
    <t>b29</t>
  </si>
  <si>
    <t>PRODUCTION START DI29</t>
  </si>
  <si>
    <t>WorkCompleteAck</t>
  </si>
  <si>
    <t>WORK COMPLETE ACK DI32</t>
  </si>
  <si>
    <t>PickTool1</t>
  </si>
  <si>
    <t>b77</t>
  </si>
  <si>
    <t>PICK TOOL BIT 1 DI77</t>
  </si>
  <si>
    <t>PickTool2</t>
  </si>
  <si>
    <t>b78</t>
  </si>
  <si>
    <t>PICK TOOL BIT 2 DI78</t>
  </si>
  <si>
    <t>PickTool4</t>
  </si>
  <si>
    <t>b79</t>
  </si>
  <si>
    <t>PICK TOOL BIT 4 DI79</t>
  </si>
  <si>
    <t>PickTool8</t>
  </si>
  <si>
    <t>b80</t>
  </si>
  <si>
    <t>PICK TOOL BIT 8 DI80</t>
  </si>
  <si>
    <t>ToolingRepod1</t>
  </si>
  <si>
    <t>b82</t>
  </si>
  <si>
    <t>TOOLING REPOSITIONED BIT 1 DI82</t>
  </si>
  <si>
    <t>ToolingRepod2</t>
  </si>
  <si>
    <t>b83</t>
  </si>
  <si>
    <t>TOOLING REPOSITIONED BIT 2 DI83</t>
  </si>
  <si>
    <t>ToolingRepod4</t>
  </si>
  <si>
    <t>b84</t>
  </si>
  <si>
    <t>TOOLING REPOSITIONED BIT 4 DI84</t>
  </si>
  <si>
    <t>PalletPosBit1</t>
  </si>
  <si>
    <t>b85</t>
  </si>
  <si>
    <t>PALLET IN POSITION 1 DI85</t>
  </si>
  <si>
    <t>PalletPosBit2</t>
  </si>
  <si>
    <t>b86</t>
  </si>
  <si>
    <t>PALLET IN POSITION 2 DI86</t>
  </si>
  <si>
    <t>PalletPosBit4</t>
  </si>
  <si>
    <t>b87</t>
  </si>
  <si>
    <t>PALLET IN POSITION 4 DI87</t>
  </si>
  <si>
    <t>PalletPosBit8</t>
  </si>
  <si>
    <t>b88</t>
  </si>
  <si>
    <t>PALLET IN POSITION 8 DI88</t>
  </si>
  <si>
    <t>PalletPosBit16</t>
  </si>
  <si>
    <t>b89</t>
  </si>
  <si>
    <t>PALLET IN POSITION 16 DI89</t>
  </si>
  <si>
    <t>PalletPosBit32</t>
  </si>
  <si>
    <t>b90</t>
  </si>
  <si>
    <t>PALLET IN POSITION 32 DI90</t>
  </si>
  <si>
    <t>PalletPosBit64</t>
  </si>
  <si>
    <t>b91</t>
  </si>
  <si>
    <t>PALLET IN POSITION 64 DI91</t>
  </si>
  <si>
    <t>PalletPosBit128</t>
  </si>
  <si>
    <t>b92</t>
  </si>
  <si>
    <t>PALLET IN POSITION 128 DI92</t>
  </si>
  <si>
    <t>WetDryMode</t>
  </si>
  <si>
    <t>b93</t>
  </si>
  <si>
    <t>SEALER WET MODE DI93</t>
  </si>
  <si>
    <t>AbortReq</t>
  </si>
  <si>
    <t>b94</t>
  </si>
  <si>
    <t>ABORT REQUEST DI94</t>
  </si>
  <si>
    <t>RemoteWaterSaverReset</t>
  </si>
  <si>
    <t>b97</t>
  </si>
  <si>
    <t>REMOTE WATER SAVER RESET DI97</t>
  </si>
  <si>
    <t>ExtWaterOffReset</t>
  </si>
  <si>
    <t>b98</t>
  </si>
  <si>
    <t>EXTERNAL WATER OFF REQUEST DI98</t>
  </si>
  <si>
    <t>ExtApp1StartReq</t>
  </si>
  <si>
    <t>b113</t>
  </si>
  <si>
    <t>EXTERNAL APPLICATION 1 START REQUEST DI113</t>
  </si>
  <si>
    <t>ExtApp1Complete</t>
  </si>
  <si>
    <t>b114</t>
  </si>
  <si>
    <t>EXTERNAL APPLICATION 1 COMPLETE DI114</t>
  </si>
  <si>
    <t>ExtApp2StartReq</t>
  </si>
  <si>
    <t>b115</t>
  </si>
  <si>
    <t>EXTERNAL APPLICATION 2 START REQUEST DI115</t>
  </si>
  <si>
    <t>ExtApp2Complete</t>
  </si>
  <si>
    <t>b116</t>
  </si>
  <si>
    <t>EXTERNAL APPLICATION 2 COMPLETE DI116</t>
  </si>
  <si>
    <t>programEnded</t>
  </si>
  <si>
    <t>(Ending Program)</t>
  </si>
  <si>
    <t>mirrorProgramNumber</t>
  </si>
  <si>
    <t>(Mirror Program Number)</t>
  </si>
  <si>
    <t>errorProgramNumber</t>
  </si>
  <si>
    <t>(Error Program Number)</t>
  </si>
  <si>
    <t>robotReady</t>
  </si>
  <si>
    <t>(Robot Ready)</t>
  </si>
  <si>
    <t>RobotWorkComplete</t>
  </si>
  <si>
    <t>ActiveStyle</t>
  </si>
  <si>
    <t>RepoTooling</t>
  </si>
  <si>
    <t>ToolIDOnWrist</t>
  </si>
  <si>
    <t>at_start</t>
  </si>
  <si>
    <t>From_RBT_Weld1InProgress</t>
  </si>
  <si>
    <t>From_RBT_Purge1InProgress</t>
  </si>
  <si>
    <t>From_RBT_Purge2InProgress</t>
  </si>
  <si>
    <t>PartPresent</t>
  </si>
  <si>
    <t>TriggerSftyModuleFault</t>
  </si>
  <si>
    <t>TriggerStdModuleFault</t>
  </si>
  <si>
    <t>PressEStop</t>
  </si>
  <si>
    <t>NotAutoSS</t>
  </si>
  <si>
    <t>RobotNotHoldSS</t>
  </si>
  <si>
    <t>EnablePendant</t>
  </si>
  <si>
    <t>TriggerMinorFault</t>
  </si>
  <si>
    <t>TriggerMajorFault</t>
  </si>
  <si>
    <t>ClearMajorFault</t>
  </si>
  <si>
    <t>AppErrorSource</t>
  </si>
  <si>
    <t>AppErrorCode</t>
  </si>
  <si>
    <t>TriggerProcessFault</t>
  </si>
  <si>
    <t>ClearProcessFault</t>
  </si>
  <si>
    <t>RestartRobot</t>
  </si>
  <si>
    <t>Initialize</t>
  </si>
  <si>
    <t>From_SIM_480VACPowerOk</t>
  </si>
  <si>
    <t>FIRST NODE IN RUN MODE</t>
  </si>
  <si>
    <t>FIRST NODE CONNECTION FAULTED</t>
  </si>
  <si>
    <t>RobotMotorOffMonitor</t>
  </si>
  <si>
    <t>ROBOT MOTORS OFF MONITOR</t>
  </si>
  <si>
    <t>RobotAUXPwrMonitor</t>
  </si>
  <si>
    <t>RobotTC24VMonitor</t>
  </si>
  <si>
    <t>SftyNodeActive</t>
  </si>
  <si>
    <t>SftyNodeFaulted</t>
  </si>
  <si>
    <t>SafetyPointStatusDWORD1</t>
  </si>
  <si>
    <t>Safety Point Status DWORD 1</t>
  </si>
  <si>
    <t>SafetyPointStatusDWORD2</t>
  </si>
  <si>
    <t>Safety Point Status DWORD 2</t>
  </si>
  <si>
    <t>RobotInAuto</t>
  </si>
  <si>
    <t>ROBOT IN AUTO DO1</t>
  </si>
  <si>
    <t>RobotFaulted</t>
  </si>
  <si>
    <t>ROBOT FAULTED DO2</t>
  </si>
  <si>
    <t>WaitForTPInput</t>
  </si>
  <si>
    <t>WAITING FOR TP INPUT DO3</t>
  </si>
  <si>
    <t>InCycle</t>
  </si>
  <si>
    <t>IN CYCLE DO4</t>
  </si>
  <si>
    <t>CollisionDetd</t>
  </si>
  <si>
    <t>COLLISION DETECTED DO5</t>
  </si>
  <si>
    <t>IOSimulated</t>
  </si>
  <si>
    <t>I/O SIMULATED DO6</t>
  </si>
  <si>
    <t>WeldModeEnabled</t>
  </si>
  <si>
    <t>WELD MODE ENABLED DO7</t>
  </si>
  <si>
    <t>RobotReady</t>
  </si>
  <si>
    <t>ROBOT READY DO8</t>
  </si>
  <si>
    <t>ActiveStyleBit1</t>
  </si>
  <si>
    <t>ACTIVE STYLE BIT 1 DO9</t>
  </si>
  <si>
    <t>ActiveStyleBit2</t>
  </si>
  <si>
    <t>ACTIVE STYLE BIT 2 DO10</t>
  </si>
  <si>
    <t>ActiveStyleBit4</t>
  </si>
  <si>
    <t>ACTIVE STYLE BIT 4 DO11</t>
  </si>
  <si>
    <t>ActiveStyleBit8</t>
  </si>
  <si>
    <t>ACTIVE STYLE BIT 8 DO12</t>
  </si>
  <si>
    <t>ActiveStyleBit16</t>
  </si>
  <si>
    <t>ACTIVE STYLE BIT 16 DO13</t>
  </si>
  <si>
    <t>ActiveStyleBit32</t>
  </si>
  <si>
    <t>ACTIVE STYLE BIT 32 DO14</t>
  </si>
  <si>
    <t>ActiveStyleBit64</t>
  </si>
  <si>
    <t>ACTIVE STYLE BIT 64 DO15</t>
  </si>
  <si>
    <t>PrgPaused</t>
  </si>
  <si>
    <t>PROGRAM PAUSED DO16</t>
  </si>
  <si>
    <t>PrgRunning</t>
  </si>
  <si>
    <t>PROGRAM RUNNING DO17</t>
  </si>
  <si>
    <t>TwentyHourRunModeAct</t>
  </si>
  <si>
    <t>20 HOUR RUN MODE ACTIVE DO20</t>
  </si>
  <si>
    <t>MaintReqBit1</t>
  </si>
  <si>
    <t>GO[5]</t>
  </si>
  <si>
    <t>MAINTENANCE REQUEST 1 DO21</t>
  </si>
  <si>
    <t>MaintReqBit2</t>
  </si>
  <si>
    <t>MAINTENANCE REQUEST 2 DO22</t>
  </si>
  <si>
    <t>MaintReqBit4</t>
  </si>
  <si>
    <t>MAINTENANCE REQUEST 4 DO23</t>
  </si>
  <si>
    <t>MaintReqBit8</t>
  </si>
  <si>
    <t>MAINTENANCE REQUEST 8 DO24</t>
  </si>
  <si>
    <t>RobotAtHome</t>
  </si>
  <si>
    <t>ROBOT AT HOME DO27</t>
  </si>
  <si>
    <t>MajorMinorFlt</t>
  </si>
  <si>
    <t>b74</t>
  </si>
  <si>
    <t>MAJOR/MINOR FAULT DO74</t>
  </si>
  <si>
    <t>RemoveFault</t>
  </si>
  <si>
    <t>b76</t>
  </si>
  <si>
    <t>REMOVE FAULT DO76</t>
  </si>
  <si>
    <t>PartPresent1</t>
  </si>
  <si>
    <t>ROBOT PART PRESENT 1 DO77</t>
  </si>
  <si>
    <t>PartPresent2</t>
  </si>
  <si>
    <t>ROBOT PART PRESENT 2 DO78</t>
  </si>
  <si>
    <t>PartPresent3</t>
  </si>
  <si>
    <t>ROBOT PART PRESENT 3 DO79</t>
  </si>
  <si>
    <t>PartPresent4</t>
  </si>
  <si>
    <t>ROBOT PART PRESENT 4 DO80</t>
  </si>
  <si>
    <t>PartPresent5</t>
  </si>
  <si>
    <t>b81</t>
  </si>
  <si>
    <t>ROBOT PART PRESENT 5 DO81</t>
  </si>
  <si>
    <t>PartPresent6</t>
  </si>
  <si>
    <t>ROBOT PART PRESENT 6 DO82</t>
  </si>
  <si>
    <t>PartPresent7</t>
  </si>
  <si>
    <t>ROBOT PART PRESENT 7 DO83</t>
  </si>
  <si>
    <t>PartPresent8</t>
  </si>
  <si>
    <t>ROBOT PART PRESENT 8 DO84</t>
  </si>
  <si>
    <t>PartPresent9</t>
  </si>
  <si>
    <t>ROBOT PART PRESENT 9 DO85</t>
  </si>
  <si>
    <t>PartPresent10</t>
  </si>
  <si>
    <t>ROBOT PART PRESENT 10 DO86</t>
  </si>
  <si>
    <t>PartPresent11</t>
  </si>
  <si>
    <t>ROBOT PART PRESENT 11 DO87</t>
  </si>
  <si>
    <t>PartPresent12</t>
  </si>
  <si>
    <t>ROBOT PART PRESENT 12 DO88</t>
  </si>
  <si>
    <t>PickOverrideReq</t>
  </si>
  <si>
    <t>PICK OVER-RIDE REQUEST DO89</t>
  </si>
  <si>
    <t>CollisGuardEnbld</t>
  </si>
  <si>
    <t>COLLISION MODE ENABLED DO90</t>
  </si>
  <si>
    <t>ABORT REQUEST DO94</t>
  </si>
  <si>
    <t>Disp1DispenRdy</t>
  </si>
  <si>
    <t>b95</t>
  </si>
  <si>
    <t>DISPENSE 1 READY DO95</t>
  </si>
  <si>
    <t>WaterON</t>
  </si>
  <si>
    <t>b99</t>
  </si>
  <si>
    <t>WATER ON DO99</t>
  </si>
  <si>
    <t>TipDressReq1</t>
  </si>
  <si>
    <t>b100</t>
  </si>
  <si>
    <t>TIP DRESS 1 REQUEST DO100</t>
  </si>
  <si>
    <t>StepperReset1Ack</t>
  </si>
  <si>
    <t>b102</t>
  </si>
  <si>
    <t>STEPPER RESET 1 ACK DO102</t>
  </si>
  <si>
    <t>StepperReset2Ack</t>
  </si>
  <si>
    <t>b103</t>
  </si>
  <si>
    <t>STEPPER RESET 2 ACK DO103</t>
  </si>
  <si>
    <t>StepMode</t>
  </si>
  <si>
    <t>b104</t>
  </si>
  <si>
    <t>IN STEP MODE DO104</t>
  </si>
  <si>
    <t>BatteryLow</t>
  </si>
  <si>
    <t>b108</t>
  </si>
  <si>
    <t>BATTERY LOW DO108</t>
  </si>
  <si>
    <t>ReposTooling1</t>
  </si>
  <si>
    <t>b109</t>
  </si>
  <si>
    <t>REPOSITION TOOLING 1 DO109</t>
  </si>
  <si>
    <t>ReposTooling2</t>
  </si>
  <si>
    <t>b110</t>
  </si>
  <si>
    <t>REPOSITION TOOLING 2 DO110</t>
  </si>
  <si>
    <t>ReposTooling3</t>
  </si>
  <si>
    <t>b111</t>
  </si>
  <si>
    <t>REPOSITION TOOLING 4 DO111</t>
  </si>
  <si>
    <t>TeachPendantEnbd</t>
  </si>
  <si>
    <t>TEACH PENDANT ENABLED DO113</t>
  </si>
  <si>
    <t>StartExtApp1Proc</t>
  </si>
  <si>
    <t>START EXTERNAL APPLICATION 1 PROCESS DO114</t>
  </si>
  <si>
    <t>StartExtApp2Proc</t>
  </si>
  <si>
    <t>START EXTERNAL APPLICATION 2 PROCESS DO115</t>
  </si>
  <si>
    <t>ToolIDOnWrist1</t>
  </si>
  <si>
    <t>Tool ID On Wrist 1 DO116</t>
  </si>
  <si>
    <t>ToolIDOnWrist2</t>
  </si>
  <si>
    <t>b117</t>
  </si>
  <si>
    <t>Tool ID On Wrist 2 DO117</t>
  </si>
  <si>
    <t>ToolIDOnWrist4</t>
  </si>
  <si>
    <t>b118</t>
  </si>
  <si>
    <t>Tool ID On Wrist 4 DO118</t>
  </si>
  <si>
    <t>ProcessFault</t>
  </si>
  <si>
    <t>b119</t>
  </si>
  <si>
    <t>PROCESS FAULT DO119</t>
  </si>
  <si>
    <t>AppErrorActive</t>
  </si>
  <si>
    <t>b120</t>
  </si>
  <si>
    <t>APPLICATION FAULT ACTIVE DO120</t>
  </si>
  <si>
    <t>AppErrorBit1</t>
  </si>
  <si>
    <t>GO[4]</t>
  </si>
  <si>
    <t>b121</t>
  </si>
  <si>
    <t>APP ERROR BIT 1 DO121</t>
  </si>
  <si>
    <t>AppErrorBit2</t>
  </si>
  <si>
    <t>b122</t>
  </si>
  <si>
    <t>APP ERROR BIT 2 DO122</t>
  </si>
  <si>
    <t>AppErrorBit4</t>
  </si>
  <si>
    <t>b123</t>
  </si>
  <si>
    <t>APP ERROR BIT 4 DO123</t>
  </si>
  <si>
    <t>AppErrorBit8</t>
  </si>
  <si>
    <t>b124</t>
  </si>
  <si>
    <t>APP ERROR BIT 8 DO124</t>
  </si>
  <si>
    <t>AppErrorBit16</t>
  </si>
  <si>
    <t>b125</t>
  </si>
  <si>
    <t>APP ERROR BIT 16 DO125</t>
  </si>
  <si>
    <t>AppErrorBit32</t>
  </si>
  <si>
    <t>b126</t>
  </si>
  <si>
    <t>APP ERROR BIT 32 DO126</t>
  </si>
  <si>
    <t>AppErrorBit64</t>
  </si>
  <si>
    <t>b127</t>
  </si>
  <si>
    <t>APP ERROR BIT 64 DO127</t>
  </si>
  <si>
    <t>AppErrorBit128</t>
  </si>
  <si>
    <t>b128</t>
  </si>
  <si>
    <t>APP ERROR BIT 128 DO128</t>
  </si>
  <si>
    <t>emergencyStop</t>
  </si>
  <si>
    <t>(Program Emergency Stop)</t>
  </si>
  <si>
    <t>programPause</t>
  </si>
  <si>
    <t>(Program Pause)</t>
  </si>
  <si>
    <t>Clr2DpPkTool</t>
  </si>
  <si>
    <t>ToolingRepo</t>
  </si>
  <si>
    <t>PalletPosition</t>
  </si>
  <si>
    <t>To_SIM_RobotAppConfig</t>
  </si>
  <si>
    <t>To_SIM_AUX_NMP</t>
  </si>
  <si>
    <t>To_SIM_AUX_MP</t>
  </si>
  <si>
    <t>StartProgram</t>
  </si>
  <si>
    <t>ProgramNumber</t>
  </si>
  <si>
    <t>From_PSF_RobotSW24V</t>
  </si>
  <si>
    <t>From_PSF_RobotTC24V</t>
  </si>
  <si>
    <t>From_PLC_NoHold</t>
  </si>
  <si>
    <t>From_PLC_Resume</t>
  </si>
  <si>
    <t>From_PLC_UseDryCycle</t>
  </si>
  <si>
    <t>From_PLC_AppErrorAck</t>
  </si>
  <si>
    <t>From_PLC_STYLEBit1</t>
  </si>
  <si>
    <t>From_PLC_STYLEBit2</t>
  </si>
  <si>
    <t>From_PLC_STYLEBit4</t>
  </si>
  <si>
    <t>From_PLC_STYLEBit8</t>
  </si>
  <si>
    <t>From_PLC_STYLEBit16</t>
  </si>
  <si>
    <t>From_PLC_STYLEBit32</t>
  </si>
  <si>
    <t>From_PLC_STYLEBit64</t>
  </si>
  <si>
    <t>From_PLC_RetFromPounce</t>
  </si>
  <si>
    <t>From_PLC_ProdStart</t>
  </si>
  <si>
    <t>From_PLC_WorkCompleteAck</t>
  </si>
  <si>
    <t>From_PLC_PickTool1</t>
  </si>
  <si>
    <t>From_PLC_PickTool2</t>
  </si>
  <si>
    <t>From_PLC_PickTool4</t>
  </si>
  <si>
    <t>From_PLC_PickTool8</t>
  </si>
  <si>
    <t>From_PLC_ToolingRepod1</t>
  </si>
  <si>
    <t>From_PLC_ToolingRepod2</t>
  </si>
  <si>
    <t>From_PLC_ToolingRepod4</t>
  </si>
  <si>
    <t>From_PLC_PalletPosBit1</t>
  </si>
  <si>
    <t>From_PLC_PalletPosBit2</t>
  </si>
  <si>
    <t>From_PLC_PalletPosBit4</t>
  </si>
  <si>
    <t>From_PLC_PalletPosBit8</t>
  </si>
  <si>
    <t>From_PLC_PalletPosBit16</t>
  </si>
  <si>
    <t>From_PLC_PalletPosBit32</t>
  </si>
  <si>
    <t>From_PLC_PalletPosBit64</t>
  </si>
  <si>
    <t>From_PLC_PalletPosBit128</t>
  </si>
  <si>
    <t>From_PLC_WetDryMode</t>
  </si>
  <si>
    <t>From_PLC_AbortReq</t>
  </si>
  <si>
    <t>From_PLC_RemoteWaterSaverReset</t>
  </si>
  <si>
    <t>From_PLC_ExtWaterOffReset</t>
  </si>
  <si>
    <t>From_PLC_ExtApp1StartReq</t>
  </si>
  <si>
    <t>From_PLC_ExtApp1Complete</t>
  </si>
  <si>
    <t>From_PLC_ExtApp2StartReq</t>
  </si>
  <si>
    <t>From_PLC_ExtApp2Complete</t>
  </si>
  <si>
    <t>From_RBT_programEnded</t>
  </si>
  <si>
    <t>From_RBT_mirrorProgramNumber</t>
  </si>
  <si>
    <t>From_RBT_errorProgramNumber</t>
  </si>
  <si>
    <t>From_RBT_robotReady</t>
  </si>
  <si>
    <t>From_RBT_VCInitialized</t>
  </si>
  <si>
    <t>From_RBT_InJoint1Zone1Pos</t>
  </si>
  <si>
    <t>From_RBT_InJoint1Zone2Pos</t>
  </si>
  <si>
    <t>From_RBT_InJoint1Zone3Pos</t>
  </si>
  <si>
    <t>From_RBT_InJoint2Zone1Pos</t>
  </si>
  <si>
    <t>From_RBT_InJoint3Zone1Pos</t>
  </si>
  <si>
    <t>From_RBT_RobotWorkComplete</t>
  </si>
  <si>
    <t>From_RBT_ActiveStyle</t>
  </si>
  <si>
    <t>From_RBT_RepoTooling</t>
  </si>
  <si>
    <t>From_RBT_ToolIDOnWrist</t>
  </si>
  <si>
    <t>From_RBT_at_start</t>
  </si>
  <si>
    <t>From_RBT_Stepper1Reset</t>
  </si>
  <si>
    <t>From_RBT_GripperPartCheck</t>
  </si>
  <si>
    <t>From_RBT_AbortProgram</t>
  </si>
  <si>
    <t>From_SNS_PART01_PartPresent</t>
  </si>
  <si>
    <t>From_SNS_PART02_PartPresent</t>
  </si>
  <si>
    <t>From_SNS_PART03_PartPresent</t>
  </si>
  <si>
    <t>From_SNS_PART04_PartPresent</t>
  </si>
  <si>
    <t>From_SNS_PART05_PartPresent</t>
  </si>
  <si>
    <t>From_SNS_PART06_PartPresent</t>
  </si>
  <si>
    <t>From_SNS_PART07_PartPresent</t>
  </si>
  <si>
    <t>From_SNS_PART08_PartPresent</t>
  </si>
  <si>
    <t>From_SNS_PART09_PartPresent</t>
  </si>
  <si>
    <t>From_SNS_PART10_PartPresent</t>
  </si>
  <si>
    <t>From_SNS_PART11_PartPresent</t>
  </si>
  <si>
    <t>From_SNS_PART12_PartPresent</t>
  </si>
  <si>
    <t>From_SNS_EOAT00_NONE_PartPresent</t>
  </si>
  <si>
    <t>From_SNS_EOAT01_PartPresent</t>
  </si>
  <si>
    <t>From_SNS_EOAT02_PartPresent</t>
  </si>
  <si>
    <t>From_SNS_EOAT03_PartPresent</t>
  </si>
  <si>
    <t>From_SNS_EOAT04_PartPresent</t>
  </si>
  <si>
    <t>From_SNS_EOAT05_PartPresent</t>
  </si>
  <si>
    <t>From_SNS_EOAT06_PartPresent</t>
  </si>
  <si>
    <t>From_SNS_EOAT07_PartPresent</t>
  </si>
  <si>
    <t>From_KEY_TriggerSftyModuleFault</t>
  </si>
  <si>
    <t>From_KEY_TriggerStdModuleFault</t>
  </si>
  <si>
    <t>From_KEY_PressEStop</t>
  </si>
  <si>
    <t>From_KEY_NotAutoSS</t>
  </si>
  <si>
    <t>From_KEY_RobotNotHoldSS</t>
  </si>
  <si>
    <t>From_KEY_EnablePendant</t>
  </si>
  <si>
    <t>From_KEY_TriggerMinorFault</t>
  </si>
  <si>
    <t>From_KEY_TriggerMajorFault</t>
  </si>
  <si>
    <t>From_KEY_ClearMajorFault</t>
  </si>
  <si>
    <t>From_KEY_AppErrorSource</t>
  </si>
  <si>
    <t>From_KEY_AppErrorCode</t>
  </si>
  <si>
    <t>From_KEY_TriggerProcessFault</t>
  </si>
  <si>
    <t>From_KEY_ClearProcessFault</t>
  </si>
  <si>
    <t>From_KEY_RestartRobot</t>
  </si>
  <si>
    <t>From_KEY_AbortProgram</t>
  </si>
  <si>
    <t>From_KEY_Initialize</t>
  </si>
  <si>
    <t>SftyModuleOK</t>
  </si>
  <si>
    <t>NOT SftyModuleOK</t>
  </si>
  <si>
    <t>NOT From_KEY_PressEStop AND SftyModuleOK</t>
  </si>
  <si>
    <t>To_PSF_RobotMotorOffMonitor</t>
  </si>
  <si>
    <t>To_PSF_RobotAUXPwrMonitor</t>
  </si>
  <si>
    <t>From_PSF_RobotSW24V AND SftyModuleOK</t>
  </si>
  <si>
    <t>To_PSF_RobotTC24VMonitor</t>
  </si>
  <si>
    <t>From_PSF_RobotTC24V AND SftyModuleOK</t>
  </si>
  <si>
    <t>To_PLC_SftyNodeActive</t>
  </si>
  <si>
    <t>To_PLC_SftyNodeFaulted</t>
  </si>
  <si>
    <t>To_PLC_SafetyPointStatusDWORD1</t>
  </si>
  <si>
    <t>(SftyModuleOK AND 480VACPowerOk) * 4294967040</t>
  </si>
  <si>
    <t>To_PLC_SafetyPointStatusDWORD2</t>
  </si>
  <si>
    <t>(SftyModuleOK AND 480VACPowerOk) * 1023</t>
  </si>
  <si>
    <t>StdModuleOK</t>
  </si>
  <si>
    <t>To_PLC_RobotInAuto</t>
  </si>
  <si>
    <t>NOT From_KEY_NotAutoSS AND StdModuleOK</t>
  </si>
  <si>
    <t>To_PLC_RobotFaulted</t>
  </si>
  <si>
    <t>To_PLC_WaitForTPInput</t>
  </si>
  <si>
    <t>To_PLC_InCycle</t>
  </si>
  <si>
    <t>RobotInitMem AND StdModuleOK</t>
  </si>
  <si>
    <t>To_PLC_CollisionDetd</t>
  </si>
  <si>
    <t>To_PLC_IOSimulated</t>
  </si>
  <si>
    <t>To_PLC_WeldModeEnabled</t>
  </si>
  <si>
    <t xml:space="preserve">StdModuleOK </t>
  </si>
  <si>
    <t>To_PLC_RobotReady</t>
  </si>
  <si>
    <t>To_PLC_ActiveStyleBit1</t>
  </si>
  <si>
    <t>StdModuleOK AND BitwiseIsBitOn(4,From_RBT_ActiveStyle,0)</t>
  </si>
  <si>
    <t>To_PLC_ActiveStyleBit2</t>
  </si>
  <si>
    <t>StdModuleOK AND BitwiseIsBitOn(4,From_RBT_ActiveStyle,1)</t>
  </si>
  <si>
    <t>To_PLC_ActiveStyleBit4</t>
  </si>
  <si>
    <t>StdModuleOK AND BitwiseIsBitOn(4,From_RBT_ActiveStyle,2)</t>
  </si>
  <si>
    <t>To_PLC_ActiveStyleBit8</t>
  </si>
  <si>
    <t>StdModuleOK AND BitwiseIsBitOn(4,From_RBT_ActiveStyle,3)</t>
  </si>
  <si>
    <t>To_PLC_ActiveStyleBit16</t>
  </si>
  <si>
    <t>StdModuleOK AND BitwiseIsBitOn(4,From_RBT_ActiveStyle,4)</t>
  </si>
  <si>
    <t>To_PLC_ActiveStyleBit32</t>
  </si>
  <si>
    <t>StdModuleOK AND BitwiseIsBitOn(4,From_RBT_ActiveStyle,5)</t>
  </si>
  <si>
    <t>To_PLC_ActiveStyleBit64</t>
  </si>
  <si>
    <t>StdModuleOK AND BitwiseIsBitOn(4,From_RBT_ActiveStyle,6)</t>
  </si>
  <si>
    <t>To_PLC_PrgPaused</t>
  </si>
  <si>
    <t>RobotPauseMem AND StdModuleOK</t>
  </si>
  <si>
    <t>To_PLC_PrgRunning</t>
  </si>
  <si>
    <t>RobotInitMem AND ( NOT RobotPauseMem) AND StdModuleOK</t>
  </si>
  <si>
    <t>To_PLC_TwentyHourRunModeAct</t>
  </si>
  <si>
    <t>StdModuleOK AND From_PLC_UseDryCycle</t>
  </si>
  <si>
    <t>To_PLC_MaintReqBit1</t>
  </si>
  <si>
    <t>To_PLC_MaintReqBit2</t>
  </si>
  <si>
    <t>To_PLC_MaintReqBit4</t>
  </si>
  <si>
    <t>To_PLC_MaintReqBit8</t>
  </si>
  <si>
    <t>To_PLC_RobotAtHome</t>
  </si>
  <si>
    <t>StdModuleOK AND From_RBT_at_start AND ((NOT RobotInitMem) OR From_RBT_WorkComplete )</t>
  </si>
  <si>
    <t>To_PLC_MajorMinorFlt</t>
  </si>
  <si>
    <t>StdModuleOK AND MajorFaultActive</t>
  </si>
  <si>
    <t>To_PLC_RemoveFault</t>
  </si>
  <si>
    <t>StdModuleOK AND AppErrorReadyToClear</t>
  </si>
  <si>
    <t>To_PLC_PartPresent1</t>
  </si>
  <si>
    <t>StdModuleOK AND From_SNS_PART01_PartPresent</t>
  </si>
  <si>
    <t>To_PLC_PartPresent2</t>
  </si>
  <si>
    <t>StdModuleOK AND From_SNS_PART02_PartPresent</t>
  </si>
  <si>
    <t>To_PLC_PartPresent3</t>
  </si>
  <si>
    <t>StdModuleOK AND From_SNS_PART03_PartPresent</t>
  </si>
  <si>
    <t>To_PLC_PartPresent4</t>
  </si>
  <si>
    <t>StdModuleOK AND From_SNS_PART04_PartPresent</t>
  </si>
  <si>
    <t>To_PLC_PartPresent5</t>
  </si>
  <si>
    <t>StdModuleOK AND From_SNS_PART05_PartPresent</t>
  </si>
  <si>
    <t>To_PLC_PartPresent6</t>
  </si>
  <si>
    <t>StdModuleOK AND From_SNS_PART06_PartPresent</t>
  </si>
  <si>
    <t>To_PLC_PartPresent7</t>
  </si>
  <si>
    <t>StdModuleOK AND From_SNS_PART07_PartPresent</t>
  </si>
  <si>
    <t>To_PLC_PartPresent8</t>
  </si>
  <si>
    <t>StdModuleOK AND From_SNS_PART08_PartPresent</t>
  </si>
  <si>
    <t>To_PLC_PartPresent9</t>
  </si>
  <si>
    <t>StdModuleOK AND From_SNS_PART09_PartPresent</t>
  </si>
  <si>
    <t>To_PLC_PartPresent10</t>
  </si>
  <si>
    <t>StdModuleOK AND From_SNS_PART10_PartPresent</t>
  </si>
  <si>
    <t>To_PLC_PartPresent11</t>
  </si>
  <si>
    <t>StdModuleOK AND From_SNS_PART11_PartPresent</t>
  </si>
  <si>
    <t>To_PLC_PartPresent12</t>
  </si>
  <si>
    <t>StdModuleOK AND From_SNS_PART12_PartPresent</t>
  </si>
  <si>
    <t>To_PLC_PickOverrideReq</t>
  </si>
  <si>
    <t>To_PLC_CollisGuardEnbld</t>
  </si>
  <si>
    <t>To_PLC_AbortReq</t>
  </si>
  <si>
    <t>To_PLC_Disp1DispenRdy</t>
  </si>
  <si>
    <t>StdModuleOK AND From_PLC_WetDryMode AND SR( TON ( NOT From_PLC_ExtApp1StartReq ,5) , NOT From_PLC_WetDryMode )</t>
  </si>
  <si>
    <t>To_PLC_WaterON</t>
  </si>
  <si>
    <t>SR( From_PLC_RemoteWaterSaverReset, From_PLC_ExtWaterOffReset OR NOT StdModuleOK )</t>
  </si>
  <si>
    <t>To_PLC_TipDressReq1</t>
  </si>
  <si>
    <t>To_PLC_StepperReset1Ack</t>
  </si>
  <si>
    <t>SR( From_RBT_Stepper1Reset, From_RBT_Weld1InProgress )</t>
  </si>
  <si>
    <t>To_PLC_StepperReset2Ack</t>
  </si>
  <si>
    <t>To_PLC_StepMode</t>
  </si>
  <si>
    <t>To_PLC_BatteryLow</t>
  </si>
  <si>
    <t>To_PLC_ReposTooling1</t>
  </si>
  <si>
    <t>StdModuleOK AND BitwiseIsBitOn(4,From_RBT_RepoTooling,0)</t>
  </si>
  <si>
    <t>To_PLC_ReposTooling2</t>
  </si>
  <si>
    <t>StdModuleOK AND BitwiseIsBitOn(4,From_RBT_RepoTooling,1)</t>
  </si>
  <si>
    <t>To_PLC_ReposTooling3</t>
  </si>
  <si>
    <t>StdModuleOK AND BitwiseIsBitOn(4,From_RBT_RepoTooling,2)</t>
  </si>
  <si>
    <t>To_PLC_TeachPendantEnbd</t>
  </si>
  <si>
    <t>(NOT From_KEY_NotAutoSS) AND StdModuleOK</t>
  </si>
  <si>
    <t>To_PLC_StartExtApp1Proc</t>
  </si>
  <si>
    <t>StdModuleOK AND TOF(FE(NOT From_PLC_ExtApp1StartReq),5)</t>
  </si>
  <si>
    <t>To_PLC_StartExtApp2Proc</t>
  </si>
  <si>
    <t>StdModuleOK AND TOF(FE(NOT From_PLC_ExtApp2StartReq),5)</t>
  </si>
  <si>
    <t>To_PLC_ToolIDOnWrist1</t>
  </si>
  <si>
    <t>StdModuleOK AND BitwiseIsBitOn(4,RobotToolID,0)</t>
  </si>
  <si>
    <t>To_PLC_ToolIDOnWrist2</t>
  </si>
  <si>
    <t>StdModuleOK AND BitwiseIsBitOn(4,RobotToolID,1)</t>
  </si>
  <si>
    <t>To_PLC_ToolIDOnWrist4</t>
  </si>
  <si>
    <t>StdModuleOK AND BitwiseIsBitOn(4,RobotToolID,2)</t>
  </si>
  <si>
    <t>To_PLC_ProcessFault</t>
  </si>
  <si>
    <t>StdModuleOK AND ProcessFaultActive</t>
  </si>
  <si>
    <t>To_PLC_AppErrorActive</t>
  </si>
  <si>
    <t>StdModuleOK AND (AppErrorActive OR AppErrorReadyToClear)</t>
  </si>
  <si>
    <t>To_PLC_AppErrorBit1</t>
  </si>
  <si>
    <t>StdModuleOK AND ((AppErrorActive AND BitwiseIsBitOn(4,ActiveAppErrorCode,0)) OR (AppErrorStored AND AppErrorReadyToClear AND BitwiseIsBitOn(4,StoredAppErrorCode,0)))</t>
  </si>
  <si>
    <t>To_PLC_AppErrorBit2</t>
  </si>
  <si>
    <t>StdModuleOK AND ((AppErrorActive AND BitwiseIsBitOn(4,ActiveAppErrorCode,1)) OR (AppErrorStored AND AppErrorReadyToClear AND BitwiseIsBitOn(4,StoredAppErrorCode,1)))</t>
  </si>
  <si>
    <t>To_PLC_AppErrorBit4</t>
  </si>
  <si>
    <t>StdModuleOK AND ((AppErrorActive AND BitwiseIsBitOn(4,ActiveAppErrorCode,2)) OR (AppErrorStored AND AppErrorReadyToClear AND BitwiseIsBitOn(4,StoredAppErrorCode,2)))</t>
  </si>
  <si>
    <t>To_PLC_AppErrorBit8</t>
  </si>
  <si>
    <t>StdModuleOK AND ((AppErrorActive AND BitwiseIsBitOn(4,ActiveAppErrorCode,3)) OR (AppErrorStored AND AppErrorReadyToClear AND BitwiseIsBitOn(4,StoredAppErrorCode,3)))</t>
  </si>
  <si>
    <t>To_PLC_AppErrorBit16</t>
  </si>
  <si>
    <t>StdModuleOK AND ((AppErrorActive AND BitwiseIsBitOn(4,ActiveAppErrorCode,4)) OR (AppErrorStored AND AppErrorReadyToClear AND BitwiseIsBitOn(4,StoredAppErrorCode,4)))</t>
  </si>
  <si>
    <t>To_PLC_AppErrorBit32</t>
  </si>
  <si>
    <t>StdModuleOK AND ((AppErrorActive AND BitwiseIsBitOn(4,ActiveAppErrorCode,5)) OR (AppErrorStored AND AppErrorReadyToClear AND BitwiseIsBitOn(4,StoredAppErrorCode,5)))</t>
  </si>
  <si>
    <t>To_PLC_AppErrorBit64</t>
  </si>
  <si>
    <t>StdModuleOK AND ((AppErrorActive AND BitwiseIsBitOn(4,ActiveAppErrorCode,6)) OR (AppErrorStored AND AppErrorReadyToClear AND BitwiseIsBitOn(4,StoredAppErrorCode,6)))</t>
  </si>
  <si>
    <t>To_PLC_AppErrorBit128</t>
  </si>
  <si>
    <t>StdModuleOK AND ((AppErrorActive AND BitwiseIsBitOn(4,ActiveAppErrorCode,7)) OR (AppErrorStored AND AppErrorReadyToClear AND BitwiseIsBitOn(4,StoredAppErrorCode,7)))</t>
  </si>
  <si>
    <t>To_RBT_emergencyStop</t>
  </si>
  <si>
    <t>From_KEY_AbortProgram OR RobotAbortPulse</t>
  </si>
  <si>
    <t>To_RBT_programPause</t>
  </si>
  <si>
    <t>RobotPauseMem OR MajorFaultActive</t>
  </si>
  <si>
    <t>To_RBT_Clr2DpPkTool</t>
  </si>
  <si>
    <t>StdModuleOK * StyleFromPLC</t>
  </si>
  <si>
    <t>To_RBT_ToolingRepo</t>
  </si>
  <si>
    <t>ToolingPepoFromPLC</t>
  </si>
  <si>
    <t>To_RBT_PalletPosition</t>
  </si>
  <si>
    <t>PalletPosFromPLC</t>
  </si>
  <si>
    <t>To_RBT_ReturnFromPounceMem</t>
  </si>
  <si>
    <t>RetFromPounceMem</t>
  </si>
  <si>
    <t>To_RBT_AbortPickupMem</t>
  </si>
  <si>
    <t>To_RBT_GripperPartCheckPass</t>
  </si>
  <si>
    <t>To_RBT_SensorToolID</t>
  </si>
  <si>
    <t>From_PSF_RobotSW24V AND From_PSF_RobotTC24V AND SftyModuleOK AND 480VACPowerOk</t>
  </si>
  <si>
    <t>To_START_LB_StartProgram</t>
  </si>
  <si>
    <t>RobotInit OR VCInitialize</t>
  </si>
  <si>
    <t>To_START_LB_ProgramNumber</t>
  </si>
  <si>
    <t>(( NOT VCInitialize) * StyleFromPLC * RobotInitMem) + (VCInitialize * VCInitPgmNumber)</t>
  </si>
  <si>
    <t>From_SIM_480VACPowerOk AND (NOT From_KEY_DIST_PANEL_CB_Trip) AND (NOT From_KEY_TurnOffDisconnect)</t>
  </si>
  <si>
    <t xml:space="preserve">From_SIM_ScannerOk AND (NOT From_KEY_UnplugDnet) </t>
  </si>
  <si>
    <t>CommOk AND NOT From_KEY_TriggerStdModuleFault</t>
  </si>
  <si>
    <t>CommOk AND From_SIM_InputPwrOk AND NOT From_KEY_TriggerSftyModuleFault</t>
  </si>
  <si>
    <t>SafetyDrivesOK</t>
  </si>
  <si>
    <t>RobotOKToMove</t>
  </si>
  <si>
    <t>StyleFromPLC</t>
  </si>
  <si>
    <t>(From_PLC_STYLEBit1 * 1) + (From_PLC_STYLEBit2 * 2) + (From_PLC_STYLEBit4 * 4) + (From_PLC_STYLEBit8 * 8) + (From_PLC_STYLEBit16 * 16) + (From_PLC_STYLEBit32 * 32) + (From_PLC_STYLEBit64 * 64)</t>
  </si>
  <si>
    <t>ResetInitDelayCount</t>
  </si>
  <si>
    <t>RE(From_RBT_programEnded) OR RE(From_KEY_AbortProgram) OR RE(RobotAbortPulse)</t>
  </si>
  <si>
    <t>InitDelayCount</t>
  </si>
  <si>
    <t>(NOT ResetInitDelayCount) * ((NOT (InitDelayCount &lt; InitDelayValue)) * InitDelayCount + (InitDelayCount &lt; InitDelayValue) * (InitDelayCount + 1))</t>
  </si>
  <si>
    <t>RobotInit</t>
  </si>
  <si>
    <t xml:space="preserve">(NOT (InitDelayCount &lt; InitDelayValue)) AND From_PLC_ProdStart AND (NOT From_KEY_AbortProgram) AND (NOT RobotAbortPulse) AND (StyleFromPLC &gt; 0) </t>
  </si>
  <si>
    <t>RobotResetInitMem</t>
  </si>
  <si>
    <t>From_RBT_programEnded OR From_KEY_AbortProgram OR RobotAbortPulse</t>
  </si>
  <si>
    <t>RobotInitMem</t>
  </si>
  <si>
    <t>SR ( RobotInit RobotResetInitMem )</t>
  </si>
  <si>
    <t>RobotResume</t>
  </si>
  <si>
    <t>RobotOKToMove AND RobotInitMem AND From_PLC_Resume</t>
  </si>
  <si>
    <t>RobotResetPause</t>
  </si>
  <si>
    <t>RobotResume OR From_KEY_AbortProgram OR (NOT RobotInitMem) OR From_KEY_RestartRobot</t>
  </si>
  <si>
    <t>RobotPause</t>
  </si>
  <si>
    <t>RobotInitMem AND ( NOT RobotOKToMove)</t>
  </si>
  <si>
    <t>RobotPauseMem</t>
  </si>
  <si>
    <t>SR ( RobotPause RobotResetPause )</t>
  </si>
  <si>
    <t>VCInitialize</t>
  </si>
  <si>
    <t>From_KEY_Initialize OR ( NOT From_RBT_VCInitialized)</t>
  </si>
  <si>
    <t>RobotAbortPulse</t>
  </si>
  <si>
    <t>TOF( FE(From_RBT_AbortProgram), 2)</t>
  </si>
  <si>
    <t>From_PLC_PalletPosBit1 * 1 + From_PLC_PalletPosBit2 * 2 + From_PLC_PalletPosBit4 * 4 + From_PLC_PalletPosBit8 * 8 + From_PLC_PalletPosBit16 * 16 + From_PLC_PalletPosBit32 * 32 + From_PLC_PalletPosBit64 * 64 + From_PLC_PalletPosBit128 * 128</t>
  </si>
  <si>
    <t>From_PLC_ToolingRepod1 * 1 + From_PLC_ToolingRepod2 * 2 + From_PLC_ToolingRepod4 * 4</t>
  </si>
  <si>
    <t>PickToolFromPLC</t>
  </si>
  <si>
    <t>From_PLC_PickTool1 * 1 + From_PLC_PickTool2 * 2 + From_PLC_PickTool4 * 4 + From_PLC_PickTool8 * 8</t>
  </si>
  <si>
    <t>AppErrorStoredSet</t>
  </si>
  <si>
    <t>RE(From_PLC_AppErrorAck) AND AppErrorActive AND (ActiveAppErrorCode &gt; 0)</t>
  </si>
  <si>
    <t>AppErrorStoredReset</t>
  </si>
  <si>
    <t>RE(From_PLC_AppErrorAck) AND (NOT AppErrorActive)</t>
  </si>
  <si>
    <t>AppErrorStored</t>
  </si>
  <si>
    <t>SR (AppErrorStoredSet, AppErrorStoredReset)</t>
  </si>
  <si>
    <t>StoredAppErrorSource</t>
  </si>
  <si>
    <t>ActiveAppErrorSource * RE(AppErrorStored) + StoredAppErrorSource * (AppErrorStored AND NOT RE(AppErrorStored))</t>
  </si>
  <si>
    <t>StoredAppErrorCode</t>
  </si>
  <si>
    <t>ActiveAppErrorCode * RE(AppErrorStored) + StoredAppErrorCode * (AppErrorStored AND NOT RE(AppErrorStored))</t>
  </si>
  <si>
    <t>MajorFaultActiveSet</t>
  </si>
  <si>
    <t>RE(From_KEY_TriggerMajorFault) OR RE(GripperPartCheckFail)</t>
  </si>
  <si>
    <t>MajorFaultActiveReset</t>
  </si>
  <si>
    <t>From_KEY_ClearMajorFault OR From_PLC_FaultReset</t>
  </si>
  <si>
    <t>MajorFaultActive</t>
  </si>
  <si>
    <t>SR (MajorFaultActiveSet MajorFaultActiveReset)</t>
  </si>
  <si>
    <t>ActiveAppErrorSource</t>
  </si>
  <si>
    <t>(NOT AppErrorStored) * (AppErrorActive * ActiveAppErrorSource + (NOT AppErrorActive) * ((GripperPartCheckErrorCode = 0) * From_KEY_AppErrorSource + (GripperPartCheckErrorCode &gt; 0) * 20))</t>
  </si>
  <si>
    <t>ActiveAppErrorCode</t>
  </si>
  <si>
    <t>(NOT AppErrorStored) * ((AppErrorActive * ActiveAppErrorCode + (NOT AppErrorActive) * ((GripperPartCheckErrorCode = 0) * From_KEY_AppErrorCode + GripperPartCheckErrorCode)) * (NOT From_KEY_ClearMajorFault))</t>
  </si>
  <si>
    <t>AppErrorActiveSet</t>
  </si>
  <si>
    <t>RE((From_KEY_TriggerMinorFault OR MajorFaultActive) AND (NOT AppErrorStored)) AND ((From_KEY_AppErrorCode &gt; 0) OR (GripperPartCheckErrorCode &gt; 0))</t>
  </si>
  <si>
    <t>AppErrorActiveReset</t>
  </si>
  <si>
    <t>RE(From_PLC_AppErrorAck)</t>
  </si>
  <si>
    <t>SR (AppErrorActiveSet AppErrorActiveReset)</t>
  </si>
  <si>
    <t>ProcessFaultActiveSet</t>
  </si>
  <si>
    <t>ProcessFaultActiveReset</t>
  </si>
  <si>
    <t>From_KEY_ClearProcessFault OR From_PLC_FaultReset</t>
  </si>
  <si>
    <t>ProcessFaultActive</t>
  </si>
  <si>
    <t>SR (ProcessFaultActiveSet ProcessFaultActiveReset)</t>
  </si>
  <si>
    <t>AppErrorReadyToClear</t>
  </si>
  <si>
    <t>AppErrorStored AND (NOT (From_KEY_TriggerMinorFault OR MajorFaultActive OR GripperPartCheckFail))</t>
  </si>
  <si>
    <t>RobotInTeachSet</t>
  </si>
  <si>
    <t>RE(From_KEY_NotAutoSS)</t>
  </si>
  <si>
    <t>RobotInTeachReset</t>
  </si>
  <si>
    <t>FE(From_KEY_NotAutoSS)</t>
  </si>
  <si>
    <t>RobotInTeach</t>
  </si>
  <si>
    <t>SR(RobotInTeachSet,RobotInTeachReset)</t>
  </si>
  <si>
    <t>EnablePendantSet</t>
  </si>
  <si>
    <t>RE(From_KEY_EnablePendant)</t>
  </si>
  <si>
    <t>EnablePendantReset</t>
  </si>
  <si>
    <t>FE(From_KEY_EnablePendant) OR FE(SafetyDrivesOK) OR FE(SftyModuleOK)</t>
  </si>
  <si>
    <t>SR(EnablePendantSet,EnablePendantReset)</t>
  </si>
  <si>
    <t>WorkZone1Stop</t>
  </si>
  <si>
    <t>false AND From_RBT_InJoint1Zone1Pos</t>
  </si>
  <si>
    <t>WorkZone2Stop</t>
  </si>
  <si>
    <t>false AND From_RBT_InJoint1Zone2Pos</t>
  </si>
  <si>
    <t>WorkZone3Stop</t>
  </si>
  <si>
    <t>false AND From_RBT_InJoint1Zone3Pos</t>
  </si>
  <si>
    <t>WorkZone4Stop</t>
  </si>
  <si>
    <t>false AND From_RBT_InJoint2Zone1Pos</t>
  </si>
  <si>
    <t>WorkZone5Stop</t>
  </si>
  <si>
    <t>false AND From_RBT_InJoint3Zone1Pos</t>
  </si>
  <si>
    <t>WorkZoneFault</t>
  </si>
  <si>
    <t>WorkZone1Stop OR WorkZone2Stop OR WorkZone3Stop OR WorkZone4Stop OR WorkZone5Stop</t>
  </si>
  <si>
    <t>RetFromPounceMemSet</t>
  </si>
  <si>
    <t>RetFromPounceMemReset</t>
  </si>
  <si>
    <t>From_PLC_WorkCompleteAck OR From_RBT_RobotWorkComplete OR VCInitialize OR From_KEY_AbortProgram OR From_RBT_programEnded</t>
  </si>
  <si>
    <t>SR(RetFromPounceMemSet RetFromPounceMemReset)</t>
  </si>
  <si>
    <t>AbortPickupMemSet</t>
  </si>
  <si>
    <t>AbortPickupMemReset</t>
  </si>
  <si>
    <t>SR(AbortPickupMemSet AbortPickupMemReset)</t>
  </si>
  <si>
    <t>GripperPartStatusOK_01</t>
  </si>
  <si>
    <t>(BitwiseIsBitOn(4,From_RBT_GripperPartCheck,0) AND From_SNS_PART01_PartPresent) OR (NOT BitwiseIsBitOn(4,From_RBT_GripperPartCheck,0))</t>
  </si>
  <si>
    <t>GripperPartStatusOK_02</t>
  </si>
  <si>
    <t>(BitwiseIsBitOn(4,From_RBT_GripperPartCheck,1) AND From_SNS_PART02_PartPresent) OR (NOT BitwiseIsBitOn(4,From_RBT_GripperPartCheck,1))</t>
  </si>
  <si>
    <t>GripperPartStatusOK_03</t>
  </si>
  <si>
    <t>(BitwiseIsBitOn(4,From_RBT_GripperPartCheck,2) AND From_SNS_PART03_PartPresent) OR (NOT BitwiseIsBitOn(4,From_RBT_GripperPartCheck,2))</t>
  </si>
  <si>
    <t>GripperPartStatusOK_04</t>
  </si>
  <si>
    <t>(BitwiseIsBitOn(4,From_RBT_GripperPartCheck,3) AND From_SNS_PART04_PartPresent) OR (NOT BitwiseIsBitOn(4,From_RBT_GripperPartCheck,3))</t>
  </si>
  <si>
    <t>GripperPartStatusOK_05</t>
  </si>
  <si>
    <t>(BitwiseIsBitOn(4,From_RBT_GripperPartCheck,4) AND From_SNS_PART05_PartPresent) OR (NOT BitwiseIsBitOn(4,From_RBT_GripperPartCheck,4))</t>
  </si>
  <si>
    <t>GripperPartStatusOK_06</t>
  </si>
  <si>
    <t>(BitwiseIsBitOn(4,From_RBT_GripperPartCheck,5) AND From_SNS_PART06_PartPresent) OR (NOT BitwiseIsBitOn(4,From_RBT_GripperPartCheck,5))</t>
  </si>
  <si>
    <t>GripperPartStatusOK_07</t>
  </si>
  <si>
    <t>(BitwiseIsBitOn(4,From_RBT_GripperPartCheck,6) AND From_SNS_PART07_PartPresent) OR (NOT BitwiseIsBitOn(4,From_RBT_GripperPartCheck,6))</t>
  </si>
  <si>
    <t>GripperPartStatusOK_08</t>
  </si>
  <si>
    <t>(BitwiseIsBitOn(4,From_RBT_GripperPartCheck,7) AND From_SNS_PART08_PartPresent) OR (NOT BitwiseIsBitOn(4,From_RBT_GripperPartCheck,7))</t>
  </si>
  <si>
    <t>GripperPartStatusOK_09</t>
  </si>
  <si>
    <t>(BitwiseIsBitOn(4,From_RBT_GripperPartCheck,8) AND From_SNS_PART09_PartPresent) OR (NOT BitwiseIsBitOn(4,From_RBT_GripperPartCheck,8))</t>
  </si>
  <si>
    <t>GripperPartStatusOK_10</t>
  </si>
  <si>
    <t>(BitwiseIsBitOn(4,From_RBT_GripperPartCheck,9) AND From_SNS_PART10_PartPresent) OR (NOT BitwiseIsBitOn(4,From_RBT_GripperPartCheck,9))</t>
  </si>
  <si>
    <t>GripperPartStatusOK_11</t>
  </si>
  <si>
    <t>(BitwiseIsBitOn(4,From_RBT_GripperPartCheck,10) AND From_SNS_PART11_PartPresent) OR (NOT BitwiseIsBitOn(4,From_RBT_GripperPartCheck,10))</t>
  </si>
  <si>
    <t>GripperPartStatusOK_12</t>
  </si>
  <si>
    <t>(BitwiseIsBitOn(4,From_RBT_GripperPartCheck,11) AND From_SNS_PART12_PartPresent) OR (NOT BitwiseIsBitOn(4,From_RBT_GripperPartCheck,11))</t>
  </si>
  <si>
    <t>((From_RBT_GripperPartCheck &gt; 0) AND GripperPartStatusOK_01 AND GripperPartStatusOK_02 AND GripperPartStatusOK_03 AND GripperPartStatusOK_04 AND GripperPartStatusOK_05 AND GripperPartStatusOK_06 AND GripperPartStatusOK_07 AND GripperPartStatusOK_08 AND GripperPartStatusOK_09 AND GripperPartStatusOK_10 AND GripperPartStatusOK_11 AND GripperPartStatusOK_12) OR From_PLC_UseDryCycle</t>
  </si>
  <si>
    <t>GripperPartCheckFail</t>
  </si>
  <si>
    <t>(From_RBT_GripperPartCheck &gt; 0) AND (NOT GripperPartCheckPass) AND NOT From_PLC_UseDryCycle</t>
  </si>
  <si>
    <t>GripperPartCheckErrorCode_Part01</t>
  </si>
  <si>
    <t>NOT GripperPartStatusOK_01</t>
  </si>
  <si>
    <t>GripperPartCheckErrorCode_Part02</t>
  </si>
  <si>
    <t>(NOT GripperPartCheckErrorCode_Part01) AND (NOT GripperPartStatusOK_02)</t>
  </si>
  <si>
    <t>GripperPartCheckErrorCode_Part03</t>
  </si>
  <si>
    <t>(NOT (GripperPartCheckErrorCode_Part01 OR GripperPartCheckErrorCode_Part02)) AND (NOT GripperPartStatusOK_03)</t>
  </si>
  <si>
    <t>GripperPartCheckErrorCode_Part04</t>
  </si>
  <si>
    <t>(NOT (GripperPartCheckErrorCode_Part01 OR GripperPartCheckErrorCode_Part02 OR GripperPartCheckErrorCode_Part03)) AND (NOT GripperPartStatusOK_04)</t>
  </si>
  <si>
    <t>GripperPartCheckErrorCode_Part05</t>
  </si>
  <si>
    <t>(NOT (GripperPartCheckErrorCode_Part01 OR GripperPartCheckErrorCode_Part02 OR GripperPartCheckErrorCode_Part03 OR GripperPartCheckErrorCode_Part04)) AND (NOT GripperPartStatusOK_05)</t>
  </si>
  <si>
    <t>GripperPartCheckErrorCode_Part06</t>
  </si>
  <si>
    <t>(NOT (GripperPartCheckErrorCode_Part01 OR GripperPartCheckErrorCode_Part02 OR GripperPartCheckErrorCode_Part03 OR GripperPartCheckErrorCode_Part04 OR GripperPartCheckErrorCode_Part05)) AND (NOT GripperPartStatusOK_06)</t>
  </si>
  <si>
    <t>GripperPartCheckErrorCode_Part07</t>
  </si>
  <si>
    <t>(NOT (GripperPartCheckErrorCode_Part01 OR GripperPartCheckErrorCode_Part02 OR GripperPartCheckErrorCode_Part03 OR GripperPartCheckErrorCode_Part04 OR GripperPartCheckErrorCode_Part05 OR GripperPartCheckErrorCode_Part06)) AND (NOT GripperPartStatusOK_07)</t>
  </si>
  <si>
    <t>GripperPartCheckErrorCode_Part08</t>
  </si>
  <si>
    <t>(NOT (GripperPartCheckErrorCode_Part01 OR GripperPartCheckErrorCode_Part02 OR GripperPartCheckErrorCode_Part03 OR GripperPartCheckErrorCode_Part04 OR GripperPartCheckErrorCode_Part05 OR GripperPartCheckErrorCode_Part06 OR GripperPartCheckErrorCode_Part07)) AND (NOT GripperPartStatusOK_08)</t>
  </si>
  <si>
    <t>GripperPartCheckErrorCode_Part09</t>
  </si>
  <si>
    <t>(NOT (GripperPartCheckErrorCode_Part01 OR GripperPartCheckErrorCode_Part02 OR GripperPartCheckErrorCode_Part03 OR GripperPartCheckErrorCode_Part04 OR GripperPartCheckErrorCode_Part05 OR GripperPartCheckErrorCode_Part06 OR GripperPartCheckErrorCode_Part07 OR GripperPartCheckErrorCode_Part08)) AND (NOT GripperPartStatusOK_09)</t>
  </si>
  <si>
    <t>GripperPartCheckErrorCode_Part10</t>
  </si>
  <si>
    <t>(NOT (GripperPartCheckErrorCode_Part01 OR GripperPartCheckErrorCode_Part02 OR GripperPartCheckErrorCode_Part03 OR GripperPartCheckErrorCode_Part04 OR GripperPartCheckErrorCode_Part05 OR GripperPartCheckErrorCode_Part06 OR GripperPartCheckErrorCode_Part07 OR GripperPartCheckErrorCode_Part08 OR GripperPartCheckErrorCode_Part09)) AND (NOT GripperPartStatusOK_10)</t>
  </si>
  <si>
    <t>GripperPartCheckErrorCode_Part11</t>
  </si>
  <si>
    <t>(NOT (GripperPartCheckErrorCode_Part01 OR GripperPartCheckErrorCode_Part02 OR GripperPartCheckErrorCode_Part03 OR GripperPartCheckErrorCode_Part04 OR GripperPartCheckErrorCode_Part05 OR GripperPartCheckErrorCode_Part06 OR GripperPartCheckErrorCode_Part07 OR GripperPartCheckErrorCode_Part08 OR GripperPartCheckErrorCode_Part09 OR GripperPartCheckErrorCode_Part10)) AND (NOT GripperPartStatusOK_11)</t>
  </si>
  <si>
    <t>GripperPartCheckErrorCode_Part12</t>
  </si>
  <si>
    <t>(NOT (GripperPartCheckErrorCode_Part01 OR GripperPartCheckErrorCode_Part02 OR GripperPartCheckErrorCode_Part03 OR GripperPartCheckErrorCode_Part04 OR GripperPartCheckErrorCode_Part05 OR GripperPartCheckErrorCode_Part06 OR GripperPartCheckErrorCode_Part07 OR GripperPartCheckErrorCode_Part08 OR GripperPartCheckErrorCode_Part09 OR GripperPartCheckErrorCode_Part10 OR GripperPartCheckErrorCode_Part11)) AND (NOT GripperPartStatusOK_12)</t>
  </si>
  <si>
    <t>GripperPartCheckErrorCode</t>
  </si>
  <si>
    <t>GripperPartCheckFail * (GripperPartCheckErrorCode_Part01 * 13 + GripperPartCheckErrorCode_Part02 * 14 + GripperPartCheckErrorCode_Part03 * 15 + GripperPartCheckErrorCode_Part04 * 16 + GripperPartCheckErrorCode_Part05 * 17 + GripperPartCheckErrorCode_Part06 * 18 + GripperPartCheckErrorCode_Part07 * 19 + GripperPartCheckErrorCode_Part08 * 20 + GripperPartCheckErrorCode_Part09 * 21 + GripperPartCheckErrorCode_Part10 * 22 + GripperPartCheckErrorCode_Part11 * 23 + GripperPartCheckErrorCode_Part12 * 24)</t>
  </si>
  <si>
    <t>NumEOATPresent</t>
  </si>
  <si>
    <t>From_SNS_EOAT01_PartPresent * 1 + From_SNS_EOAT02_PartPresent * 1 + From_SNS_EOAT03_PartPresent * 1 + From_SNS_EOAT04_PartPresent * 1 + From_SNS_EOAT05_PartPresent * 1 + From_SNS_EOAT06_PartPresent * 1 + From_SNS_EOAT07_PartPresent * 1</t>
  </si>
  <si>
    <t>SingleEOATPresent</t>
  </si>
  <si>
    <t>NumEOATPresent = 1</t>
  </si>
  <si>
    <t>SingleEOATPresent * (From_SNS_EOAT01_PartPresent * 1 + From_SNS_EOAT02_PartPresent * 2 + From_SNS_EOAT03_PartPresent * 3 + From_SNS_EOAT04_PartPresent * 4 + From_SNS_EOAT05_PartPresent * 5 + From_SNS_EOAT06_PartPresent * 6 + From_SNS_EOAT07_PartPresent * 7)</t>
  </si>
  <si>
    <t>RobotToolID</t>
  </si>
  <si>
    <t>(From_RBT_ToolIDOnWrist &gt; 0) * From_RBT_ToolIDOnWrist + (NOT (From_RBT_ToolIDOnWrist &gt; 0)) * SensorToolID</t>
  </si>
  <si>
    <t>VCInitPgmNumber</t>
  </si>
  <si>
    <t>254</t>
  </si>
  <si>
    <t>InitDelayValue</t>
  </si>
  <si>
    <t>STELLANTIS_DN_FANUC_ROBOT_128_BIT_INTEGRATED_SAFETY_SxxRyy.v00</t>
  </si>
  <si>
    <t>FCA_DN_FANUC</t>
  </si>
  <si>
    <t>RobotEStop</t>
  </si>
  <si>
    <t>CSI_1</t>
  </si>
  <si>
    <t>ROBOT ESTOP</t>
  </si>
  <si>
    <t>RobotGeneralStop</t>
  </si>
  <si>
    <t>CSI_2</t>
  </si>
  <si>
    <t>ROBOT GENERAL STOP</t>
  </si>
  <si>
    <t>CSI_3</t>
  </si>
  <si>
    <t>ROBOT SW24V</t>
  </si>
  <si>
    <t>CSI_4</t>
  </si>
  <si>
    <t>ROBOT TC24V</t>
  </si>
  <si>
    <t>RobotDisableJoint1Zone</t>
  </si>
  <si>
    <t>CSI_10</t>
  </si>
  <si>
    <t>ROBOT Disable Joint 1 Zone</t>
  </si>
  <si>
    <t>RobotDisableJoint2Zone</t>
  </si>
  <si>
    <t>CSI_11</t>
  </si>
  <si>
    <t>ROBOT Disable Joint 2 Zone</t>
  </si>
  <si>
    <t>AB:DEVICENET_SAFETYMODULE_6Bytes:I:0</t>
  </si>
  <si>
    <t>CSO_1</t>
  </si>
  <si>
    <t>ROBOT ESTOP MONITOR</t>
  </si>
  <si>
    <t>CSO_2</t>
  </si>
  <si>
    <t>RobotAutoMonitor</t>
  </si>
  <si>
    <t>CSO_3</t>
  </si>
  <si>
    <t>ROBOT AUTO MONITOR</t>
  </si>
  <si>
    <t>CSO_4</t>
  </si>
  <si>
    <t>ROBOT AUX PWR MONITOR</t>
  </si>
  <si>
    <t>CSO_5</t>
  </si>
  <si>
    <t>ROBOT TC24V MONITOR</t>
  </si>
  <si>
    <t>RobotDMMonitor</t>
  </si>
  <si>
    <t>CSO_7</t>
  </si>
  <si>
    <t>ROBOT DM MONITOR</t>
  </si>
  <si>
    <t>RobotCSBPMonitor</t>
  </si>
  <si>
    <t>CSO_8</t>
  </si>
  <si>
    <t>ROBOT CSBP MONITOR</t>
  </si>
  <si>
    <t>RobotJoint1ZoneDisabled</t>
  </si>
  <si>
    <t>CSO_10</t>
  </si>
  <si>
    <t>ROBOT Joint 1 Zone Disabled</t>
  </si>
  <si>
    <t>RobotJoint2ZoneDisabled</t>
  </si>
  <si>
    <t>CSO_11</t>
  </si>
  <si>
    <t>ROBOT Joint 2 Zone Disabled</t>
  </si>
  <si>
    <t>From_PSF_RobotEStop</t>
  </si>
  <si>
    <t>From_PSF_RobotGeneralStop</t>
  </si>
  <si>
    <t>From_PSF_RobotDisableJoint1Zone</t>
  </si>
  <si>
    <t>From_PSF_RobotDisableJoint2Zone</t>
  </si>
  <si>
    <t>To_PSF_RunMode</t>
  </si>
  <si>
    <t>To_PSF_ConnectionFaulted</t>
  </si>
  <si>
    <t>To_PSF_RobotEStop</t>
  </si>
  <si>
    <t>(NOT (From_PSF_RobotGeneralStop AND From_PSF_RobotEStop)) AND SftyModuleOK</t>
  </si>
  <si>
    <t>To_PSF_RobotAutoMonitor</t>
  </si>
  <si>
    <t>(NOT From_KEY_NotAutoSS) AND SftyModuleOK</t>
  </si>
  <si>
    <t>To_PSF_RobotDMMonitor</t>
  </si>
  <si>
    <t>From_KEY_EnablePendant AND SftyModuleOK</t>
  </si>
  <si>
    <t>To_PSF_RobotCSBPMonitor</t>
  </si>
  <si>
    <t>To_PSF_RobotJoint1ZoneDisabled</t>
  </si>
  <si>
    <t>From_PSF_RobotDisableJoint1Zone AND SftyModuleOK</t>
  </si>
  <si>
    <t>To_PSF_RobotJoint2ZoneDisabled</t>
  </si>
  <si>
    <t>From_PSF_RobotDisableJoint2Zone AND SftyModuleOK</t>
  </si>
  <si>
    <t>From_PSF_RobotEStop AND (From_PSF_RobotGeneralStop AND ((NOT RobotInTeach) OR (RobotInTeach AND EnablePendant))) AND (NOT From_KEY_RobotNotHoldSS) AND (NOT WorkZoneFault) AND 480VACPowerOk</t>
  </si>
  <si>
    <t>From_PSF_RobotGeneralStop AND From_PSF_RobotEStop AND From_PLC_NoHold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</si>
</sst>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6">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indexed="13"/>
        <bgColor indexed="64"/>
      </patternFill>
    </fill>
    <fill>
      <patternFill patternType="solid">
        <fgColor rgb="FFFFC000"/>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93">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0" fontId="0" fillId="21" borderId="0" xfId="0" applyFill="1"/>
    <xf numFmtId="0" fontId="0" fillId="22" borderId="0" xfId="0" applyFill="1"/>
    <xf numFmtId="0" fontId="0" fillId="23" borderId="0" xfId="0" applyFill="1"/>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0" fontId="0" fillId="22" borderId="0" xfId="0" applyFill="1" applyAlignment="1">
      <alignment horizontal="left"/>
    </xf>
    <xf numFmtId="0" fontId="0" fillId="0" borderId="0" xfId="0" applyAlignment="1">
      <alignment horizontal="left"/>
    </xf>
    <xf numFmtId="49" fontId="2" fillId="5" borderId="4" xfId="0" applyNumberFormat="1" applyFont="1" applyFill="1" applyBorder="1" applyAlignment="1">
      <alignment vertical="center" wrapText="1"/>
    </xf>
    <xf numFmtId="49" fontId="2" fillId="24" borderId="4" xfId="0" applyNumberFormat="1" applyFont="1" applyFill="1" applyBorder="1" applyAlignment="1">
      <alignment vertical="center"/>
    </xf>
    <xf numFmtId="49" fontId="2" fillId="25" borderId="4" xfId="0" applyNumberFormat="1" applyFont="1" applyFill="1" applyBorder="1" applyAlignment="1">
      <alignment vertical="center" wrapText="1"/>
    </xf>
    <xf numFmtId="49" fontId="2" fillId="17" borderId="4" xfId="0" applyNumberFormat="1" applyFont="1" applyFill="1" applyBorder="1" applyAlignment="1">
      <alignment vertical="center" wrapText="1"/>
    </xf>
  </cellXfs>
  <cellStyles count="1">
    <cellStyle name="Normal" xfId="0" builtinId="0"/>
  </cellStyles>
  <dxfs count="53">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1263650</xdr:colOff>
          <xdr:row>3</xdr:row>
          <xdr:rowOff>146050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1263650</xdr:colOff>
          <xdr:row>6</xdr:row>
          <xdr:rowOff>158750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158750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146050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158750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2692400</xdr:colOff>
          <xdr:row>2</xdr:row>
          <xdr:rowOff>158750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1835150</xdr:colOff>
          <xdr:row>2</xdr:row>
          <xdr:rowOff>177800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F10" sqref="F10"/>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186</v>
      </c>
      <c r="G2" s="54" t="str">
        <f ca="1">SUBSTITUTE( LEFT(CELL("filename",A1),FIND("]",CELL("filename",A1))-1),"[","")</f>
        <v>C:\Users\BryanJoseMaldonadoGa\source\repos\VC Validation Tracker Generator\assets\Signal Template - STELLANTIS - DN - Common - Robots - 128 Bit - Base - Fanuc - Integrated Safety - v00.00.xlsm</v>
      </c>
      <c r="H2" s="54"/>
      <c r="I2" s="54"/>
      <c r="J2" s="54"/>
      <c r="K2" s="54"/>
      <c r="L2" s="54"/>
      <c r="M2" s="54"/>
      <c r="N2" s="54"/>
      <c r="O2" s="54"/>
      <c r="P2" s="54"/>
      <c r="Q2" s="54"/>
      <c r="R2" s="54"/>
      <c r="S2" s="54"/>
      <c r="T2" s="54"/>
      <c r="U2" s="54"/>
      <c r="V2" s="54"/>
    </row>
    <row r="3" spans="2:22" x14ac:dyDescent="0.35">
      <c r="F3" s="23" t="s">
        <v>185</v>
      </c>
      <c r="G3" s="55">
        <v>45580.411932870367</v>
      </c>
      <c r="H3" s="54"/>
      <c r="I3" s="54"/>
      <c r="J3" s="54"/>
      <c r="K3" s="54"/>
      <c r="L3" s="54"/>
      <c r="M3" s="54"/>
      <c r="N3" s="54"/>
      <c r="O3" s="54"/>
      <c r="P3" s="54"/>
      <c r="Q3" s="54"/>
      <c r="R3" s="54"/>
      <c r="S3" s="54"/>
      <c r="T3" s="54"/>
      <c r="U3" s="54"/>
      <c r="V3" s="54"/>
    </row>
    <row r="4" spans="2:22" x14ac:dyDescent="0.35">
      <c r="F4" s="23" t="s">
        <v>213</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128</v>
      </c>
      <c r="G5" s="53" t="s">
        <v>319</v>
      </c>
      <c r="H5" s="53"/>
      <c r="I5" s="53"/>
      <c r="J5" s="23" t="s">
        <v>129</v>
      </c>
      <c r="K5" s="54" t="s">
        <v>1148</v>
      </c>
      <c r="L5" s="54"/>
      <c r="M5" s="54"/>
      <c r="N5" s="54"/>
      <c r="O5" s="54"/>
      <c r="P5" s="54"/>
      <c r="Q5" s="54"/>
      <c r="R5" s="54"/>
      <c r="S5" s="54"/>
      <c r="T5" s="54"/>
      <c r="U5" s="54"/>
      <c r="V5" s="54"/>
    </row>
    <row r="6" spans="2:22" x14ac:dyDescent="0.35">
      <c r="F6" s="23" t="s">
        <v>209</v>
      </c>
      <c r="G6" s="53" t="str">
        <f>"ROBOTS\"&amp;Header_LB_Unique_ID</f>
        <v>ROBOTS\SxxRyy</v>
      </c>
      <c r="H6" s="53"/>
      <c r="I6" s="53"/>
      <c r="J6" s="23" t="s">
        <v>183</v>
      </c>
      <c r="K6" s="53" t="str">
        <f>$G$5&amp;"_"&amp;$D$9&amp;"_ROBOT_128_BIT_INTEGRATED_SAFETY_"&amp;$D$10&amp;".v00"</f>
        <v>STELLANTIS_DN_FANUC_ROBOT_128_BIT_INTEGRATED_SAFETY_SxxRyy.v00</v>
      </c>
      <c r="L6" s="53"/>
      <c r="M6" s="53"/>
      <c r="N6" s="53"/>
      <c r="O6" s="53"/>
      <c r="P6" s="53"/>
      <c r="Q6" s="53"/>
      <c r="R6" s="53"/>
      <c r="S6" s="53"/>
      <c r="T6" s="53"/>
      <c r="U6" s="53"/>
      <c r="V6" s="53"/>
    </row>
    <row r="7" spans="2:22" ht="15" thickBot="1" x14ac:dyDescent="0.4">
      <c r="F7" s="23" t="s">
        <v>208</v>
      </c>
      <c r="G7" s="53" t="s">
        <v>320</v>
      </c>
      <c r="H7" s="53"/>
      <c r="I7" s="53"/>
      <c r="J7" s="23" t="s">
        <v>184</v>
      </c>
      <c r="K7" s="53" t="s">
        <v>180</v>
      </c>
    </row>
    <row r="8" spans="2:22" ht="15" thickBot="1" x14ac:dyDescent="0.4">
      <c r="B8" s="67" t="s">
        <v>217</v>
      </c>
      <c r="F8" s="51"/>
      <c r="G8" s="51"/>
      <c r="H8" s="51"/>
      <c r="I8" s="51"/>
      <c r="J8" s="51"/>
      <c r="K8" s="51"/>
      <c r="L8" s="51"/>
      <c r="M8" s="51"/>
      <c r="N8" s="51"/>
      <c r="O8" s="51"/>
      <c r="P8" s="51"/>
      <c r="Q8" s="51"/>
      <c r="R8" s="51"/>
      <c r="S8" s="51"/>
      <c r="T8" s="51"/>
      <c r="U8" s="51"/>
      <c r="V8" s="51"/>
    </row>
    <row r="9" spans="2:22" ht="15" thickBot="1" x14ac:dyDescent="0.4">
      <c r="B9" s="1" t="s">
        <v>61</v>
      </c>
      <c r="C9" s="69"/>
      <c r="D9" s="22" t="s">
        <v>299</v>
      </c>
      <c r="F9" s="21" t="str">
        <f>$B$10</f>
        <v>LB Unique ID</v>
      </c>
      <c r="G9" s="21" t="str">
        <f>$B$14</f>
        <v>OPC Server</v>
      </c>
      <c r="H9" s="21" t="str">
        <f>$B$15</f>
        <v>PLC Robot Name</v>
      </c>
      <c r="I9" s="21" t="str">
        <f>$B$16</f>
        <v>Dnet Network</v>
      </c>
      <c r="J9" s="21" t="str">
        <f>$B$17</f>
        <v>Safety Node [*Mapped DINT]</v>
      </c>
      <c r="K9" s="21" t="str">
        <f>$B$18</f>
        <v>Standard Node [*Mapped DINT]</v>
      </c>
      <c r="L9" s="21" t="str">
        <f>$B$19</f>
        <v>PDP:480V CB</v>
      </c>
      <c r="M9" s="21" t="str">
        <f>$B$20</f>
        <v>24VDC Source</v>
      </c>
      <c r="N9" s="21" t="str">
        <f>$B$21</f>
        <v>*Process 1</v>
      </c>
      <c r="O9" s="21" t="str">
        <f>$B$22</f>
        <v>*Process 2</v>
      </c>
      <c r="P9" s="21" t="str">
        <f>$B$23</f>
        <v>*Rbt Type [MH;TC;RACK]</v>
      </c>
      <c r="Q9" s="21" t="str">
        <f>$B$24</f>
        <v>*Parts</v>
      </c>
      <c r="R9" s="21" t="str">
        <f>$B$25</f>
        <v>*2nd Home Pose</v>
      </c>
      <c r="S9" s="21" t="str">
        <f>$B$26</f>
        <v>*DCS</v>
      </c>
      <c r="T9" s="21" t="str">
        <f>$B$27</f>
        <v>*TC # of tools (1-7)</v>
      </c>
      <c r="U9" s="21" t="str">
        <f>$B$28</f>
        <v>&lt;Config15&gt;</v>
      </c>
      <c r="V9" s="21" t="str">
        <f>$B$29</f>
        <v>&lt;Config16&gt;</v>
      </c>
    </row>
    <row r="10" spans="2:22" x14ac:dyDescent="0.35">
      <c r="B10" s="2" t="s">
        <v>60</v>
      </c>
      <c r="C10" s="5"/>
      <c r="D10" s="78" t="s">
        <v>293</v>
      </c>
      <c r="F10" s="70"/>
      <c r="G10" s="71"/>
      <c r="H10" s="71"/>
      <c r="I10" s="71"/>
      <c r="J10" s="71"/>
      <c r="K10" s="71"/>
      <c r="L10" s="71"/>
      <c r="M10" s="71"/>
      <c r="N10" s="71"/>
      <c r="O10" s="71"/>
      <c r="P10" s="71"/>
      <c r="Q10" s="71"/>
      <c r="R10" s="71"/>
      <c r="S10" s="71"/>
      <c r="T10" s="71"/>
      <c r="U10" s="71"/>
      <c r="V10" s="72"/>
    </row>
    <row r="11" spans="2:22" x14ac:dyDescent="0.35">
      <c r="B11" s="2" t="s">
        <v>18</v>
      </c>
      <c r="C11" s="5"/>
      <c r="D11" s="3" t="str">
        <f>$D$9&amp;"_"&amp;SUBSTITUTE(SUBSTITUTE($D$10,"|","_"),":","_")</f>
        <v>FANUC_SxxRyy</v>
      </c>
      <c r="F11" s="73"/>
      <c r="G11" s="18"/>
      <c r="H11" s="18"/>
      <c r="I11" s="18"/>
      <c r="J11" s="18"/>
      <c r="K11" s="18"/>
      <c r="L11" s="18"/>
      <c r="M11" s="18"/>
      <c r="N11" s="18"/>
      <c r="O11" s="18"/>
      <c r="P11" s="18"/>
      <c r="Q11" s="18"/>
      <c r="R11" s="18"/>
      <c r="S11" s="18"/>
      <c r="T11" s="18"/>
      <c r="U11" s="18"/>
      <c r="V11" s="74"/>
    </row>
    <row r="12" spans="2:22" x14ac:dyDescent="0.35">
      <c r="B12" s="2" t="s">
        <v>67</v>
      </c>
      <c r="C12" s="5"/>
      <c r="D12" s="3" t="s">
        <v>68</v>
      </c>
      <c r="F12" s="73"/>
      <c r="G12" s="18"/>
      <c r="H12" s="18"/>
      <c r="I12" s="18"/>
      <c r="J12" s="18"/>
      <c r="K12" s="18"/>
      <c r="L12" s="18"/>
      <c r="M12" s="18"/>
      <c r="N12" s="18"/>
      <c r="O12" s="18"/>
      <c r="P12" s="18"/>
      <c r="Q12" s="18"/>
      <c r="R12" s="18"/>
      <c r="S12" s="18"/>
      <c r="T12" s="18"/>
      <c r="U12" s="18"/>
      <c r="V12" s="74"/>
    </row>
    <row r="13" spans="2:22" x14ac:dyDescent="0.35">
      <c r="B13" s="58" t="s">
        <v>157</v>
      </c>
      <c r="C13" s="52"/>
      <c r="D13" s="59" t="str">
        <f ca="1">TRIM(RIGHT(SUBSTITUTE(LEFT(CELL("filename",A1),FIND("[",CELL("filename",A1))-2),"\",REPT(" ",LEN(LEFT(CELL("filename",A1),FIND("[",CELL("filename",A1))-2)))),LEN(LEFT(CELL("filename",A1),FIND("[",CELL("filename",A1))-2))))</f>
        <v>assets</v>
      </c>
      <c r="F13" s="73"/>
      <c r="G13" s="18"/>
      <c r="H13" s="18"/>
      <c r="I13" s="18"/>
      <c r="J13" s="18"/>
      <c r="K13" s="18"/>
      <c r="L13" s="18"/>
      <c r="M13" s="18"/>
      <c r="N13" s="18"/>
      <c r="O13" s="18"/>
      <c r="P13" s="18"/>
      <c r="Q13" s="18"/>
      <c r="R13" s="18"/>
      <c r="S13" s="18"/>
      <c r="T13" s="18"/>
      <c r="U13" s="18"/>
      <c r="V13" s="74"/>
    </row>
    <row r="14" spans="2:22" x14ac:dyDescent="0.35">
      <c r="B14" s="10" t="s">
        <v>242</v>
      </c>
      <c r="C14" s="5"/>
      <c r="D14" s="78" t="s">
        <v>244</v>
      </c>
      <c r="F14" s="73"/>
      <c r="G14" s="18"/>
      <c r="H14" s="18"/>
      <c r="I14" s="18"/>
      <c r="J14" s="18"/>
      <c r="K14" s="18"/>
      <c r="L14" s="18"/>
      <c r="M14" s="18"/>
      <c r="N14" s="18"/>
      <c r="O14" s="18"/>
      <c r="P14" s="18"/>
      <c r="Q14" s="18"/>
      <c r="R14" s="18"/>
      <c r="S14" s="18"/>
      <c r="T14" s="18"/>
      <c r="U14" s="18"/>
      <c r="V14" s="74"/>
    </row>
    <row r="15" spans="2:22" x14ac:dyDescent="0.35">
      <c r="B15" s="10" t="s">
        <v>300</v>
      </c>
      <c r="C15" s="5"/>
      <c r="D15" s="78" t="s">
        <v>293</v>
      </c>
      <c r="F15" s="73"/>
      <c r="G15" s="18"/>
      <c r="H15" s="18"/>
      <c r="I15" s="18"/>
      <c r="J15" s="18"/>
      <c r="K15" s="18"/>
      <c r="L15" s="18"/>
      <c r="M15" s="18"/>
      <c r="N15" s="18"/>
      <c r="O15" s="18"/>
      <c r="P15" s="18"/>
      <c r="Q15" s="18"/>
      <c r="R15" s="18"/>
      <c r="S15" s="18"/>
      <c r="T15" s="18"/>
      <c r="U15" s="18"/>
      <c r="V15" s="74"/>
    </row>
    <row r="16" spans="2:22" x14ac:dyDescent="0.35">
      <c r="B16" s="10" t="s">
        <v>243</v>
      </c>
      <c r="C16" s="5"/>
      <c r="D16" s="78">
        <v>201</v>
      </c>
      <c r="F16" s="73"/>
      <c r="G16" s="18"/>
      <c r="H16" s="18"/>
      <c r="I16" s="18"/>
      <c r="J16" s="18"/>
      <c r="K16" s="18"/>
      <c r="L16" s="18"/>
      <c r="M16" s="18"/>
      <c r="N16" s="18"/>
      <c r="O16" s="18"/>
      <c r="P16" s="18"/>
      <c r="Q16" s="18"/>
      <c r="R16" s="18"/>
      <c r="S16" s="18"/>
      <c r="T16" s="18"/>
      <c r="U16" s="18"/>
      <c r="V16" s="74"/>
    </row>
    <row r="17" spans="2:22" x14ac:dyDescent="0.35">
      <c r="B17" s="10" t="s">
        <v>301</v>
      </c>
      <c r="C17" s="5"/>
      <c r="D17" s="78" t="s">
        <v>311</v>
      </c>
      <c r="F17" s="73"/>
      <c r="G17" s="18"/>
      <c r="H17" s="18"/>
      <c r="I17" s="18"/>
      <c r="J17" s="18"/>
      <c r="K17" s="18"/>
      <c r="L17" s="18"/>
      <c r="M17" s="18"/>
      <c r="N17" s="18"/>
      <c r="O17" s="18"/>
      <c r="P17" s="18"/>
      <c r="Q17" s="18"/>
      <c r="R17" s="18"/>
      <c r="S17" s="18"/>
      <c r="T17" s="18"/>
      <c r="U17" s="18"/>
      <c r="V17" s="74"/>
    </row>
    <row r="18" spans="2:22" x14ac:dyDescent="0.35">
      <c r="B18" s="10" t="s">
        <v>292</v>
      </c>
      <c r="C18" s="5"/>
      <c r="D18" s="78" t="s">
        <v>294</v>
      </c>
      <c r="F18" s="73"/>
      <c r="G18" s="18"/>
      <c r="H18" s="18"/>
      <c r="I18" s="18"/>
      <c r="J18" s="18"/>
      <c r="K18" s="18"/>
      <c r="L18" s="18"/>
      <c r="M18" s="18"/>
      <c r="N18" s="18"/>
      <c r="O18" s="18"/>
      <c r="P18" s="18"/>
      <c r="Q18" s="18"/>
      <c r="R18" s="18"/>
      <c r="S18" s="18"/>
      <c r="T18" s="18"/>
      <c r="U18" s="18"/>
      <c r="V18" s="74"/>
    </row>
    <row r="19" spans="2:22" x14ac:dyDescent="0.35">
      <c r="B19" s="10" t="s">
        <v>302</v>
      </c>
      <c r="C19" s="5"/>
      <c r="D19" s="78" t="s">
        <v>312</v>
      </c>
      <c r="F19" s="73"/>
      <c r="G19" s="18"/>
      <c r="H19" s="18"/>
      <c r="I19" s="18"/>
      <c r="J19" s="18"/>
      <c r="K19" s="18"/>
      <c r="L19" s="18"/>
      <c r="M19" s="18"/>
      <c r="N19" s="18"/>
      <c r="O19" s="18"/>
      <c r="P19" s="18"/>
      <c r="Q19" s="18"/>
      <c r="R19" s="18"/>
      <c r="S19" s="18"/>
      <c r="T19" s="18"/>
      <c r="U19" s="18"/>
      <c r="V19" s="74"/>
    </row>
    <row r="20" spans="2:22" x14ac:dyDescent="0.35">
      <c r="B20" s="10" t="s">
        <v>303</v>
      </c>
      <c r="C20" s="5"/>
      <c r="D20" s="78" t="s">
        <v>313</v>
      </c>
      <c r="F20" s="73"/>
      <c r="G20" s="18"/>
      <c r="H20" s="18"/>
      <c r="I20" s="18"/>
      <c r="J20" s="18"/>
      <c r="K20" s="18"/>
      <c r="L20" s="18"/>
      <c r="M20" s="18"/>
      <c r="N20" s="18"/>
      <c r="O20" s="18"/>
      <c r="P20" s="18"/>
      <c r="Q20" s="18"/>
      <c r="R20" s="18"/>
      <c r="S20" s="18"/>
      <c r="T20" s="18"/>
      <c r="U20" s="18"/>
      <c r="V20" s="74"/>
    </row>
    <row r="21" spans="2:22" x14ac:dyDescent="0.35">
      <c r="B21" s="10" t="s">
        <v>304</v>
      </c>
      <c r="C21" s="5"/>
      <c r="D21" s="78" t="s">
        <v>314</v>
      </c>
      <c r="F21" s="73"/>
      <c r="G21" s="18"/>
      <c r="H21" s="18"/>
      <c r="I21" s="18"/>
      <c r="J21" s="18"/>
      <c r="K21" s="18"/>
      <c r="L21" s="18"/>
      <c r="M21" s="18"/>
      <c r="N21" s="18"/>
      <c r="O21" s="18"/>
      <c r="P21" s="18"/>
      <c r="Q21" s="18"/>
      <c r="R21" s="18"/>
      <c r="S21" s="18"/>
      <c r="T21" s="18"/>
      <c r="U21" s="18"/>
      <c r="V21" s="74"/>
    </row>
    <row r="22" spans="2:22" x14ac:dyDescent="0.35">
      <c r="B22" s="10" t="s">
        <v>305</v>
      </c>
      <c r="C22" s="5"/>
      <c r="D22" s="78" t="s">
        <v>315</v>
      </c>
      <c r="F22" s="73"/>
      <c r="G22" s="18"/>
      <c r="H22" s="18"/>
      <c r="I22" s="18"/>
      <c r="J22" s="18"/>
      <c r="K22" s="18"/>
      <c r="L22" s="18"/>
      <c r="M22" s="18"/>
      <c r="N22" s="18"/>
      <c r="O22" s="18"/>
      <c r="P22" s="18"/>
      <c r="Q22" s="18"/>
      <c r="R22" s="18"/>
      <c r="S22" s="18"/>
      <c r="T22" s="18"/>
      <c r="U22" s="18"/>
      <c r="V22" s="74"/>
    </row>
    <row r="23" spans="2:22" x14ac:dyDescent="0.35">
      <c r="B23" s="10" t="s">
        <v>306</v>
      </c>
      <c r="C23" s="5"/>
      <c r="D23" s="78" t="s">
        <v>316</v>
      </c>
      <c r="F23" s="73"/>
      <c r="G23" s="18"/>
      <c r="H23" s="18"/>
      <c r="I23" s="18"/>
      <c r="J23" s="18"/>
      <c r="K23" s="18"/>
      <c r="L23" s="18"/>
      <c r="M23" s="18"/>
      <c r="N23" s="18"/>
      <c r="O23" s="18"/>
      <c r="P23" s="18"/>
      <c r="Q23" s="18"/>
      <c r="R23" s="18"/>
      <c r="S23" s="18"/>
      <c r="T23" s="18"/>
      <c r="U23" s="18"/>
      <c r="V23" s="74"/>
    </row>
    <row r="24" spans="2:22" x14ac:dyDescent="0.35">
      <c r="B24" s="10" t="s">
        <v>307</v>
      </c>
      <c r="C24" s="5"/>
      <c r="D24" s="78" t="s">
        <v>317</v>
      </c>
      <c r="F24" s="73"/>
      <c r="G24" s="18"/>
      <c r="H24" s="18"/>
      <c r="I24" s="18"/>
      <c r="J24" s="18"/>
      <c r="K24" s="18"/>
      <c r="L24" s="18"/>
      <c r="M24" s="18"/>
      <c r="N24" s="18"/>
      <c r="O24" s="18"/>
      <c r="P24" s="18"/>
      <c r="Q24" s="18"/>
      <c r="R24" s="18"/>
      <c r="S24" s="18"/>
      <c r="T24" s="18"/>
      <c r="U24" s="18"/>
      <c r="V24" s="74"/>
    </row>
    <row r="25" spans="2:22" x14ac:dyDescent="0.35">
      <c r="B25" s="10" t="s">
        <v>308</v>
      </c>
      <c r="C25" s="5"/>
      <c r="D25" s="78" t="s">
        <v>318</v>
      </c>
      <c r="F25" s="73"/>
      <c r="G25" s="18"/>
      <c r="H25" s="18"/>
      <c r="I25" s="18"/>
      <c r="J25" s="18"/>
      <c r="K25" s="18"/>
      <c r="L25" s="18"/>
      <c r="M25" s="18"/>
      <c r="N25" s="18"/>
      <c r="O25" s="18"/>
      <c r="P25" s="18"/>
      <c r="Q25" s="18"/>
      <c r="R25" s="18"/>
      <c r="S25" s="18"/>
      <c r="T25" s="18"/>
      <c r="U25" s="18"/>
      <c r="V25" s="74"/>
    </row>
    <row r="26" spans="2:22" x14ac:dyDescent="0.35">
      <c r="B26" s="10" t="s">
        <v>309</v>
      </c>
      <c r="C26" s="5"/>
      <c r="D26" s="78" t="s">
        <v>295</v>
      </c>
      <c r="F26" s="73"/>
      <c r="G26" s="18"/>
      <c r="H26" s="18"/>
      <c r="I26" s="18"/>
      <c r="J26" s="18"/>
      <c r="K26" s="18"/>
      <c r="L26" s="18"/>
      <c r="M26" s="18"/>
      <c r="N26" s="18"/>
      <c r="O26" s="18"/>
      <c r="P26" s="18"/>
      <c r="Q26" s="18"/>
      <c r="R26" s="18"/>
      <c r="S26" s="18"/>
      <c r="T26" s="18"/>
      <c r="U26" s="18"/>
      <c r="V26" s="74"/>
    </row>
    <row r="27" spans="2:22" x14ac:dyDescent="0.35">
      <c r="B27" s="10" t="s">
        <v>310</v>
      </c>
      <c r="C27" s="5"/>
      <c r="D27" s="78">
        <v>7</v>
      </c>
      <c r="F27" s="73"/>
      <c r="G27" s="18"/>
      <c r="H27" s="18"/>
      <c r="I27" s="18"/>
      <c r="J27" s="18"/>
      <c r="K27" s="18"/>
      <c r="L27" s="18"/>
      <c r="M27" s="18"/>
      <c r="N27" s="18"/>
      <c r="O27" s="18"/>
      <c r="P27" s="18"/>
      <c r="Q27" s="18"/>
      <c r="R27" s="18"/>
      <c r="S27" s="18"/>
      <c r="T27" s="18"/>
      <c r="U27" s="18"/>
      <c r="V27" s="74"/>
    </row>
    <row r="28" spans="2:22" x14ac:dyDescent="0.35">
      <c r="B28" s="10" t="s">
        <v>145</v>
      </c>
      <c r="C28" s="5"/>
      <c r="D28" s="78" t="s">
        <v>241</v>
      </c>
      <c r="F28" s="73"/>
      <c r="G28" s="18"/>
      <c r="H28" s="18"/>
      <c r="I28" s="18"/>
      <c r="J28" s="18"/>
      <c r="K28" s="18"/>
      <c r="L28" s="18"/>
      <c r="M28" s="18"/>
      <c r="N28" s="18"/>
      <c r="O28" s="18"/>
      <c r="P28" s="18"/>
      <c r="Q28" s="18"/>
      <c r="R28" s="18"/>
      <c r="S28" s="18"/>
      <c r="T28" s="18"/>
      <c r="U28" s="18"/>
      <c r="V28" s="74"/>
    </row>
    <row r="29" spans="2:22" ht="15" thickBot="1" x14ac:dyDescent="0.4">
      <c r="B29" s="24" t="s">
        <v>146</v>
      </c>
      <c r="C29" s="6"/>
      <c r="D29" s="79" t="s">
        <v>241</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2" priority="42" stopIfTrue="1" operator="containsText" text="Placeholder">
      <formula>NOT(ISERROR(SEARCH("Placeholder",E18)))</formula>
    </cfRule>
  </conditionalFormatting>
  <conditionalFormatting sqref="G10:G10006">
    <cfRule type="expression" dxfId="51" priority="7">
      <formula>OR($F10="",$D$14="&lt;Placeholder&gt;")</formula>
    </cfRule>
  </conditionalFormatting>
  <conditionalFormatting sqref="H10:H10006">
    <cfRule type="expression" dxfId="50" priority="14">
      <formula>OR($F10="",$D$15="&lt;Placeholder&gt;")</formula>
    </cfRule>
  </conditionalFormatting>
  <conditionalFormatting sqref="I10:I10006">
    <cfRule type="expression" dxfId="49" priority="15">
      <formula>OR($F10="",$D$16="&lt;Placeholder&gt;")</formula>
    </cfRule>
  </conditionalFormatting>
  <conditionalFormatting sqref="J10:J10006">
    <cfRule type="expression" dxfId="48" priority="16">
      <formula>OR($F10="",$D$17="&lt;Placeholder&gt;")</formula>
    </cfRule>
  </conditionalFormatting>
  <conditionalFormatting sqref="K10:K10006">
    <cfRule type="expression" dxfId="47" priority="17">
      <formula>OR($F10="",$D$18="&lt;Placeholder&gt;")</formula>
    </cfRule>
  </conditionalFormatting>
  <conditionalFormatting sqref="L10:L10006">
    <cfRule type="expression" dxfId="46" priority="24">
      <formula>OR($F10="",$D$19="&lt;Placeholder&gt;")</formula>
    </cfRule>
  </conditionalFormatting>
  <conditionalFormatting sqref="M10:M10006">
    <cfRule type="expression" dxfId="45" priority="25">
      <formula>OR($F10="",$D$20="&lt;Placeholder&gt;")</formula>
    </cfRule>
  </conditionalFormatting>
  <conditionalFormatting sqref="N10:N10006">
    <cfRule type="expression" dxfId="44" priority="26">
      <formula>OR($F10="",$D$21="&lt;Placeholder&gt;")</formula>
    </cfRule>
  </conditionalFormatting>
  <conditionalFormatting sqref="O10:O10006">
    <cfRule type="expression" dxfId="43" priority="27">
      <formula>OR($F10="",$D$22="&lt;Placeholder&gt;")</formula>
    </cfRule>
  </conditionalFormatting>
  <conditionalFormatting sqref="P10:P10006">
    <cfRule type="expression" dxfId="42" priority="28">
      <formula>OR($F10="",$D$23="&lt;Placeholder&gt;")</formula>
    </cfRule>
  </conditionalFormatting>
  <conditionalFormatting sqref="Q10:Q10006">
    <cfRule type="expression" dxfId="41" priority="31">
      <formula>OR($F10="",$D$24="&lt;Placeholder&gt;")</formula>
    </cfRule>
  </conditionalFormatting>
  <conditionalFormatting sqref="K5:V5">
    <cfRule type="expression" dxfId="40" priority="22">
      <formula>$K$5&lt;&gt;$K$6</formula>
    </cfRule>
    <cfRule type="expression" dxfId="39" priority="23">
      <formula>$K$5=$K$6</formula>
    </cfRule>
  </conditionalFormatting>
  <conditionalFormatting sqref="G3:Q3">
    <cfRule type="expression" dxfId="38" priority="20">
      <formula>ISNUMBER($G$3)</formula>
    </cfRule>
    <cfRule type="expression" dxfId="37" priority="21">
      <formula>NOT(ISNUMBER($G$3))</formula>
    </cfRule>
  </conditionalFormatting>
  <conditionalFormatting sqref="V10:V10006">
    <cfRule type="expression" dxfId="36" priority="36">
      <formula>OR($F10="",$D$29="&lt;Placeholder&gt;")</formula>
    </cfRule>
  </conditionalFormatting>
  <conditionalFormatting sqref="S10:S10006">
    <cfRule type="expression" dxfId="35" priority="33">
      <formula>OR($F10="",$D$26="&lt;Placeholder&gt;")</formula>
    </cfRule>
  </conditionalFormatting>
  <conditionalFormatting sqref="T10:T10006">
    <cfRule type="expression" dxfId="34" priority="34">
      <formula>OR($F10="",$D$27="&lt;Placeholder&gt;")</formula>
    </cfRule>
  </conditionalFormatting>
  <conditionalFormatting sqref="U10:U10006">
    <cfRule type="expression" dxfId="33" priority="35">
      <formula>OR($F10="",$D$28="&lt;Placeholder&gt;")</formula>
    </cfRule>
  </conditionalFormatting>
  <conditionalFormatting sqref="S3:V3">
    <cfRule type="expression" dxfId="32" priority="10">
      <formula>ISNUMBER($G$3)</formula>
    </cfRule>
    <cfRule type="expression" dxfId="31" priority="11">
      <formula>NOT(ISNUMBER($G$3))</formula>
    </cfRule>
  </conditionalFormatting>
  <conditionalFormatting sqref="D14:D29">
    <cfRule type="containsText" dxfId="30" priority="8" stopIfTrue="1" operator="containsText" text="Placeholder">
      <formula>NOT(ISERROR(SEARCH("Placeholder",D14)))</formula>
    </cfRule>
  </conditionalFormatting>
  <conditionalFormatting sqref="R3">
    <cfRule type="expression" dxfId="29" priority="3">
      <formula>ISNUMBER($G$3)</formula>
    </cfRule>
    <cfRule type="expression" dxfId="28" priority="4">
      <formula>NOT(ISNUMBER($G$3))</formula>
    </cfRule>
  </conditionalFormatting>
  <conditionalFormatting sqref="R10:R10006">
    <cfRule type="expression" dxfId="27" priority="32">
      <formula>OR($F10="",$D$25="&lt;Placeholder&gt;")</formula>
    </cfRule>
  </conditionalFormatting>
  <conditionalFormatting sqref="G4">
    <cfRule type="expression" dxfId="26" priority="2">
      <formula>$G$4="*FIX FILENAME*"</formula>
    </cfRule>
  </conditionalFormatting>
  <conditionalFormatting sqref="H4">
    <cfRule type="expression" dxfId="25"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mdGenerateUpdateHeaderFile">
          <controlPr defaultSize="0" autoLine="0" r:id="rId5">
            <anchor moveWithCells="1">
              <from>
                <xdr:col>3</xdr:col>
                <xdr:colOff>127000</xdr:colOff>
                <xdr:row>1</xdr:row>
                <xdr:rowOff>38100</xdr:rowOff>
              </from>
              <to>
                <xdr:col>3</xdr:col>
                <xdr:colOff>1352550</xdr:colOff>
                <xdr:row>3</xdr:row>
                <xdr:rowOff>146050</xdr:rowOff>
              </to>
            </anchor>
          </controlPr>
        </control>
      </mc:Choice>
      <mc:Fallback>
        <control shapeId="1032" r:id="rId4" name="cmdGenerateUpdateHeaderFile"/>
      </mc:Fallback>
    </mc:AlternateContent>
    <mc:AlternateContent xmlns:mc="http://schemas.openxmlformats.org/markup-compatibility/2006">
      <mc:Choice Requires="x14">
        <control shapeId="1031" r:id="rId6" name="cmdImportOtherTemplate">
          <controlPr defaultSize="0" autoLine="0" r:id="rId7">
            <anchor moveWithCells="1">
              <from>
                <xdr:col>3</xdr:col>
                <xdr:colOff>127000</xdr:colOff>
                <xdr:row>4</xdr:row>
                <xdr:rowOff>50800</xdr:rowOff>
              </from>
              <to>
                <xdr:col>3</xdr:col>
                <xdr:colOff>1352550</xdr:colOff>
                <xdr:row>6</xdr:row>
                <xdr:rowOff>158750</xdr:rowOff>
              </to>
            </anchor>
          </controlPr>
        </control>
      </mc:Choice>
      <mc:Fallback>
        <control shapeId="1031" r:id="rId6" name="cmdImportOtherTemplate"/>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28" r:id="rId10" name="cmdGenerateSignalImportList">
          <controlPr defaultSize="0" autoLine="0" r:id="rId11">
            <anchor moveWithCells="1">
              <from>
                <xdr:col>1</xdr:col>
                <xdr:colOff>38100</xdr:colOff>
                <xdr:row>4</xdr:row>
                <xdr:rowOff>50800</xdr:rowOff>
              </from>
              <to>
                <xdr:col>1</xdr:col>
                <xdr:colOff>1263650</xdr:colOff>
                <xdr:row>6</xdr:row>
                <xdr:rowOff>158750</xdr:rowOff>
              </to>
            </anchor>
          </controlPr>
        </control>
      </mc:Choice>
      <mc:Fallback>
        <control shapeId="1028" r:id="rId10" name="cmdGenerateSignalImportList"/>
      </mc:Fallback>
    </mc:AlternateContent>
    <mc:AlternateContent xmlns:mc="http://schemas.openxmlformats.org/markup-compatibility/2006">
      <mc:Choice Requires="x14">
        <control shapeId="1033" r:id="rId12" name="cmdChangeConfigOrder">
          <controlPr defaultSize="0" autoLine="0" autoPict="0" r:id="rId13">
            <anchor moveWithCells="1">
              <from>
                <xdr:col>1</xdr:col>
                <xdr:colOff>469900</xdr:colOff>
                <xdr:row>30</xdr:row>
                <xdr:rowOff>38100</xdr:rowOff>
              </from>
              <to>
                <xdr:col>3</xdr:col>
                <xdr:colOff>869950</xdr:colOff>
                <xdr:row>32</xdr:row>
                <xdr:rowOff>50800</xdr:rowOff>
              </to>
            </anchor>
          </controlPr>
        </control>
      </mc:Choice>
      <mc:Fallback>
        <control shapeId="1033" r:id="rId12" name="cmdChangeConfigOrder"/>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A1:Z33"/>
  <sheetViews>
    <sheetView workbookViewId="0"/>
  </sheetViews>
  <sheetFormatPr defaultRowHeight="14.5" x14ac:dyDescent="0.35"/>
  <cols>
    <col min="1" max="1" width="2.26953125" customWidth="1"/>
    <col min="2" max="2" width="6.26953125" bestFit="1" customWidth="1"/>
    <col min="3" max="4" width="5.81640625" bestFit="1" customWidth="1"/>
    <col min="5" max="6" width="11.54296875" bestFit="1" customWidth="1"/>
    <col min="7" max="7" width="14.453125" bestFit="1" customWidth="1"/>
    <col min="8" max="8" width="2.26953125" customWidth="1"/>
    <col min="9" max="9" width="9.54296875" bestFit="1" customWidth="1"/>
    <col min="10" max="10" width="2" bestFit="1" customWidth="1"/>
    <col min="11" max="11" width="15" bestFit="1" customWidth="1"/>
    <col min="12" max="12" width="2.1796875" bestFit="1" customWidth="1"/>
    <col min="13" max="13" width="2.26953125" customWidth="1"/>
    <col min="15" max="15" width="4.453125" bestFit="1" customWidth="1"/>
    <col min="16" max="17" width="4" bestFit="1" customWidth="1"/>
    <col min="18" max="18" width="14.7265625" bestFit="1" customWidth="1"/>
    <col min="19" max="19" width="2.26953125" customWidth="1"/>
    <col min="20" max="20" width="22.54296875" bestFit="1" customWidth="1"/>
    <col min="21" max="21" width="12.453125" bestFit="1" customWidth="1"/>
    <col min="22" max="22" width="20.1796875" bestFit="1" customWidth="1"/>
    <col min="23" max="23" width="17.81640625" bestFit="1" customWidth="1"/>
    <col min="26" max="26" width="38.81640625" bestFit="1" customWidth="1"/>
  </cols>
  <sheetData>
    <row r="1" spans="1:21" x14ac:dyDescent="0.35">
      <c r="A1" t="s">
        <v>179</v>
      </c>
    </row>
    <row r="2" spans="1:21" x14ac:dyDescent="0.35">
      <c r="B2" s="81" t="s">
        <v>321</v>
      </c>
      <c r="C2" s="81" t="s">
        <v>322</v>
      </c>
      <c r="D2" s="81" t="s">
        <v>323</v>
      </c>
      <c r="E2" s="81" t="s">
        <v>324</v>
      </c>
      <c r="F2" s="81" t="s">
        <v>325</v>
      </c>
      <c r="G2" s="81" t="s">
        <v>326</v>
      </c>
      <c r="I2" s="81" t="s">
        <v>327</v>
      </c>
      <c r="J2" s="82" t="str">
        <f>IF(ISNUMBER(SEARCH("PED",Header_Config08)),"Y","")</f>
        <v/>
      </c>
      <c r="K2" s="81" t="s">
        <v>328</v>
      </c>
      <c r="L2" s="82" t="str">
        <f>IF($J$4="","X","")</f>
        <v/>
      </c>
      <c r="N2" s="81" t="s">
        <v>329</v>
      </c>
      <c r="O2" s="81" t="s">
        <v>330</v>
      </c>
      <c r="P2" s="82">
        <f t="shared" ref="P2:P13" si="0">IF(ISNUMBER(SEARCH(O2,Header_Config11)),SEARCH(O2,Header_Config11)+LEN(O2),0)</f>
        <v>4</v>
      </c>
      <c r="Q2" s="82">
        <f t="shared" ref="Q2:Q13" si="1">IF(P2&gt;0,IF(ISNUMBER(SEARCH("[",Header_Config11,P2+1)),SEARCH("[",Header_Config11,P2+1)-1,LEN(Header_Config11)),P2)</f>
        <v>9</v>
      </c>
      <c r="R2" s="82" t="str">
        <f t="shared" ref="R2:R13" si="2">IF(Q2&gt;0,MID(Header_Config11,P2,Q2-P2+1),"")</f>
        <v>PART1x</v>
      </c>
      <c r="T2" s="81" t="s">
        <v>331</v>
      </c>
      <c r="U2" s="87" t="str">
        <f>"DNS"&amp;Header_Config03&amp;"N"&amp;$U$4</f>
        <v>DNS201N56</v>
      </c>
    </row>
    <row r="3" spans="1:21" x14ac:dyDescent="0.35">
      <c r="B3" s="82" t="s">
        <v>332</v>
      </c>
      <c r="C3" s="82" t="str">
        <f>IF(COUNTIF(C4:C23,"")=COUNTA(C4:C23),"",$B3)</f>
        <v/>
      </c>
      <c r="D3" s="82" t="str">
        <f>IF(COUNTIF(D4:D23,"")=COUNTA(D4:D23),"",$B3)</f>
        <v/>
      </c>
      <c r="E3" s="82" t="str">
        <f t="shared" ref="E3:F18" si="3">IF(C3="","X","")</f>
        <v>X</v>
      </c>
      <c r="F3" s="82" t="str">
        <f t="shared" si="3"/>
        <v>X</v>
      </c>
      <c r="G3" s="82" t="str">
        <f t="shared" ref="G3:G23" si="4">IF(AND(E3="X",F3="X"),"X","")</f>
        <v>X</v>
      </c>
      <c r="I3" s="81" t="s">
        <v>333</v>
      </c>
      <c r="J3" s="82" t="str">
        <f>IF(ISNUMBER(SEARCH("PED",Header_Config09)),"","")</f>
        <v/>
      </c>
      <c r="K3" s="81" t="s">
        <v>334</v>
      </c>
      <c r="L3" s="82" t="str">
        <f>IF(OR($L$2="X",$G$4="X"),"X","")</f>
        <v>X</v>
      </c>
      <c r="N3" s="81" t="s">
        <v>335</v>
      </c>
      <c r="O3" s="81" t="s">
        <v>336</v>
      </c>
      <c r="P3" s="82">
        <f t="shared" si="0"/>
        <v>13</v>
      </c>
      <c r="Q3" s="82">
        <f t="shared" si="1"/>
        <v>19</v>
      </c>
      <c r="R3" s="82" t="str">
        <f t="shared" si="2"/>
        <v>PART2xx</v>
      </c>
      <c r="T3" s="81" t="s">
        <v>296</v>
      </c>
      <c r="U3" s="87" t="str">
        <f>IF(ROUNDDOWN(Header_Config03,-2)=100,"Local",IF(ROUNDDOWN(Header_Config03,-2)&gt;=200,"ENBT"&amp;ROUNDDOWN(Header_Config03,-2),"&lt;invalid network&gt;"))&amp;":"&amp;VALUE(RIGHT(Header_Config03,2))</f>
        <v>ENBT200:1</v>
      </c>
    </row>
    <row r="4" spans="1:21" x14ac:dyDescent="0.35">
      <c r="B4" s="9" t="s">
        <v>337</v>
      </c>
      <c r="C4" s="82" t="str">
        <f t="shared" ref="C4:C23" si="5">IF(AND($B4&lt;&gt;"",ISNUMBER(SEARCH($B4,Header_Config08))),$B4,"")</f>
        <v/>
      </c>
      <c r="D4" s="82" t="str">
        <f t="shared" ref="D4:D23" si="6">IF(AND($B4&lt;&gt;"",ISNUMBER(SEARCH($B4,Header_Config09))),$B4,"")</f>
        <v/>
      </c>
      <c r="E4" s="82" t="str">
        <f t="shared" si="3"/>
        <v>X</v>
      </c>
      <c r="F4" s="82" t="str">
        <f t="shared" si="3"/>
        <v>X</v>
      </c>
      <c r="G4" s="82" t="str">
        <f t="shared" si="4"/>
        <v>X</v>
      </c>
      <c r="I4" s="81" t="s">
        <v>338</v>
      </c>
      <c r="J4" s="82" t="str">
        <f>IF(ISNUMBER(SEARCH("MH",Header_Config10)),"Y","")</f>
        <v>Y</v>
      </c>
      <c r="K4" s="81" t="s">
        <v>339</v>
      </c>
      <c r="L4" s="82" t="str">
        <f>IF(OR($L$2="X",$G$7="X"),"X","")</f>
        <v>X</v>
      </c>
      <c r="N4" s="81" t="s">
        <v>340</v>
      </c>
      <c r="O4" s="81" t="s">
        <v>341</v>
      </c>
      <c r="P4" s="82">
        <f t="shared" si="0"/>
        <v>23</v>
      </c>
      <c r="Q4" s="82">
        <f t="shared" si="1"/>
        <v>30</v>
      </c>
      <c r="R4" s="82" t="str">
        <f t="shared" si="2"/>
        <v>PART3xxx</v>
      </c>
      <c r="T4" s="81" t="s">
        <v>342</v>
      </c>
      <c r="U4" s="87" t="str">
        <f>IF(ISNUMBER(FIND("[",Header_Config04)),LEFT(Header_Config04,FIND("[",Header_Config04)-1),Header_Config04)</f>
        <v>56</v>
      </c>
    </row>
    <row r="5" spans="1:21" x14ac:dyDescent="0.35">
      <c r="B5" s="9" t="s">
        <v>343</v>
      </c>
      <c r="C5" s="82" t="str">
        <f t="shared" si="5"/>
        <v/>
      </c>
      <c r="D5" s="82" t="str">
        <f t="shared" si="6"/>
        <v/>
      </c>
      <c r="E5" s="82" t="str">
        <f t="shared" si="3"/>
        <v>X</v>
      </c>
      <c r="F5" s="82" t="str">
        <f t="shared" si="3"/>
        <v>X</v>
      </c>
      <c r="G5" s="82" t="str">
        <f t="shared" si="4"/>
        <v>X</v>
      </c>
      <c r="I5" s="81" t="s">
        <v>344</v>
      </c>
      <c r="J5" s="82" t="str">
        <f>IF(ISNUMBER(SEARCH("TC",Header_Config10)),"Y","")</f>
        <v>Y</v>
      </c>
      <c r="K5" s="81" t="s">
        <v>345</v>
      </c>
      <c r="L5" s="82" t="str">
        <f>IF($J$5="","X","")</f>
        <v/>
      </c>
      <c r="N5" s="81" t="s">
        <v>346</v>
      </c>
      <c r="O5" s="81" t="s">
        <v>347</v>
      </c>
      <c r="P5" s="82">
        <f t="shared" si="0"/>
        <v>34</v>
      </c>
      <c r="Q5" s="82">
        <f t="shared" si="1"/>
        <v>42</v>
      </c>
      <c r="R5" s="82" t="str">
        <f t="shared" si="2"/>
        <v>PART4xxxx</v>
      </c>
      <c r="T5" s="81" t="s">
        <v>348</v>
      </c>
      <c r="U5" s="87" t="str">
        <f>IF(ISNUMBER(FIND("[",Header_Config04)),MID(Header_Config04,FIND("[",Header_Config04)+1,FIND("]",Header_Config04)-FIND("[",Header_Config04)-1),Header_Config04*2)</f>
        <v>114</v>
      </c>
    </row>
    <row r="6" spans="1:21" x14ac:dyDescent="0.35">
      <c r="B6" s="9" t="s">
        <v>349</v>
      </c>
      <c r="C6" s="82" t="str">
        <f t="shared" si="5"/>
        <v/>
      </c>
      <c r="D6" s="82" t="str">
        <f t="shared" si="6"/>
        <v/>
      </c>
      <c r="E6" s="82" t="str">
        <f t="shared" si="3"/>
        <v>X</v>
      </c>
      <c r="F6" s="82" t="str">
        <f t="shared" si="3"/>
        <v>X</v>
      </c>
      <c r="G6" s="82" t="str">
        <f t="shared" si="4"/>
        <v>X</v>
      </c>
      <c r="I6" s="81" t="s">
        <v>350</v>
      </c>
      <c r="J6" s="82" t="str">
        <f>IF(ISNUMBER(SEARCH("RACK",Header_Config10)),"Y","")</f>
        <v>Y</v>
      </c>
      <c r="K6" s="81" t="s">
        <v>351</v>
      </c>
      <c r="L6" s="82" t="str">
        <f>IF($J$6="","X","")</f>
        <v/>
      </c>
      <c r="N6" s="81" t="s">
        <v>352</v>
      </c>
      <c r="O6" s="81" t="s">
        <v>353</v>
      </c>
      <c r="P6" s="82">
        <f t="shared" si="0"/>
        <v>0</v>
      </c>
      <c r="Q6" s="82">
        <f t="shared" si="1"/>
        <v>0</v>
      </c>
      <c r="R6" s="82" t="str">
        <f t="shared" si="2"/>
        <v/>
      </c>
      <c r="T6" s="81" t="s">
        <v>245</v>
      </c>
      <c r="U6" s="87" t="str">
        <f>IF(ISNUMBER(FIND("[",Header_Config05)),LEFT(Header_Config05,FIND("[",Header_Config05)-1),Header_Config05)</f>
        <v>51</v>
      </c>
    </row>
    <row r="7" spans="1:21" x14ac:dyDescent="0.35">
      <c r="B7" s="9" t="s">
        <v>354</v>
      </c>
      <c r="C7" s="82" t="str">
        <f t="shared" si="5"/>
        <v/>
      </c>
      <c r="D7" s="82" t="str">
        <f t="shared" si="6"/>
        <v/>
      </c>
      <c r="E7" s="82" t="str">
        <f t="shared" si="3"/>
        <v>X</v>
      </c>
      <c r="F7" s="82" t="str">
        <f t="shared" si="3"/>
        <v>X</v>
      </c>
      <c r="G7" s="82" t="str">
        <f t="shared" si="4"/>
        <v>X</v>
      </c>
      <c r="I7" s="81" t="s">
        <v>355</v>
      </c>
      <c r="J7" s="82" t="str">
        <f>IF(ISNUMBER(SEARCH("SHUTTLE",Header_Config10)),"Y","")</f>
        <v>Y</v>
      </c>
      <c r="K7" s="81" t="s">
        <v>356</v>
      </c>
      <c r="L7" s="82" t="str">
        <f>IF($J$7="","X","")</f>
        <v/>
      </c>
      <c r="N7" s="81" t="s">
        <v>357</v>
      </c>
      <c r="O7" s="81" t="s">
        <v>358</v>
      </c>
      <c r="P7" s="82">
        <f t="shared" si="0"/>
        <v>46</v>
      </c>
      <c r="Q7" s="82">
        <f t="shared" si="1"/>
        <v>56</v>
      </c>
      <c r="R7" s="82" t="str">
        <f t="shared" si="2"/>
        <v>PART6xxxxxx</v>
      </c>
      <c r="T7" s="81" t="s">
        <v>246</v>
      </c>
      <c r="U7" s="87" t="str">
        <f>IF(ISNUMBER(FIND("[",Header_Config05)),MID(Header_Config05,FIND("[",Header_Config05)+1,FIND("]",Header_Config05)-FIND("[",Header_Config05)-1),Header_Config05*2)</f>
        <v>82</v>
      </c>
    </row>
    <row r="8" spans="1:21" x14ac:dyDescent="0.35">
      <c r="B8" s="9"/>
      <c r="C8" s="82" t="str">
        <f t="shared" si="5"/>
        <v/>
      </c>
      <c r="D8" s="82" t="str">
        <f t="shared" si="6"/>
        <v/>
      </c>
      <c r="E8" s="82" t="str">
        <f t="shared" si="3"/>
        <v>X</v>
      </c>
      <c r="F8" s="82" t="str">
        <f t="shared" si="3"/>
        <v>X</v>
      </c>
      <c r="G8" s="82" t="str">
        <f t="shared" si="4"/>
        <v>X</v>
      </c>
      <c r="I8" s="81" t="s">
        <v>359</v>
      </c>
      <c r="J8" s="82" t="str">
        <f>IF(ISNUMBER(SEARCH("TT",Header_Config10)),"Y","")</f>
        <v>Y</v>
      </c>
      <c r="K8" s="81" t="s">
        <v>360</v>
      </c>
      <c r="L8" s="82" t="str">
        <f>IF($J$8="","X","")</f>
        <v/>
      </c>
      <c r="N8" s="81" t="s">
        <v>361</v>
      </c>
      <c r="O8" s="81" t="s">
        <v>362</v>
      </c>
      <c r="P8" s="82">
        <f t="shared" si="0"/>
        <v>60</v>
      </c>
      <c r="Q8" s="82">
        <f t="shared" si="1"/>
        <v>71</v>
      </c>
      <c r="R8" s="82" t="str">
        <f t="shared" si="2"/>
        <v>PART7xxxxxxx</v>
      </c>
    </row>
    <row r="9" spans="1:21" x14ac:dyDescent="0.35">
      <c r="B9" s="9"/>
      <c r="C9" s="82" t="str">
        <f t="shared" si="5"/>
        <v/>
      </c>
      <c r="D9" s="82" t="str">
        <f t="shared" si="6"/>
        <v/>
      </c>
      <c r="E9" s="82" t="str">
        <f t="shared" si="3"/>
        <v>X</v>
      </c>
      <c r="F9" s="82" t="str">
        <f t="shared" si="3"/>
        <v>X</v>
      </c>
      <c r="G9" s="82" t="str">
        <f t="shared" si="4"/>
        <v>X</v>
      </c>
      <c r="I9" s="81" t="s">
        <v>363</v>
      </c>
      <c r="J9" s="82" t="str">
        <f>IF(ISNUMBER(SEARCH("FIXT",Header_Config10)),"Y","")</f>
        <v>Y</v>
      </c>
      <c r="K9" s="81" t="s">
        <v>364</v>
      </c>
      <c r="L9" s="82" t="str">
        <f>IF($J$9="","X","")</f>
        <v/>
      </c>
      <c r="N9" s="81" t="s">
        <v>365</v>
      </c>
      <c r="O9" s="81" t="s">
        <v>366</v>
      </c>
      <c r="P9" s="82">
        <f t="shared" si="0"/>
        <v>75</v>
      </c>
      <c r="Q9" s="82">
        <f t="shared" si="1"/>
        <v>79</v>
      </c>
      <c r="R9" s="82" t="str">
        <f t="shared" si="2"/>
        <v>PART8</v>
      </c>
    </row>
    <row r="10" spans="1:21" x14ac:dyDescent="0.35">
      <c r="B10" s="9"/>
      <c r="C10" s="82" t="str">
        <f t="shared" si="5"/>
        <v/>
      </c>
      <c r="D10" s="82" t="str">
        <f t="shared" si="6"/>
        <v/>
      </c>
      <c r="E10" s="82" t="str">
        <f t="shared" si="3"/>
        <v>X</v>
      </c>
      <c r="F10" s="82" t="str">
        <f t="shared" si="3"/>
        <v>X</v>
      </c>
      <c r="G10" s="82" t="str">
        <f t="shared" si="4"/>
        <v>X</v>
      </c>
      <c r="I10" s="81" t="s">
        <v>367</v>
      </c>
      <c r="J10" s="82" t="str">
        <f>IF(ISNUMBER(SEARCH("VIS",Header_Config10)),"Y","")</f>
        <v>Y</v>
      </c>
      <c r="K10" s="81" t="s">
        <v>368</v>
      </c>
      <c r="L10" s="82" t="str">
        <f>IF($J$10="","X","")</f>
        <v/>
      </c>
      <c r="N10" s="81" t="s">
        <v>369</v>
      </c>
      <c r="O10" s="81" t="s">
        <v>370</v>
      </c>
      <c r="P10" s="82">
        <f t="shared" si="0"/>
        <v>83</v>
      </c>
      <c r="Q10" s="82">
        <f t="shared" si="1"/>
        <v>87</v>
      </c>
      <c r="R10" s="82" t="str">
        <f t="shared" si="2"/>
        <v>PART9</v>
      </c>
      <c r="T10" s="81" t="s">
        <v>371</v>
      </c>
      <c r="U10" s="87" t="str">
        <f>IF(VALUE(U4)=VALUE(U6),"YES","NO")</f>
        <v>NO</v>
      </c>
    </row>
    <row r="11" spans="1:21" x14ac:dyDescent="0.35">
      <c r="B11" s="9"/>
      <c r="C11" s="82" t="str">
        <f t="shared" si="5"/>
        <v/>
      </c>
      <c r="D11" s="82" t="str">
        <f t="shared" si="6"/>
        <v/>
      </c>
      <c r="E11" s="82" t="str">
        <f t="shared" si="3"/>
        <v>X</v>
      </c>
      <c r="F11" s="82" t="str">
        <f t="shared" si="3"/>
        <v>X</v>
      </c>
      <c r="G11" s="82" t="str">
        <f t="shared" si="4"/>
        <v>X</v>
      </c>
      <c r="I11" s="81" t="s">
        <v>291</v>
      </c>
      <c r="J11" s="82" t="str">
        <f>IF(ISNUMBER(SEARCH("PALLET",Header_Config10)),"Y","")</f>
        <v>Y</v>
      </c>
      <c r="K11" s="81" t="s">
        <v>372</v>
      </c>
      <c r="L11" s="82" t="str">
        <f>IF($J$11="","X","")</f>
        <v/>
      </c>
      <c r="N11" s="81" t="s">
        <v>373</v>
      </c>
      <c r="O11" s="81" t="s">
        <v>374</v>
      </c>
      <c r="P11" s="82">
        <f t="shared" si="0"/>
        <v>92</v>
      </c>
      <c r="Q11" s="82">
        <f t="shared" si="1"/>
        <v>97</v>
      </c>
      <c r="R11" s="82" t="str">
        <f t="shared" si="2"/>
        <v>PART10</v>
      </c>
    </row>
    <row r="12" spans="1:21" x14ac:dyDescent="0.35">
      <c r="B12" s="9"/>
      <c r="C12" s="82" t="str">
        <f t="shared" si="5"/>
        <v/>
      </c>
      <c r="D12" s="82" t="str">
        <f t="shared" si="6"/>
        <v/>
      </c>
      <c r="E12" s="82" t="str">
        <f t="shared" si="3"/>
        <v>X</v>
      </c>
      <c r="F12" s="82" t="str">
        <f t="shared" si="3"/>
        <v>X</v>
      </c>
      <c r="G12" s="82" t="str">
        <f t="shared" si="4"/>
        <v>X</v>
      </c>
      <c r="I12" s="81"/>
      <c r="J12" s="82"/>
      <c r="K12" s="81"/>
      <c r="L12" s="82"/>
      <c r="N12" s="81" t="s">
        <v>375</v>
      </c>
      <c r="O12" s="81" t="s">
        <v>376</v>
      </c>
      <c r="P12" s="82">
        <f t="shared" si="0"/>
        <v>102</v>
      </c>
      <c r="Q12" s="82">
        <f t="shared" si="1"/>
        <v>107</v>
      </c>
      <c r="R12" s="82" t="str">
        <f t="shared" si="2"/>
        <v>PART11</v>
      </c>
    </row>
    <row r="13" spans="1:21" x14ac:dyDescent="0.35">
      <c r="B13" s="9"/>
      <c r="C13" s="82" t="str">
        <f t="shared" si="5"/>
        <v/>
      </c>
      <c r="D13" s="82" t="str">
        <f t="shared" si="6"/>
        <v/>
      </c>
      <c r="E13" s="82" t="str">
        <f t="shared" si="3"/>
        <v>X</v>
      </c>
      <c r="F13" s="82" t="str">
        <f t="shared" si="3"/>
        <v>X</v>
      </c>
      <c r="G13" s="82" t="str">
        <f t="shared" si="4"/>
        <v>X</v>
      </c>
      <c r="N13" s="81" t="s">
        <v>377</v>
      </c>
      <c r="O13" s="81" t="s">
        <v>378</v>
      </c>
      <c r="P13" s="82">
        <f t="shared" si="0"/>
        <v>112</v>
      </c>
      <c r="Q13" s="82">
        <f t="shared" si="1"/>
        <v>124</v>
      </c>
      <c r="R13" s="82" t="str">
        <f t="shared" si="2"/>
        <v>PART12abcdefg</v>
      </c>
    </row>
    <row r="14" spans="1:21" x14ac:dyDescent="0.35">
      <c r="B14" s="9"/>
      <c r="C14" s="82" t="str">
        <f t="shared" si="5"/>
        <v/>
      </c>
      <c r="D14" s="82" t="str">
        <f t="shared" si="6"/>
        <v/>
      </c>
      <c r="E14" s="82" t="str">
        <f t="shared" si="3"/>
        <v>X</v>
      </c>
      <c r="F14" s="82" t="str">
        <f t="shared" si="3"/>
        <v>X</v>
      </c>
      <c r="G14" s="82" t="str">
        <f t="shared" si="4"/>
        <v>X</v>
      </c>
    </row>
    <row r="15" spans="1:21" x14ac:dyDescent="0.35">
      <c r="B15" s="9"/>
      <c r="C15" s="82" t="str">
        <f t="shared" si="5"/>
        <v/>
      </c>
      <c r="D15" s="82" t="str">
        <f t="shared" si="6"/>
        <v/>
      </c>
      <c r="E15" s="82" t="str">
        <f t="shared" si="3"/>
        <v>X</v>
      </c>
      <c r="F15" s="82" t="str">
        <f t="shared" si="3"/>
        <v>X</v>
      </c>
      <c r="G15" s="82" t="str">
        <f t="shared" si="4"/>
        <v>X</v>
      </c>
    </row>
    <row r="16" spans="1:21" x14ac:dyDescent="0.35">
      <c r="B16" s="9"/>
      <c r="C16" s="82" t="str">
        <f t="shared" si="5"/>
        <v/>
      </c>
      <c r="D16" s="82" t="str">
        <f t="shared" si="6"/>
        <v/>
      </c>
      <c r="E16" s="82" t="str">
        <f t="shared" si="3"/>
        <v>X</v>
      </c>
      <c r="F16" s="82" t="str">
        <f t="shared" si="3"/>
        <v>X</v>
      </c>
      <c r="G16" s="82" t="str">
        <f t="shared" si="4"/>
        <v>X</v>
      </c>
    </row>
    <row r="17" spans="2:26" x14ac:dyDescent="0.35">
      <c r="B17" s="9"/>
      <c r="C17" s="82" t="str">
        <f t="shared" si="5"/>
        <v/>
      </c>
      <c r="D17" s="82" t="str">
        <f t="shared" si="6"/>
        <v/>
      </c>
      <c r="E17" s="82" t="str">
        <f t="shared" si="3"/>
        <v>X</v>
      </c>
      <c r="F17" s="82" t="str">
        <f t="shared" si="3"/>
        <v>X</v>
      </c>
      <c r="G17" s="82" t="str">
        <f t="shared" si="4"/>
        <v>X</v>
      </c>
    </row>
    <row r="18" spans="2:26" x14ac:dyDescent="0.35">
      <c r="B18" s="9"/>
      <c r="C18" s="82" t="str">
        <f t="shared" si="5"/>
        <v/>
      </c>
      <c r="D18" s="82" t="str">
        <f t="shared" si="6"/>
        <v/>
      </c>
      <c r="E18" s="82" t="str">
        <f t="shared" si="3"/>
        <v>X</v>
      </c>
      <c r="F18" s="82" t="str">
        <f t="shared" si="3"/>
        <v>X</v>
      </c>
      <c r="G18" s="82" t="str">
        <f t="shared" si="4"/>
        <v>X</v>
      </c>
    </row>
    <row r="19" spans="2:26" x14ac:dyDescent="0.35">
      <c r="B19" s="9"/>
      <c r="C19" s="82" t="str">
        <f t="shared" si="5"/>
        <v/>
      </c>
      <c r="D19" s="82" t="str">
        <f t="shared" si="6"/>
        <v/>
      </c>
      <c r="E19" s="82" t="str">
        <f t="shared" ref="E19:F23" si="7">IF(C19="","X","")</f>
        <v>X</v>
      </c>
      <c r="F19" s="82" t="str">
        <f t="shared" si="7"/>
        <v>X</v>
      </c>
      <c r="G19" s="82" t="str">
        <f t="shared" si="4"/>
        <v>X</v>
      </c>
    </row>
    <row r="20" spans="2:26" x14ac:dyDescent="0.35">
      <c r="B20" s="9"/>
      <c r="C20" s="82" t="str">
        <f t="shared" si="5"/>
        <v/>
      </c>
      <c r="D20" s="82" t="str">
        <f t="shared" si="6"/>
        <v/>
      </c>
      <c r="E20" s="82" t="str">
        <f t="shared" si="7"/>
        <v>X</v>
      </c>
      <c r="F20" s="82" t="str">
        <f t="shared" si="7"/>
        <v>X</v>
      </c>
      <c r="G20" s="82" t="str">
        <f t="shared" si="4"/>
        <v>X</v>
      </c>
      <c r="V20" s="83" t="s">
        <v>273</v>
      </c>
    </row>
    <row r="21" spans="2:26" x14ac:dyDescent="0.35">
      <c r="B21" s="9"/>
      <c r="C21" s="82" t="str">
        <f t="shared" si="5"/>
        <v/>
      </c>
      <c r="D21" s="82" t="str">
        <f t="shared" si="6"/>
        <v/>
      </c>
      <c r="E21" s="82" t="str">
        <f t="shared" si="7"/>
        <v>X</v>
      </c>
      <c r="F21" s="82" t="str">
        <f t="shared" si="7"/>
        <v>X</v>
      </c>
      <c r="G21" s="82" t="str">
        <f t="shared" si="4"/>
        <v>X</v>
      </c>
      <c r="V21" s="81" t="s">
        <v>274</v>
      </c>
      <c r="W21" s="87" t="str">
        <f>Header_LB_Unique_ID</f>
        <v>SxxRyy</v>
      </c>
      <c r="X21" s="81" t="s">
        <v>275</v>
      </c>
      <c r="Y21" s="82" t="b">
        <v>1</v>
      </c>
      <c r="Z21" s="82" t="str">
        <f>"&lt;"&amp;V21&amp;"&gt;"&amp;IF(ISERROR(W21),"***ERROR***",IF(W21="","***BLANK***",W21))&amp;"&lt;/"&amp;V21&amp;"&gt;"</f>
        <v>&lt;name&gt;SxxRyy&lt;/name&gt;</v>
      </c>
    </row>
    <row r="22" spans="2:26" x14ac:dyDescent="0.35">
      <c r="B22" s="9"/>
      <c r="C22" s="82" t="str">
        <f t="shared" si="5"/>
        <v/>
      </c>
      <c r="D22" s="82" t="str">
        <f t="shared" si="6"/>
        <v/>
      </c>
      <c r="E22" s="82" t="str">
        <f t="shared" si="7"/>
        <v>X</v>
      </c>
      <c r="F22" s="82" t="str">
        <f t="shared" si="7"/>
        <v>X</v>
      </c>
      <c r="G22" s="82" t="str">
        <f t="shared" si="4"/>
        <v>X</v>
      </c>
      <c r="V22" s="81" t="s">
        <v>276</v>
      </c>
      <c r="W22" s="87" t="s">
        <v>1149</v>
      </c>
      <c r="X22" s="81" t="s">
        <v>277</v>
      </c>
      <c r="Y22" s="82"/>
      <c r="Z22" s="82" t="str">
        <f>"&lt;"&amp;V22&amp;"&gt;"&amp;IF(ISERROR(W22),"***ERROR***",IF(W22="","***BLANK***",W22))&amp;"&lt;/"&amp;V22&amp;"&gt;"</f>
        <v>&lt;type&gt;FCA_DN_FANUC&lt;/type&gt;</v>
      </c>
    </row>
    <row r="23" spans="2:26" x14ac:dyDescent="0.35">
      <c r="B23" s="9"/>
      <c r="C23" s="82" t="str">
        <f t="shared" si="5"/>
        <v/>
      </c>
      <c r="D23" s="82" t="str">
        <f t="shared" si="6"/>
        <v/>
      </c>
      <c r="E23" s="82" t="str">
        <f t="shared" si="7"/>
        <v>X</v>
      </c>
      <c r="F23" s="82" t="str">
        <f t="shared" si="7"/>
        <v>X</v>
      </c>
      <c r="G23" s="82" t="str">
        <f t="shared" si="4"/>
        <v>X</v>
      </c>
      <c r="V23" s="81" t="s">
        <v>278</v>
      </c>
      <c r="W23" s="87">
        <f>IF(Header_Config03="", "",Header_Config03)</f>
        <v>201</v>
      </c>
      <c r="X23" s="56"/>
      <c r="Y23" s="56"/>
      <c r="Z23" s="82" t="str">
        <f t="shared" ref="Z23:Z24" si="8">"&lt;"&amp;V23&amp;"&gt;"&amp;IF(ISERROR(W23),"***ERROR***",IF(W23="","",W23))&amp;"&lt;/"&amp;V23&amp;"&gt;"</f>
        <v>&lt;deviceNetwork&gt;201&lt;/deviceNetwork&gt;</v>
      </c>
    </row>
    <row r="24" spans="2:26" x14ac:dyDescent="0.35">
      <c r="V24" s="81" t="s">
        <v>279</v>
      </c>
      <c r="W24" s="87" t="str">
        <f>U4</f>
        <v>56</v>
      </c>
      <c r="X24" s="56"/>
      <c r="Y24" s="56"/>
      <c r="Z24" s="82" t="str">
        <f t="shared" si="8"/>
        <v>&lt;deviceNode&gt;56&lt;/deviceNode&gt;</v>
      </c>
    </row>
    <row r="25" spans="2:26" x14ac:dyDescent="0.35">
      <c r="W25" s="88"/>
    </row>
    <row r="26" spans="2:26" x14ac:dyDescent="0.35">
      <c r="W26" s="88"/>
    </row>
    <row r="27" spans="2:26" x14ac:dyDescent="0.35">
      <c r="W27" s="88"/>
    </row>
    <row r="28" spans="2:26" x14ac:dyDescent="0.35">
      <c r="W28" s="88"/>
    </row>
    <row r="29" spans="2:26" x14ac:dyDescent="0.35">
      <c r="W29" s="88"/>
    </row>
    <row r="30" spans="2:26" x14ac:dyDescent="0.35">
      <c r="W30" s="88"/>
    </row>
    <row r="31" spans="2:26" x14ac:dyDescent="0.35">
      <c r="W31" s="88"/>
    </row>
    <row r="32" spans="2:26" x14ac:dyDescent="0.35">
      <c r="W32" s="88"/>
    </row>
    <row r="33" spans="23:23" x14ac:dyDescent="0.35">
      <c r="W33" s="88"/>
    </row>
  </sheetData>
  <phoneticPr fontId="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217"/>
  <sheetViews>
    <sheetView zoomScale="85" zoomScaleNormal="85" workbookViewId="0"/>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59.7265625"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91</v>
      </c>
    </row>
    <row r="3" spans="2:96" x14ac:dyDescent="0.35">
      <c r="CO3" t="s">
        <v>95</v>
      </c>
    </row>
    <row r="4" spans="2:96" x14ac:dyDescent="0.35">
      <c r="B4" t="s">
        <v>174</v>
      </c>
      <c r="D4" t="s">
        <v>187</v>
      </c>
      <c r="E4" t="s">
        <v>177</v>
      </c>
      <c r="CO4" s="39" t="s">
        <v>94</v>
      </c>
    </row>
    <row r="5" spans="2:96" x14ac:dyDescent="0.35">
      <c r="B5" t="s">
        <v>169</v>
      </c>
      <c r="D5" t="s">
        <v>172</v>
      </c>
      <c r="E5" t="s">
        <v>171</v>
      </c>
      <c r="CO5" s="39" t="s">
        <v>93</v>
      </c>
    </row>
    <row r="6" spans="2:96" x14ac:dyDescent="0.35">
      <c r="B6" t="s">
        <v>166</v>
      </c>
      <c r="D6" t="s">
        <v>168</v>
      </c>
      <c r="E6" t="s">
        <v>170</v>
      </c>
      <c r="CO6" t="s">
        <v>92</v>
      </c>
    </row>
    <row r="7" spans="2:96" x14ac:dyDescent="0.35">
      <c r="B7" t="s">
        <v>167</v>
      </c>
      <c r="D7" t="s">
        <v>173</v>
      </c>
      <c r="E7" t="s">
        <v>178</v>
      </c>
    </row>
    <row r="8" spans="2:96" x14ac:dyDescent="0.35">
      <c r="B8" t="s">
        <v>220</v>
      </c>
      <c r="D8" t="s">
        <v>175</v>
      </c>
      <c r="E8" t="s">
        <v>176</v>
      </c>
      <c r="CB8" s="9" t="s">
        <v>96</v>
      </c>
      <c r="CO8" s="9" t="s">
        <v>96</v>
      </c>
    </row>
    <row r="9" spans="2:96" x14ac:dyDescent="0.35">
      <c r="B9" t="s">
        <v>221</v>
      </c>
      <c r="D9" t="s">
        <v>222</v>
      </c>
      <c r="E9" t="s">
        <v>223</v>
      </c>
    </row>
    <row r="10" spans="2:96" x14ac:dyDescent="0.35">
      <c r="CB10" t="s">
        <v>110</v>
      </c>
      <c r="CO10" t="s">
        <v>80</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111</v>
      </c>
      <c r="CE11" t="s">
        <v>89</v>
      </c>
      <c r="CO11" t="s">
        <v>81</v>
      </c>
      <c r="CR11" t="s">
        <v>89</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84</v>
      </c>
      <c r="AY12">
        <f>COLUMN()</f>
        <v>51</v>
      </c>
      <c r="BB12" s="47" t="s">
        <v>90</v>
      </c>
      <c r="BY12" s="47" t="s">
        <v>82</v>
      </c>
      <c r="CB12" t="s">
        <v>74</v>
      </c>
      <c r="CE12" t="s">
        <v>69</v>
      </c>
      <c r="CH12" s="47" t="s">
        <v>83</v>
      </c>
      <c r="CO12" t="s">
        <v>74</v>
      </c>
      <c r="CR12" t="s">
        <v>69</v>
      </c>
    </row>
    <row r="13" spans="2:96" ht="101.5" x14ac:dyDescent="0.35">
      <c r="B13" s="61" t="s">
        <v>0</v>
      </c>
      <c r="C13" s="61" t="s">
        <v>1</v>
      </c>
      <c r="D13" s="61" t="s">
        <v>2</v>
      </c>
      <c r="E13" s="61" t="s">
        <v>3</v>
      </c>
      <c r="F13" s="61" t="s">
        <v>4</v>
      </c>
      <c r="G13" s="61" t="s">
        <v>5</v>
      </c>
      <c r="H13" s="61" t="s">
        <v>6</v>
      </c>
      <c r="I13" s="61" t="s">
        <v>7</v>
      </c>
      <c r="J13" s="61" t="s">
        <v>8</v>
      </c>
      <c r="K13" s="57" t="s">
        <v>136</v>
      </c>
      <c r="L13" s="57" t="s">
        <v>209</v>
      </c>
      <c r="M13" s="57" t="s">
        <v>208</v>
      </c>
      <c r="N13" s="57" t="s">
        <v>151</v>
      </c>
      <c r="O13" s="57" t="s">
        <v>211</v>
      </c>
      <c r="P13" s="57" t="s">
        <v>152</v>
      </c>
      <c r="Q13" s="57" t="s">
        <v>234</v>
      </c>
      <c r="R13" s="57" t="s">
        <v>235</v>
      </c>
      <c r="S13" s="57" t="s">
        <v>237</v>
      </c>
      <c r="T13" s="57" t="s">
        <v>239</v>
      </c>
      <c r="U13" s="57" t="s">
        <v>229</v>
      </c>
      <c r="V13" s="57" t="s">
        <v>230</v>
      </c>
      <c r="W13" s="57" t="s">
        <v>135</v>
      </c>
      <c r="X13" s="57" t="s">
        <v>135</v>
      </c>
      <c r="Y13" s="57" t="s">
        <v>135</v>
      </c>
      <c r="Z13" s="57" t="s">
        <v>227</v>
      </c>
      <c r="AA13" s="57" t="s">
        <v>219</v>
      </c>
      <c r="AB13" s="57" t="s">
        <v>182</v>
      </c>
      <c r="AC13" s="57" t="s">
        <v>165</v>
      </c>
      <c r="AD13" s="57" t="s">
        <v>162</v>
      </c>
      <c r="AE13" s="57" t="s">
        <v>199</v>
      </c>
      <c r="AF13" s="57" t="s">
        <v>190</v>
      </c>
      <c r="AG13" s="57" t="s">
        <v>200</v>
      </c>
      <c r="AH13" s="57" t="s">
        <v>201</v>
      </c>
      <c r="AI13" s="57" t="s">
        <v>202</v>
      </c>
      <c r="AJ13" s="57" t="s">
        <v>203</v>
      </c>
      <c r="AK13" s="57" t="s">
        <v>204</v>
      </c>
      <c r="AL13" s="57" t="s">
        <v>205</v>
      </c>
      <c r="AM13" s="57" t="s">
        <v>206</v>
      </c>
      <c r="AN13" s="57" t="s">
        <v>153</v>
      </c>
      <c r="AO13" s="57" t="s">
        <v>154</v>
      </c>
      <c r="AP13" s="57" t="s">
        <v>13</v>
      </c>
      <c r="AQ13" s="57" t="s">
        <v>155</v>
      </c>
      <c r="AR13" s="45" t="s">
        <v>19</v>
      </c>
      <c r="AT13" s="33" t="s">
        <v>65</v>
      </c>
      <c r="AU13" s="34" t="s">
        <v>70</v>
      </c>
      <c r="AV13" s="34" t="s">
        <v>85</v>
      </c>
      <c r="AW13" s="34" t="s">
        <v>73</v>
      </c>
      <c r="AX13" s="34" t="s">
        <v>71</v>
      </c>
      <c r="AY13" s="35" t="s">
        <v>72</v>
      </c>
      <c r="AZ13" s="62" t="s">
        <v>141</v>
      </c>
      <c r="BA13" s="62" t="s">
        <v>141</v>
      </c>
      <c r="BB13" s="25" t="s">
        <v>14</v>
      </c>
      <c r="BC13" s="26" t="s">
        <v>13</v>
      </c>
      <c r="BD13" s="27" t="s">
        <v>224</v>
      </c>
      <c r="BE13" s="27" t="s">
        <v>134</v>
      </c>
      <c r="BF13" s="27" t="s">
        <v>225</v>
      </c>
      <c r="BG13" s="27" t="s">
        <v>236</v>
      </c>
      <c r="BH13" s="27" t="s">
        <v>233</v>
      </c>
      <c r="BI13" s="27" t="s">
        <v>238</v>
      </c>
      <c r="BJ13" s="27" t="s">
        <v>228</v>
      </c>
      <c r="BK13" s="27" t="s">
        <v>232</v>
      </c>
      <c r="BL13" s="27" t="s">
        <v>231</v>
      </c>
      <c r="BM13" s="27" t="s">
        <v>135</v>
      </c>
      <c r="BN13" s="27" t="s">
        <v>135</v>
      </c>
      <c r="BO13" s="27" t="s">
        <v>135</v>
      </c>
      <c r="BP13" s="27" t="s">
        <v>226</v>
      </c>
      <c r="BQ13" s="27" t="s">
        <v>218</v>
      </c>
      <c r="BR13" s="27" t="s">
        <v>148</v>
      </c>
      <c r="BS13" s="27" t="s">
        <v>147</v>
      </c>
      <c r="BT13" s="27" t="s">
        <v>139</v>
      </c>
      <c r="BU13" s="27" t="s">
        <v>216</v>
      </c>
      <c r="BV13" s="46" t="s">
        <v>131</v>
      </c>
      <c r="BW13" s="62" t="s">
        <v>141</v>
      </c>
      <c r="BX13" s="62" t="s">
        <v>141</v>
      </c>
      <c r="BY13" s="43" t="s">
        <v>100</v>
      </c>
      <c r="BZ13" s="28" t="s">
        <v>101</v>
      </c>
      <c r="CA13" s="28" t="s">
        <v>102</v>
      </c>
      <c r="CB13" s="43" t="s">
        <v>108</v>
      </c>
      <c r="CC13" s="28" t="s">
        <v>109</v>
      </c>
      <c r="CD13" s="28" t="s">
        <v>10</v>
      </c>
      <c r="CE13" s="31" t="s">
        <v>11</v>
      </c>
      <c r="CF13" s="62" t="s">
        <v>141</v>
      </c>
      <c r="CG13" s="62" t="s">
        <v>141</v>
      </c>
      <c r="CH13" s="41" t="s">
        <v>97</v>
      </c>
      <c r="CI13" s="29" t="s">
        <v>98</v>
      </c>
      <c r="CJ13" s="29" t="s">
        <v>76</v>
      </c>
      <c r="CK13" s="29" t="s">
        <v>77</v>
      </c>
      <c r="CL13" s="29" t="s">
        <v>126</v>
      </c>
      <c r="CM13" s="29" t="s">
        <v>78</v>
      </c>
      <c r="CN13" s="32" t="s">
        <v>79</v>
      </c>
      <c r="CO13" s="37" t="s">
        <v>9</v>
      </c>
      <c r="CP13" s="37" t="s">
        <v>10</v>
      </c>
      <c r="CQ13" s="37"/>
      <c r="CR13" s="38" t="s">
        <v>11</v>
      </c>
    </row>
    <row r="14" spans="2:96" x14ac:dyDescent="0.35">
      <c r="B14" s="4" t="str">
        <f t="shared" ref="B14" si="0">IF(LEN(BT14)=0,Header_LB_Name,"&lt;BLANK&gt;")</f>
        <v>FANUC_SxxRyy</v>
      </c>
      <c r="C14" s="4"/>
      <c r="D14" s="4" t="str">
        <f>IF(BC14="CUSTOM",BV14,IF(BB14="ENTRY","From_",IF(BB14="EXIT","To_","&lt;invalid&gt;"))&amp;IF(OR(BC14="RBT",BC14="KEY",BC14="SNS"),IF(BE14="",BC14,BC14&amp;"_"&amp;BE14),IF(BC14="OPR",IF(BE14="",BC14&amp;"_"&amp;BD14,BC14&amp;"_"&amp;BE14),IF(BC14="LBS",IF(BE14="",BD14,BE14),BC14)))&amp;"_"&amp;IF(BC14="OPR",IF(BB14="ENTRY","end",IF(BB14="EXIT","start","&lt;invalid&gt;")),BV14))</f>
        <v>From_PSF_RobotEStop</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DNS201N56:O.Data[0].0</v>
      </c>
      <c r="F14" s="4" t="str">
        <f>IF(BC14="CUSTOM",BE14,IF(OR(AND(BB14="ENTRY",OR(BC14="PLC",BC14="PSF")),AND(BB14="EXIT",OR(BC14="RBT",BC14="OPR"))),"Q","I"))</f>
        <v>Q</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Controller: &lt;SxxRyy_S.O1.CSI_1&gt; - ROBOT ESTOP</v>
      </c>
      <c r="I14" s="4" t="str">
        <f>IF(OR(BC14="PLC",BC14="PSF"),BD14,IF(AND(BC14="CUSTOM",BF14&lt;&gt;""),BF14,""))</f>
        <v>AB_RACKx_SLOTa</v>
      </c>
      <c r="J14" s="4"/>
      <c r="K14" s="56" t="str">
        <f>AT14</f>
        <v>BOOL</v>
      </c>
      <c r="L14" s="56" t="str">
        <f t="shared" ref="L14:L209" si="4">Header_Resource_Compound</f>
        <v>ROBOTS\SxxRyy</v>
      </c>
      <c r="M14" s="56" t="str">
        <f t="shared" ref="M14:M209" si="5">Header_Sysroot_Folder</f>
        <v>STELLANTIS\Common\ToolPrototype\Robots</v>
      </c>
      <c r="N14" s="56" t="str">
        <f t="shared" ref="N14:N209" si="6">Header_COJT_Full_Name</f>
        <v>STELLANTIS_DN_FANUC_ROBOT_128_BIT_INTEGRATED_SAFETY_SxxRyy.v00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209" si="9">IF(Header_COJT_Type_Definition="","ToolPrototype",Header_COJT_Type_Definition)</f>
        <v>ToolPrototype</v>
      </c>
      <c r="AC14" s="56" t="str">
        <f>IF(ISBLANK(BT14),"","Optional")</f>
        <v/>
      </c>
      <c r="AD14" s="56" t="str">
        <f t="shared" ref="AD14:AD209" si="10">IF(Export_VC_Forms="","",Export_VC_Forms)</f>
        <v>&lt;device&gt;
&lt;name&gt;SxxRyy&lt;/name&gt;
&lt;type&gt;FCA_DN_FANUC&lt;/type&gt;
&lt;deviceNetwork&gt;201&lt;/deviceNetwork&gt;
&lt;deviceNode&gt;56&lt;/deviceNode&gt;
&lt;/device&gt;</v>
      </c>
      <c r="AE14" s="56" t="str">
        <f t="shared" ref="AE14:AE209" si="11">IF(Export_Setup_Tracker="","",Export_Setup_Tracker)</f>
        <v/>
      </c>
      <c r="AF14" s="56" t="str">
        <f t="shared" ref="AF14:AF209" si="12">IF(Export_Validation_Tracker="","",Export_Validation_Tracker)</f>
        <v/>
      </c>
      <c r="AG14" s="56" t="str">
        <f t="shared" ref="AG14:AG209" si="13">IF(Export_Spare_04="","",Export_Spare_04)</f>
        <v/>
      </c>
      <c r="AH14" s="56" t="str">
        <f t="shared" ref="AH14:AH209" si="14">IF(Export_Spare_05="","",Export_Spare_05)</f>
        <v/>
      </c>
      <c r="AI14" s="56" t="str">
        <f t="shared" ref="AI14:AI209" si="15">IF(Export_Spare_06="","",Export_Spare_06)</f>
        <v/>
      </c>
      <c r="AJ14" s="56" t="str">
        <f t="shared" ref="AJ14:AJ209" si="16">IF(Export_Spare_07="","",Export_Spare_07)</f>
        <v/>
      </c>
      <c r="AK14" s="56" t="str">
        <f t="shared" ref="AK14:AK209" si="17">IF(Export_Spare_08="","",Export_Spare_08)</f>
        <v/>
      </c>
      <c r="AL14" s="56" t="str">
        <f t="shared" ref="AL14:AL209" si="18">IF(Export_Spare_09="","",Export_Spare_09)</f>
        <v/>
      </c>
      <c r="AM14" s="56" t="str">
        <f t="shared" ref="AM14:AM209" si="19">IF(Export_Spare_10="","",Export_Spare_10)</f>
        <v/>
      </c>
      <c r="AN14" s="56">
        <f>IF(BR14&lt;&gt;"",BR14,"")</f>
        <v>100</v>
      </c>
      <c r="AO14" s="56" t="str">
        <f>IF(BS14&lt;&gt;"",BS14,"")</f>
        <v>ROBOTS:SxxRyy\SAFETY|ROBOTS_NOPLC:SxxRyy\SAFETY=1</v>
      </c>
      <c r="AP14" s="56" t="str">
        <f>IF(BC14&lt;&gt;"CUSTOM",BC14,BU14)</f>
        <v>PSF</v>
      </c>
      <c r="AQ14" s="56" t="str">
        <f>BB14</f>
        <v>ENTRY</v>
      </c>
      <c r="AR14" s="39" t="s">
        <v>130</v>
      </c>
      <c r="AT14" s="44" t="str">
        <f t="shared" ref="AT14" si="20">IF(Header_PLC_Type="CLX",IF(CP14&lt;&gt;"",CP14,"&lt;noType&gt;"),IF(LEFT(Header_PLC_Type,2)="S7",IF(CD14&lt;&gt;"",CD14,"&lt;noType&gt;"),"&lt;noPLC&gt;"))</f>
        <v>BOOL</v>
      </c>
      <c r="AU14" s="23">
        <f t="shared" ref="AU14" si="21">IF(OR(BC14="PLC",BC14="PSF"),CA14,"")</f>
        <v>0</v>
      </c>
      <c r="AV14" s="23" t="str">
        <f t="shared" ref="AV14" si="22">IF(OR(BC14="PLC",BC14="PSF"),IF(AT14="BOOL",F14,IF(AT14="BYTE",F14&amp;"B",IF(OR(AT14="WORD",AT14="INT"),F14&amp;"W",IF(OR(AT14="DWORD",AT14="DINT",AT14="REAL"),F14&amp;"D","&lt;invalid&gt;")))),"")</f>
        <v>Q</v>
      </c>
      <c r="AW14" s="23" t="str">
        <f t="shared" ref="AW14" si="23">IF(OR(BC14="PLC",BC14="PSF"),""&amp;AV14&amp;IF(AT14="BOOL",BY14&amp;"."&amp;BZ14,BY14)&amp; IF(CA14&lt;&gt;"",": &lt;"&amp;CA14&amp;"&gt; - ",": "),"")</f>
        <v xml:space="preserve">Q.: </v>
      </c>
      <c r="AX14" s="23" t="str">
        <f t="shared" ref="AX14" si="24">IF(OR(BC14="PLC",BC14="PSF"),IF(AND(BB14="EXIT",BC14="PSF"),CH14&amp;SUBSTITUTE(CJ14,":","_")&amp;CK14,CJ14&amp;CK14),"")</f>
        <v>DNS201N56:O.Data[0].0</v>
      </c>
      <c r="AY14" s="36" t="str">
        <f t="shared" ref="AY14" si="25">IF(OR(BC14="PLC",BC14="PSF"),IF(CM14&lt;&gt;"",CM14 &amp; ": &lt;" &amp; CN14&amp;CO14 &amp; "&gt; - ","Controller: &lt;"&amp;CJ14&amp;CK14&amp;"&gt; - "),"")</f>
        <v xml:space="preserve">Controller: &lt;SxxRyy_S.O1.CSI_1&gt; - </v>
      </c>
      <c r="BB14" s="42" t="s">
        <v>15</v>
      </c>
      <c r="BC14" t="s">
        <v>22</v>
      </c>
      <c r="BD14" t="str">
        <f t="shared" ref="BD14:BD19" si="26">Header_Config01</f>
        <v>AB_RACKx_SLOTa</v>
      </c>
      <c r="BR14">
        <v>100</v>
      </c>
      <c r="BS14" t="str">
        <f>"ROBOTS:"&amp;Header_Config02&amp;"\SAFETY|ROBOTS_NOPLC:"&amp;Header_Config02&amp;"\SAFETY=1"</f>
        <v>ROBOTS:SxxRyy\SAFETY|ROBOTS_NOPLC:SxxRyy\SAFETY=1</v>
      </c>
      <c r="BV14" s="30" t="s">
        <v>1150</v>
      </c>
      <c r="BY14" s="42"/>
      <c r="CB14" s="42"/>
      <c r="CE14" s="30"/>
      <c r="CH14" s="42"/>
      <c r="CJ14" t="str">
        <f>Prep!$U$2&amp;":O.Data[0]."</f>
        <v>DNS201N56:O.Data[0].</v>
      </c>
      <c r="CK14">
        <v>0</v>
      </c>
      <c r="CM14" t="s">
        <v>75</v>
      </c>
      <c r="CN14" s="30" t="str">
        <f t="shared" ref="CN14:CN19" si="27">Header_Config02&amp;"_S.O1."</f>
        <v>SxxRyy_S.O1.</v>
      </c>
      <c r="CO14" t="s">
        <v>1151</v>
      </c>
      <c r="CP14" t="s">
        <v>12</v>
      </c>
      <c r="CQ14" s="40"/>
      <c r="CR14" s="30" t="s">
        <v>1152</v>
      </c>
    </row>
    <row r="15" spans="2:96" x14ac:dyDescent="0.35">
      <c r="B15" s="4" t="str">
        <f t="shared" ref="B15:B74" si="28">IF(LEN(BT15)=0,Header_LB_Name,"&lt;BLANK&gt;")</f>
        <v>FANUC_SxxRyy</v>
      </c>
      <c r="C15" s="4"/>
      <c r="D15" s="4" t="str">
        <f t="shared" ref="D15:D74" si="29">IF(BC15="CUSTOM",BV15,IF(BB15="ENTRY","From_",IF(BB15="EXIT","To_","&lt;invalid&gt;"))&amp;IF(OR(BC15="RBT",BC15="KEY",BC15="SNS"),IF(BE15="",BC15,BC15&amp;"_"&amp;BE15),IF(BC15="OPR",IF(BE15="",BC15&amp;"_"&amp;BD15,BC15&amp;"_"&amp;BE15),IF(BC15="LBS",IF(BE15="",BD15,BE15),BC15)))&amp;"_"&amp;IF(BC15="OPR",IF(BB15="ENTRY","end",IF(BB15="EXIT","start","&lt;invalid&gt;")),BV15))</f>
        <v>From_PSF_RobotGeneralStop</v>
      </c>
      <c r="E15" s="4" t="str">
        <f t="shared" ref="E15:E74" si="30">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DNS201N56:O.Data[0].1</v>
      </c>
      <c r="F15" s="4" t="str">
        <f t="shared" ref="F15:F74" si="31">IF(BC15="CUSTOM",BE15,IF(OR(AND(BB15="ENTRY",OR(BC15="PLC",BC15="PSF")),AND(BB15="EXIT",OR(BC15="RBT",BC15="OPR"))),"Q","I"))</f>
        <v>Q</v>
      </c>
      <c r="G15" s="4" t="str">
        <f t="shared" ref="G15:G74" si="32">IF(Header_PLC_Type="S7-ADD",IF(OR(BC15="PSF",BC15="PLC"),IF(BY15&lt;&gt;"",IF(AT15="BOOL",BY15&amp;"."&amp;BZ15,BY15),"&lt;missing&gt;"),""),"")</f>
        <v/>
      </c>
      <c r="H15" s="4" t="str">
        <f t="shared" ref="H15:H74" si="33">IF(OR(BC15="PLC",BC15="PSF"),IF(Header_PLC_Type="CLX",AY15&amp;CR15,IF(LEFT(Header_PLC_Type,2)="S7",AW15&amp;CE15,"&lt;invalid PLC type&gt;")),IF(Header_PLC_Type="CLX",IF(CR15&lt;&gt;"",CR15,""),IF(LEFT(Header_PLC_Type,2)="S7",IF(CE15&lt;&gt;"",CE15,""),"&lt;invalid PLC type&gt;")))</f>
        <v>Controller: &lt;SxxRyy_S.O1.CSI_2&gt; - ROBOT GENERAL STOP</v>
      </c>
      <c r="I15" s="4" t="str">
        <f t="shared" ref="I15:I74" si="34">IF(OR(BC15="PLC",BC15="PSF"),BD15,IF(AND(BC15="CUSTOM",BF15&lt;&gt;""),BF15,""))</f>
        <v>AB_RACKx_SLOTa</v>
      </c>
      <c r="J15" s="4"/>
      <c r="K15" s="56" t="str">
        <f t="shared" ref="K15:K74" si="35">AT15</f>
        <v>BOOL</v>
      </c>
      <c r="L15" s="56" t="str">
        <f t="shared" si="4"/>
        <v>ROBOTS\SxxRyy</v>
      </c>
      <c r="M15" s="56" t="str">
        <f t="shared" si="5"/>
        <v>STELLANTIS\Common\ToolPrototype\Robots</v>
      </c>
      <c r="N15" s="56" t="str">
        <f t="shared" si="6"/>
        <v>STELLANTIS_DN_FANUC_ROBOT_128_BIT_INTEGRATED_SAFETY_SxxRyy.v00</v>
      </c>
      <c r="O15" s="56" t="str">
        <f t="shared" ref="O15:O74" si="36">IF(AND(OR(BC15="SNS",BC15="OPR",BC15="RBT"),BF15&lt;&gt;""),BF15,IF(OR(BC15="PSF",BC15="PLC"),IF(BB15="ENTRY",IF(OR(ISLOGICAL(BF15),ISNUMBER(BF15)),LOWER(TEXT(BF15,"General")),IF((ISTEXT(BF15)),"CEE_To_VC_"&amp;BE15&amp;"_"&amp;BF15,"")),IF((ISTEXT(BF15)),"CEE_From_VC_"&amp;BE15&amp;"_"&amp;BF15,"")),IF(BC15="CUSTOM",IF(BH15&lt;&gt;"",BH15,""),"")))</f>
        <v/>
      </c>
      <c r="P15" s="56" t="str">
        <f t="shared" ref="P15:P74" si="37">IF(OR(BC15="SNS",BC15="OPR"),IF(BG15&lt;&gt;"",BG15,""),IF(BC15="RBT",BD15,IF(BC15="CUSTOM",IF(BG15&lt;&gt;"",BG15,""),"")))</f>
        <v/>
      </c>
      <c r="Q15" s="56" t="str">
        <f t="shared" ref="Q15:Q74" si="38">IF(BC15="OPR",IF(BV15&lt;&gt;"",BV15,"NONSIM"),IF(BC15="RBT",IF(BH15&lt;&gt;"",BH15,""),IF(BC15="SNS",IF(BH15&lt;&gt;"",BH15,L15),IF(OR(BC15="PLC",BC15="PSF"),IF(BG15&lt;&gt;"",BG15,""),""))))</f>
        <v/>
      </c>
      <c r="R15" s="56" t="str">
        <f t="shared" ref="R15:R74" si="39">IF(OR(BC15="PLC",BC15="PSF",BC15="OPR"),IF(BH15&lt;&gt;"",BH15,""),IF(BC15="RBT",IF(BI15&lt;&gt;"",BI15,""),IF(BC15="SNS",IF(BI15&lt;&gt;"",BI15,"PHOTOELECTRIC"),"")))</f>
        <v/>
      </c>
      <c r="S15" s="56" t="str">
        <f t="shared" ref="S15:S74" si="40">IF(OR(BC15="PLC",BC15="PSF",BC15="OPR",AND(BC15="CUSTOM",OR(BU15="PLC",BU15="PSF"))),IF(BI15&lt;&gt;"",BI15,""),IF(BC15="SNS",IF(BJ15&lt;&gt;"",BJ15,""),""))</f>
        <v/>
      </c>
      <c r="T15" s="56" t="str">
        <f t="shared" ref="T15:T74" si="41">IF(AND(Header_PLC_Type="CLX",BC15="PSF",BB15="EXIT"),CJ15&amp;CK15,IF(BC15="OPR",IF(BJ15&lt;&gt;"",BJ15,""),""))</f>
        <v/>
      </c>
      <c r="U15" s="56" t="str">
        <f t="shared" ref="U15:U74" si="42">IF(OR(BC15="SNS",BC15="OPR"),IF(BK15&lt;&gt;"",BK15,""),"")</f>
        <v/>
      </c>
      <c r="V15" s="56" t="str">
        <f t="shared" ref="V15:V74" si="43">IF(OR(BC15="SNS",BC15="OPR"),IF(BL15&lt;&gt;"",BL15,""),"")</f>
        <v/>
      </c>
      <c r="W15" s="56"/>
      <c r="X15" s="56"/>
      <c r="Y15" s="56"/>
      <c r="Z15" s="56" t="str">
        <f t="shared" ref="Z15:Z74" si="44">IF(BP15="","",BP15)</f>
        <v/>
      </c>
      <c r="AA15" s="56" t="str">
        <f t="shared" ref="AA15:AA74" si="45">IF($BQ15="","",$BQ15)</f>
        <v/>
      </c>
      <c r="AB15" s="56" t="str">
        <f t="shared" si="9"/>
        <v>ToolPrototype</v>
      </c>
      <c r="AC15" s="56" t="str">
        <f t="shared" ref="AC15:AC74" si="46">IF(ISBLANK(BT15),"","Optional")</f>
        <v/>
      </c>
      <c r="AD15" s="56" t="str">
        <f t="shared" si="10"/>
        <v>&lt;device&gt;
&lt;name&gt;SxxRyy&lt;/name&gt;
&lt;type&gt;FCA_DN_FANUC&lt;/type&gt;
&lt;deviceNetwork&gt;201&lt;/deviceNetwork&gt;
&lt;deviceNode&gt;56&lt;/deviceNode&gt;
&lt;/device&gt;</v>
      </c>
      <c r="AE15" s="56" t="str">
        <f t="shared" si="11"/>
        <v/>
      </c>
      <c r="AF15" s="56" t="str">
        <f t="shared" si="12"/>
        <v/>
      </c>
      <c r="AG15" s="56" t="str">
        <f t="shared" si="13"/>
        <v/>
      </c>
      <c r="AH15" s="56" t="str">
        <f t="shared" si="14"/>
        <v/>
      </c>
      <c r="AI15" s="56" t="str">
        <f t="shared" si="15"/>
        <v/>
      </c>
      <c r="AJ15" s="56" t="str">
        <f t="shared" si="16"/>
        <v/>
      </c>
      <c r="AK15" s="56" t="str">
        <f t="shared" si="17"/>
        <v/>
      </c>
      <c r="AL15" s="56" t="str">
        <f t="shared" si="18"/>
        <v/>
      </c>
      <c r="AM15" s="56" t="str">
        <f t="shared" si="19"/>
        <v/>
      </c>
      <c r="AN15" s="56">
        <f t="shared" ref="AN15:AN74" si="47">IF(BR15&lt;&gt;"",BR15,"")</f>
        <v>100</v>
      </c>
      <c r="AO15" s="56" t="str">
        <f t="shared" ref="AO15:AO74" si="48">IF(BS15&lt;&gt;"",BS15,"")</f>
        <v>ROBOTS:SxxRyy\SAFETY|ROBOTS_NOPLC:SxxRyy\SAFETY=1</v>
      </c>
      <c r="AP15" s="56" t="str">
        <f t="shared" ref="AP15:AP74" si="49">IF(BC15&lt;&gt;"CUSTOM",BC15,BU15)</f>
        <v>PSF</v>
      </c>
      <c r="AQ15" s="56" t="str">
        <f t="shared" ref="AQ15:AQ74" si="50">BB15</f>
        <v>ENTRY</v>
      </c>
      <c r="AR15" s="39" t="s">
        <v>130</v>
      </c>
      <c r="AT15" s="44" t="str">
        <f t="shared" ref="AT15:AT74" si="51">IF(Header_PLC_Type="CLX",IF(CP15&lt;&gt;"",CP15,"&lt;noType&gt;"),IF(LEFT(Header_PLC_Type,2)="S7",IF(CD15&lt;&gt;"",CD15,"&lt;noType&gt;"),"&lt;noPLC&gt;"))</f>
        <v>BOOL</v>
      </c>
      <c r="AU15" s="23">
        <f t="shared" ref="AU15:AU74" si="52">IF(OR(BC15="PLC",BC15="PSF"),CA15,"")</f>
        <v>0</v>
      </c>
      <c r="AV15" s="23" t="str">
        <f t="shared" ref="AV15:AV74" si="53">IF(OR(BC15="PLC",BC15="PSF"),IF(AT15="BOOL",F15,IF(AT15="BYTE",F15&amp;"B",IF(OR(AT15="WORD",AT15="INT"),F15&amp;"W",IF(OR(AT15="DWORD",AT15="DINT",AT15="REAL"),F15&amp;"D","&lt;invalid&gt;")))),"")</f>
        <v>Q</v>
      </c>
      <c r="AW15" s="23" t="str">
        <f t="shared" ref="AW15:AW74" si="54">IF(OR(BC15="PLC",BC15="PSF"),""&amp;AV15&amp;IF(AT15="BOOL",BY15&amp;"."&amp;BZ15,BY15)&amp; IF(CA15&lt;&gt;"",": &lt;"&amp;CA15&amp;"&gt; - ",": "),"")</f>
        <v xml:space="preserve">Q.: </v>
      </c>
      <c r="AX15" s="23" t="str">
        <f t="shared" ref="AX15:AX74" si="55">IF(OR(BC15="PLC",BC15="PSF"),IF(AND(BB15="EXIT",BC15="PSF"),CH15&amp;SUBSTITUTE(CJ15,":","_")&amp;CK15,CJ15&amp;CK15),"")</f>
        <v>DNS201N56:O.Data[0].1</v>
      </c>
      <c r="AY15" s="36" t="str">
        <f t="shared" ref="AY15:AY74" si="56">IF(OR(BC15="PLC",BC15="PSF"),IF(CM15&lt;&gt;"",CM15 &amp; ": &lt;" &amp; CN15&amp;CO15 &amp; "&gt; - ","Controller: &lt;"&amp;CJ15&amp;CK15&amp;"&gt; - "),"")</f>
        <v xml:space="preserve">Controller: &lt;SxxRyy_S.O1.CSI_2&gt; - </v>
      </c>
      <c r="BB15" s="42" t="s">
        <v>15</v>
      </c>
      <c r="BC15" t="s">
        <v>22</v>
      </c>
      <c r="BD15" t="str">
        <f t="shared" si="26"/>
        <v>AB_RACKx_SLOTa</v>
      </c>
      <c r="BR15">
        <v>100</v>
      </c>
      <c r="BS15" t="str">
        <f>"ROBOTS:"&amp;Header_Config02&amp;"\SAFETY|ROBOTS_NOPLC:"&amp;Header_Config02&amp;"\SAFETY=1"</f>
        <v>ROBOTS:SxxRyy\SAFETY|ROBOTS_NOPLC:SxxRyy\SAFETY=1</v>
      </c>
      <c r="BV15" s="30" t="s">
        <v>1153</v>
      </c>
      <c r="BY15" s="42"/>
      <c r="CB15" s="42"/>
      <c r="CE15" s="30"/>
      <c r="CH15" s="42"/>
      <c r="CJ15" t="str">
        <f>Prep!$U$2&amp;":O.Data[0]."</f>
        <v>DNS201N56:O.Data[0].</v>
      </c>
      <c r="CK15">
        <v>1</v>
      </c>
      <c r="CM15" t="s">
        <v>75</v>
      </c>
      <c r="CN15" s="30" t="str">
        <f t="shared" si="27"/>
        <v>SxxRyy_S.O1.</v>
      </c>
      <c r="CO15" t="s">
        <v>1154</v>
      </c>
      <c r="CP15" t="s">
        <v>12</v>
      </c>
      <c r="CQ15" s="40"/>
      <c r="CR15" s="30" t="s">
        <v>1155</v>
      </c>
    </row>
    <row r="16" spans="2:96" x14ac:dyDescent="0.35">
      <c r="B16" s="4" t="str">
        <f t="shared" si="28"/>
        <v>FANUC_SxxRyy</v>
      </c>
      <c r="C16" s="4"/>
      <c r="D16" s="4" t="str">
        <f t="shared" si="29"/>
        <v>From_PSF_RobotSW24V</v>
      </c>
      <c r="E16" s="4" t="str">
        <f t="shared" si="30"/>
        <v>DNS201N56:O.Data[0].2</v>
      </c>
      <c r="F16" s="4" t="str">
        <f t="shared" si="31"/>
        <v>Q</v>
      </c>
      <c r="G16" s="4" t="str">
        <f t="shared" si="32"/>
        <v/>
      </c>
      <c r="H16" s="4" t="str">
        <f t="shared" si="33"/>
        <v>Controller: &lt;SxxRyy_S.O1.CSI_3&gt; - ROBOT SW24V</v>
      </c>
      <c r="I16" s="4" t="str">
        <f t="shared" si="34"/>
        <v>AB_RACKx_SLOTa</v>
      </c>
      <c r="J16" s="4"/>
      <c r="K16" s="56" t="str">
        <f t="shared" si="35"/>
        <v>BOOL</v>
      </c>
      <c r="L16" s="56" t="str">
        <f t="shared" si="4"/>
        <v>ROBOTS\SxxRyy</v>
      </c>
      <c r="M16" s="56" t="str">
        <f t="shared" si="5"/>
        <v>STELLANTIS\Common\ToolPrototype\Robots</v>
      </c>
      <c r="N16" s="56" t="str">
        <f t="shared" si="6"/>
        <v>STELLANTIS_DN_FANUC_ROBOT_128_BIT_INTEGRATED_SAFETY_SxxRyy.v00</v>
      </c>
      <c r="O16" s="56" t="str">
        <f t="shared" si="36"/>
        <v/>
      </c>
      <c r="P16" s="56" t="str">
        <f t="shared" si="37"/>
        <v/>
      </c>
      <c r="Q16" s="56" t="str">
        <f t="shared" si="38"/>
        <v/>
      </c>
      <c r="R16" s="56" t="str">
        <f t="shared" si="39"/>
        <v/>
      </c>
      <c r="S16" s="56" t="str">
        <f t="shared" si="40"/>
        <v/>
      </c>
      <c r="T16" s="56" t="str">
        <f t="shared" si="41"/>
        <v/>
      </c>
      <c r="U16" s="56" t="str">
        <f t="shared" si="42"/>
        <v/>
      </c>
      <c r="V16" s="56" t="str">
        <f t="shared" si="43"/>
        <v/>
      </c>
      <c r="W16" s="56"/>
      <c r="X16" s="56"/>
      <c r="Y16" s="56"/>
      <c r="Z16" s="56" t="str">
        <f t="shared" si="44"/>
        <v/>
      </c>
      <c r="AA16" s="56" t="str">
        <f t="shared" si="45"/>
        <v/>
      </c>
      <c r="AB16" s="56" t="str">
        <f t="shared" si="9"/>
        <v>ToolPrototype</v>
      </c>
      <c r="AC16" s="56" t="str">
        <f t="shared" si="46"/>
        <v/>
      </c>
      <c r="AD16" s="56" t="str">
        <f t="shared" si="10"/>
        <v>&lt;device&gt;
&lt;name&gt;SxxRyy&lt;/name&gt;
&lt;type&gt;FCA_DN_FANUC&lt;/type&gt;
&lt;deviceNetwork&gt;201&lt;/deviceNetwork&gt;
&lt;deviceNode&gt;56&lt;/deviceNode&gt;
&lt;/device&gt;</v>
      </c>
      <c r="AE16" s="56" t="str">
        <f t="shared" si="11"/>
        <v/>
      </c>
      <c r="AF16" s="56" t="str">
        <f t="shared" si="12"/>
        <v/>
      </c>
      <c r="AG16" s="56" t="str">
        <f t="shared" si="13"/>
        <v/>
      </c>
      <c r="AH16" s="56" t="str">
        <f t="shared" si="14"/>
        <v/>
      </c>
      <c r="AI16" s="56" t="str">
        <f t="shared" si="15"/>
        <v/>
      </c>
      <c r="AJ16" s="56" t="str">
        <f t="shared" si="16"/>
        <v/>
      </c>
      <c r="AK16" s="56" t="str">
        <f t="shared" si="17"/>
        <v/>
      </c>
      <c r="AL16" s="56" t="str">
        <f t="shared" si="18"/>
        <v/>
      </c>
      <c r="AM16" s="56" t="str">
        <f t="shared" si="19"/>
        <v/>
      </c>
      <c r="AN16" s="56">
        <f t="shared" si="47"/>
        <v>100</v>
      </c>
      <c r="AO16" s="56" t="str">
        <f t="shared" si="48"/>
        <v>ROBOTS:SxxRyy\SAFETY|ROBOTS_NOPLC:SxxRyy\SAFETY=1</v>
      </c>
      <c r="AP16" s="56" t="str">
        <f t="shared" si="49"/>
        <v>PSF</v>
      </c>
      <c r="AQ16" s="56" t="str">
        <f t="shared" si="50"/>
        <v>ENTRY</v>
      </c>
      <c r="AR16" s="39" t="s">
        <v>130</v>
      </c>
      <c r="AT16" s="44" t="str">
        <f t="shared" si="51"/>
        <v>BOOL</v>
      </c>
      <c r="AU16" s="23">
        <f t="shared" si="52"/>
        <v>0</v>
      </c>
      <c r="AV16" s="23" t="str">
        <f t="shared" si="53"/>
        <v>Q</v>
      </c>
      <c r="AW16" s="23" t="str">
        <f t="shared" si="54"/>
        <v xml:space="preserve">Q.: </v>
      </c>
      <c r="AX16" s="23" t="str">
        <f t="shared" si="55"/>
        <v>DNS201N56:O.Data[0].2</v>
      </c>
      <c r="AY16" s="36" t="str">
        <f t="shared" si="56"/>
        <v xml:space="preserve">Controller: &lt;SxxRyy_S.O1.CSI_3&gt; - </v>
      </c>
      <c r="BB16" s="42" t="s">
        <v>15</v>
      </c>
      <c r="BC16" t="s">
        <v>22</v>
      </c>
      <c r="BD16" t="str">
        <f t="shared" si="26"/>
        <v>AB_RACKx_SLOTa</v>
      </c>
      <c r="BR16">
        <v>100</v>
      </c>
      <c r="BS16" t="str">
        <f>"ROBOTS:"&amp;Header_Config02&amp;"\SAFETY|ROBOTS_NOPLC:"&amp;Header_Config02&amp;"\SAFETY=1"</f>
        <v>ROBOTS:SxxRyy\SAFETY|ROBOTS_NOPLC:SxxRyy\SAFETY=1</v>
      </c>
      <c r="BV16" s="30" t="s">
        <v>425</v>
      </c>
      <c r="BY16" s="42"/>
      <c r="CB16" s="42"/>
      <c r="CE16" s="30"/>
      <c r="CH16" s="42"/>
      <c r="CJ16" t="str">
        <f>Prep!$U$2&amp;":O.Data[0]."</f>
        <v>DNS201N56:O.Data[0].</v>
      </c>
      <c r="CK16">
        <v>2</v>
      </c>
      <c r="CM16" t="s">
        <v>75</v>
      </c>
      <c r="CN16" s="30" t="str">
        <f t="shared" si="27"/>
        <v>SxxRyy_S.O1.</v>
      </c>
      <c r="CO16" t="s">
        <v>1156</v>
      </c>
      <c r="CP16" t="s">
        <v>12</v>
      </c>
      <c r="CQ16" s="40"/>
      <c r="CR16" s="30" t="s">
        <v>1157</v>
      </c>
    </row>
    <row r="17" spans="2:96" x14ac:dyDescent="0.35">
      <c r="B17" s="4" t="str">
        <f t="shared" si="28"/>
        <v>FANUC_SxxRyy</v>
      </c>
      <c r="C17" s="4"/>
      <c r="D17" s="4" t="str">
        <f t="shared" si="29"/>
        <v>From_PSF_RobotTC24V</v>
      </c>
      <c r="E17" s="4" t="str">
        <f t="shared" si="30"/>
        <v>DNS201N56:O.Data[0].3</v>
      </c>
      <c r="F17" s="4" t="str">
        <f t="shared" si="31"/>
        <v>Q</v>
      </c>
      <c r="G17" s="4" t="str">
        <f t="shared" si="32"/>
        <v/>
      </c>
      <c r="H17" s="4" t="str">
        <f t="shared" si="33"/>
        <v>Controller: &lt;SxxRyy_S.O1.CSI_4&gt; - ROBOT TC24V</v>
      </c>
      <c r="I17" s="4" t="str">
        <f t="shared" si="34"/>
        <v>AB_RACKx_SLOTa</v>
      </c>
      <c r="J17" s="4"/>
      <c r="K17" s="56" t="str">
        <f t="shared" si="35"/>
        <v>BOOL</v>
      </c>
      <c r="L17" s="56" t="str">
        <f t="shared" si="4"/>
        <v>ROBOTS\SxxRyy</v>
      </c>
      <c r="M17" s="56" t="str">
        <f t="shared" si="5"/>
        <v>STELLANTIS\Common\ToolPrototype\Robots</v>
      </c>
      <c r="N17" s="56" t="str">
        <f t="shared" si="6"/>
        <v>STELLANTIS_DN_FANUC_ROBOT_128_BIT_INTEGRATED_SAFETY_SxxRyy.v00</v>
      </c>
      <c r="O17" s="56" t="str">
        <f t="shared" si="36"/>
        <v/>
      </c>
      <c r="P17" s="56" t="str">
        <f t="shared" si="37"/>
        <v/>
      </c>
      <c r="Q17" s="56" t="str">
        <f t="shared" si="38"/>
        <v/>
      </c>
      <c r="R17" s="56" t="str">
        <f t="shared" si="39"/>
        <v/>
      </c>
      <c r="S17" s="56" t="str">
        <f t="shared" si="40"/>
        <v/>
      </c>
      <c r="T17" s="56" t="str">
        <f t="shared" si="41"/>
        <v/>
      </c>
      <c r="U17" s="56" t="str">
        <f t="shared" si="42"/>
        <v/>
      </c>
      <c r="V17" s="56" t="str">
        <f t="shared" si="43"/>
        <v/>
      </c>
      <c r="W17" s="56"/>
      <c r="X17" s="56"/>
      <c r="Y17" s="56"/>
      <c r="Z17" s="56" t="str">
        <f t="shared" si="44"/>
        <v/>
      </c>
      <c r="AA17" s="56" t="str">
        <f t="shared" si="45"/>
        <v/>
      </c>
      <c r="AB17" s="56" t="str">
        <f t="shared" si="9"/>
        <v>ToolPrototype</v>
      </c>
      <c r="AC17" s="56" t="str">
        <f t="shared" si="46"/>
        <v/>
      </c>
      <c r="AD17" s="56" t="str">
        <f t="shared" si="10"/>
        <v>&lt;device&gt;
&lt;name&gt;SxxRyy&lt;/name&gt;
&lt;type&gt;FCA_DN_FANUC&lt;/type&gt;
&lt;deviceNetwork&gt;201&lt;/deviceNetwork&gt;
&lt;deviceNode&gt;56&lt;/deviceNode&gt;
&lt;/device&gt;</v>
      </c>
      <c r="AE17" s="56" t="str">
        <f t="shared" si="11"/>
        <v/>
      </c>
      <c r="AF17" s="56" t="str">
        <f t="shared" si="12"/>
        <v/>
      </c>
      <c r="AG17" s="56" t="str">
        <f t="shared" si="13"/>
        <v/>
      </c>
      <c r="AH17" s="56" t="str">
        <f t="shared" si="14"/>
        <v/>
      </c>
      <c r="AI17" s="56" t="str">
        <f t="shared" si="15"/>
        <v/>
      </c>
      <c r="AJ17" s="56" t="str">
        <f t="shared" si="16"/>
        <v/>
      </c>
      <c r="AK17" s="56" t="str">
        <f t="shared" si="17"/>
        <v/>
      </c>
      <c r="AL17" s="56" t="str">
        <f t="shared" si="18"/>
        <v/>
      </c>
      <c r="AM17" s="56" t="str">
        <f t="shared" si="19"/>
        <v/>
      </c>
      <c r="AN17" s="56" t="str">
        <f t="shared" si="47"/>
        <v/>
      </c>
      <c r="AO17" s="56" t="str">
        <f t="shared" si="48"/>
        <v/>
      </c>
      <c r="AP17" s="56" t="str">
        <f t="shared" si="49"/>
        <v>PSF</v>
      </c>
      <c r="AQ17" s="56" t="str">
        <f t="shared" si="50"/>
        <v>ENTRY</v>
      </c>
      <c r="AR17" s="39" t="s">
        <v>130</v>
      </c>
      <c r="AT17" s="44" t="str">
        <f t="shared" si="51"/>
        <v>BOOL</v>
      </c>
      <c r="AU17" s="23">
        <f t="shared" si="52"/>
        <v>0</v>
      </c>
      <c r="AV17" s="23" t="str">
        <f t="shared" si="53"/>
        <v>Q</v>
      </c>
      <c r="AW17" s="23" t="str">
        <f t="shared" si="54"/>
        <v xml:space="preserve">Q.: </v>
      </c>
      <c r="AX17" s="23" t="str">
        <f t="shared" si="55"/>
        <v>DNS201N56:O.Data[0].3</v>
      </c>
      <c r="AY17" s="36" t="str">
        <f t="shared" si="56"/>
        <v xml:space="preserve">Controller: &lt;SxxRyy_S.O1.CSI_4&gt; - </v>
      </c>
      <c r="BB17" s="42" t="s">
        <v>15</v>
      </c>
      <c r="BC17" t="s">
        <v>22</v>
      </c>
      <c r="BD17" t="str">
        <f t="shared" si="26"/>
        <v>AB_RACKx_SLOTa</v>
      </c>
      <c r="BV17" s="30" t="s">
        <v>426</v>
      </c>
      <c r="BY17" s="42"/>
      <c r="CB17" s="42"/>
      <c r="CE17" s="30"/>
      <c r="CH17" s="42"/>
      <c r="CJ17" t="str">
        <f>Prep!$U$2&amp;":O.Data[0]."</f>
        <v>DNS201N56:O.Data[0].</v>
      </c>
      <c r="CK17">
        <v>3</v>
      </c>
      <c r="CM17" t="s">
        <v>75</v>
      </c>
      <c r="CN17" s="30" t="str">
        <f t="shared" si="27"/>
        <v>SxxRyy_S.O1.</v>
      </c>
      <c r="CO17" t="s">
        <v>1158</v>
      </c>
      <c r="CP17" t="s">
        <v>12</v>
      </c>
      <c r="CQ17" s="40"/>
      <c r="CR17" s="30" t="s">
        <v>1159</v>
      </c>
    </row>
    <row r="18" spans="2:96" x14ac:dyDescent="0.35">
      <c r="B18" s="4" t="str">
        <f t="shared" si="28"/>
        <v>FANUC_SxxRyy</v>
      </c>
      <c r="C18" s="4"/>
      <c r="D18" s="4" t="str">
        <f t="shared" si="29"/>
        <v>From_PSF_RobotDisableJoint1Zone</v>
      </c>
      <c r="E18" s="4" t="str">
        <f t="shared" si="30"/>
        <v>DNS201N56:O.Data[1].1</v>
      </c>
      <c r="F18" s="4" t="str">
        <f t="shared" si="31"/>
        <v>Q</v>
      </c>
      <c r="G18" s="4" t="str">
        <f t="shared" si="32"/>
        <v/>
      </c>
      <c r="H18" s="4" t="str">
        <f t="shared" si="33"/>
        <v>Controller: &lt;SxxRyy_S.O1.CSI_10&gt; - ROBOT Disable Joint 1 Zone</v>
      </c>
      <c r="I18" s="4" t="str">
        <f t="shared" si="34"/>
        <v>AB_RACKx_SLOTa</v>
      </c>
      <c r="J18" s="4"/>
      <c r="K18" s="56" t="str">
        <f t="shared" si="35"/>
        <v>BOOL</v>
      </c>
      <c r="L18" s="56" t="str">
        <f t="shared" si="4"/>
        <v>ROBOTS\SxxRyy</v>
      </c>
      <c r="M18" s="56" t="str">
        <f t="shared" si="5"/>
        <v>STELLANTIS\Common\ToolPrototype\Robots</v>
      </c>
      <c r="N18" s="56" t="str">
        <f t="shared" si="6"/>
        <v>STELLANTIS_DN_FANUC_ROBOT_128_BIT_INTEGRATED_SAFETY_SxxRyy.v00</v>
      </c>
      <c r="O18" s="56" t="str">
        <f t="shared" si="36"/>
        <v/>
      </c>
      <c r="P18" s="56" t="str">
        <f t="shared" si="37"/>
        <v/>
      </c>
      <c r="Q18" s="56" t="str">
        <f t="shared" si="38"/>
        <v/>
      </c>
      <c r="R18" s="56" t="str">
        <f t="shared" si="39"/>
        <v/>
      </c>
      <c r="S18" s="56" t="str">
        <f t="shared" si="40"/>
        <v/>
      </c>
      <c r="T18" s="56" t="str">
        <f t="shared" si="41"/>
        <v/>
      </c>
      <c r="U18" s="56" t="str">
        <f t="shared" si="42"/>
        <v/>
      </c>
      <c r="V18" s="56" t="str">
        <f t="shared" si="43"/>
        <v/>
      </c>
      <c r="W18" s="56"/>
      <c r="X18" s="56"/>
      <c r="Y18" s="56"/>
      <c r="Z18" s="56" t="str">
        <f t="shared" si="44"/>
        <v/>
      </c>
      <c r="AA18" s="56" t="str">
        <f t="shared" si="45"/>
        <v/>
      </c>
      <c r="AB18" s="56" t="str">
        <f t="shared" si="9"/>
        <v>ToolPrototype</v>
      </c>
      <c r="AC18" s="56" t="str">
        <f t="shared" si="46"/>
        <v/>
      </c>
      <c r="AD18" s="56" t="str">
        <f t="shared" si="10"/>
        <v>&lt;device&gt;
&lt;name&gt;SxxRyy&lt;/name&gt;
&lt;type&gt;FCA_DN_FANUC&lt;/type&gt;
&lt;deviceNetwork&gt;201&lt;/deviceNetwork&gt;
&lt;deviceNode&gt;56&lt;/deviceNode&gt;
&lt;/device&gt;</v>
      </c>
      <c r="AE18" s="56" t="str">
        <f t="shared" si="11"/>
        <v/>
      </c>
      <c r="AF18" s="56" t="str">
        <f t="shared" si="12"/>
        <v/>
      </c>
      <c r="AG18" s="56" t="str">
        <f t="shared" si="13"/>
        <v/>
      </c>
      <c r="AH18" s="56" t="str">
        <f t="shared" si="14"/>
        <v/>
      </c>
      <c r="AI18" s="56" t="str">
        <f t="shared" si="15"/>
        <v/>
      </c>
      <c r="AJ18" s="56" t="str">
        <f t="shared" si="16"/>
        <v/>
      </c>
      <c r="AK18" s="56" t="str">
        <f t="shared" si="17"/>
        <v/>
      </c>
      <c r="AL18" s="56" t="str">
        <f t="shared" si="18"/>
        <v/>
      </c>
      <c r="AM18" s="56" t="str">
        <f t="shared" si="19"/>
        <v/>
      </c>
      <c r="AN18" s="56" t="str">
        <f t="shared" si="47"/>
        <v/>
      </c>
      <c r="AO18" s="56" t="str">
        <f t="shared" si="48"/>
        <v/>
      </c>
      <c r="AP18" s="56" t="str">
        <f t="shared" si="49"/>
        <v>PSF</v>
      </c>
      <c r="AQ18" s="56" t="str">
        <f t="shared" si="50"/>
        <v>ENTRY</v>
      </c>
      <c r="AR18" s="39" t="s">
        <v>130</v>
      </c>
      <c r="AT18" s="44" t="str">
        <f t="shared" si="51"/>
        <v>BOOL</v>
      </c>
      <c r="AU18" s="23">
        <f t="shared" si="52"/>
        <v>0</v>
      </c>
      <c r="AV18" s="23" t="str">
        <f t="shared" si="53"/>
        <v>Q</v>
      </c>
      <c r="AW18" s="23" t="str">
        <f t="shared" si="54"/>
        <v xml:space="preserve">Q.: </v>
      </c>
      <c r="AX18" s="23" t="str">
        <f t="shared" si="55"/>
        <v>DNS201N56:O.Data[1].1</v>
      </c>
      <c r="AY18" s="36" t="str">
        <f t="shared" si="56"/>
        <v xml:space="preserve">Controller: &lt;SxxRyy_S.O1.CSI_10&gt; - </v>
      </c>
      <c r="BB18" s="42" t="s">
        <v>15</v>
      </c>
      <c r="BC18" t="s">
        <v>22</v>
      </c>
      <c r="BD18" t="str">
        <f t="shared" si="26"/>
        <v>AB_RACKx_SLOTa</v>
      </c>
      <c r="BV18" s="30" t="s">
        <v>1160</v>
      </c>
      <c r="BY18" s="42"/>
      <c r="CB18" s="42"/>
      <c r="CE18" s="30"/>
      <c r="CH18" s="42"/>
      <c r="CJ18" t="str">
        <f>Prep!$U$2&amp;":O.Data[1]."</f>
        <v>DNS201N56:O.Data[1].</v>
      </c>
      <c r="CK18">
        <v>1</v>
      </c>
      <c r="CM18" t="s">
        <v>75</v>
      </c>
      <c r="CN18" s="30" t="str">
        <f t="shared" si="27"/>
        <v>SxxRyy_S.O1.</v>
      </c>
      <c r="CO18" t="s">
        <v>1161</v>
      </c>
      <c r="CP18" t="s">
        <v>12</v>
      </c>
      <c r="CQ18" s="40"/>
      <c r="CR18" s="30" t="s">
        <v>1162</v>
      </c>
    </row>
    <row r="19" spans="2:96" x14ac:dyDescent="0.35">
      <c r="B19" s="4" t="str">
        <f t="shared" si="28"/>
        <v>FANUC_SxxRyy</v>
      </c>
      <c r="C19" s="4"/>
      <c r="D19" s="4" t="str">
        <f t="shared" si="29"/>
        <v>From_PSF_RobotDisableJoint2Zone</v>
      </c>
      <c r="E19" s="4" t="str">
        <f t="shared" si="30"/>
        <v>DNS201N56:O.Data[1].2</v>
      </c>
      <c r="F19" s="4" t="str">
        <f t="shared" si="31"/>
        <v>Q</v>
      </c>
      <c r="G19" s="4" t="str">
        <f t="shared" si="32"/>
        <v/>
      </c>
      <c r="H19" s="4" t="str">
        <f t="shared" si="33"/>
        <v>Controller: &lt;SxxRyy_S.O1.CSI_11&gt; - ROBOT Disable Joint 2 Zone</v>
      </c>
      <c r="I19" s="4" t="str">
        <f t="shared" si="34"/>
        <v>AB_RACKx_SLOTa</v>
      </c>
      <c r="J19" s="4"/>
      <c r="K19" s="56" t="str">
        <f t="shared" si="35"/>
        <v>BOOL</v>
      </c>
      <c r="L19" s="56" t="str">
        <f t="shared" si="4"/>
        <v>ROBOTS\SxxRyy</v>
      </c>
      <c r="M19" s="56" t="str">
        <f t="shared" si="5"/>
        <v>STELLANTIS\Common\ToolPrototype\Robots</v>
      </c>
      <c r="N19" s="56" t="str">
        <f t="shared" si="6"/>
        <v>STELLANTIS_DN_FANUC_ROBOT_128_BIT_INTEGRATED_SAFETY_SxxRyy.v00</v>
      </c>
      <c r="O19" s="56" t="str">
        <f t="shared" si="36"/>
        <v/>
      </c>
      <c r="P19" s="56" t="str">
        <f t="shared" si="37"/>
        <v/>
      </c>
      <c r="Q19" s="56" t="str">
        <f t="shared" si="38"/>
        <v/>
      </c>
      <c r="R19" s="56" t="str">
        <f t="shared" si="39"/>
        <v/>
      </c>
      <c r="S19" s="56" t="str">
        <f t="shared" si="40"/>
        <v/>
      </c>
      <c r="T19" s="56" t="str">
        <f t="shared" si="41"/>
        <v/>
      </c>
      <c r="U19" s="56" t="str">
        <f t="shared" si="42"/>
        <v/>
      </c>
      <c r="V19" s="56" t="str">
        <f t="shared" si="43"/>
        <v/>
      </c>
      <c r="W19" s="56"/>
      <c r="X19" s="56"/>
      <c r="Y19" s="56"/>
      <c r="Z19" s="56" t="str">
        <f t="shared" si="44"/>
        <v/>
      </c>
      <c r="AA19" s="56" t="str">
        <f t="shared" si="45"/>
        <v/>
      </c>
      <c r="AB19" s="56" t="str">
        <f t="shared" si="9"/>
        <v>ToolPrototype</v>
      </c>
      <c r="AC19" s="56" t="str">
        <f t="shared" si="46"/>
        <v/>
      </c>
      <c r="AD19" s="56" t="str">
        <f t="shared" si="10"/>
        <v>&lt;device&gt;
&lt;name&gt;SxxRyy&lt;/name&gt;
&lt;type&gt;FCA_DN_FANUC&lt;/type&gt;
&lt;deviceNetwork&gt;201&lt;/deviceNetwork&gt;
&lt;deviceNode&gt;56&lt;/deviceNode&gt;
&lt;/device&gt;</v>
      </c>
      <c r="AE19" s="56" t="str">
        <f t="shared" si="11"/>
        <v/>
      </c>
      <c r="AF19" s="56" t="str">
        <f t="shared" si="12"/>
        <v/>
      </c>
      <c r="AG19" s="56" t="str">
        <f t="shared" si="13"/>
        <v/>
      </c>
      <c r="AH19" s="56" t="str">
        <f t="shared" si="14"/>
        <v/>
      </c>
      <c r="AI19" s="56" t="str">
        <f t="shared" si="15"/>
        <v/>
      </c>
      <c r="AJ19" s="56" t="str">
        <f t="shared" si="16"/>
        <v/>
      </c>
      <c r="AK19" s="56" t="str">
        <f t="shared" si="17"/>
        <v/>
      </c>
      <c r="AL19" s="56" t="str">
        <f t="shared" si="18"/>
        <v/>
      </c>
      <c r="AM19" s="56" t="str">
        <f t="shared" si="19"/>
        <v/>
      </c>
      <c r="AN19" s="56" t="str">
        <f t="shared" si="47"/>
        <v/>
      </c>
      <c r="AO19" s="56" t="str">
        <f t="shared" si="48"/>
        <v/>
      </c>
      <c r="AP19" s="56" t="str">
        <f t="shared" si="49"/>
        <v>PSF</v>
      </c>
      <c r="AQ19" s="56" t="str">
        <f t="shared" si="50"/>
        <v>ENTRY</v>
      </c>
      <c r="AR19" s="39" t="s">
        <v>130</v>
      </c>
      <c r="AT19" s="44" t="str">
        <f t="shared" si="51"/>
        <v>BOOL</v>
      </c>
      <c r="AU19" s="23">
        <f t="shared" si="52"/>
        <v>0</v>
      </c>
      <c r="AV19" s="23" t="str">
        <f t="shared" si="53"/>
        <v>Q</v>
      </c>
      <c r="AW19" s="23" t="str">
        <f t="shared" si="54"/>
        <v xml:space="preserve">Q.: </v>
      </c>
      <c r="AX19" s="23" t="str">
        <f t="shared" si="55"/>
        <v>DNS201N56:O.Data[1].2</v>
      </c>
      <c r="AY19" s="36" t="str">
        <f t="shared" si="56"/>
        <v xml:space="preserve">Controller: &lt;SxxRyy_S.O1.CSI_11&gt; - </v>
      </c>
      <c r="BB19" s="42" t="s">
        <v>15</v>
      </c>
      <c r="BC19" t="s">
        <v>22</v>
      </c>
      <c r="BD19" t="str">
        <f t="shared" si="26"/>
        <v>AB_RACKx_SLOTa</v>
      </c>
      <c r="BV19" s="30" t="s">
        <v>1163</v>
      </c>
      <c r="BY19" s="42"/>
      <c r="CB19" s="42"/>
      <c r="CE19" s="30"/>
      <c r="CH19" s="42"/>
      <c r="CJ19" t="str">
        <f>Prep!$U$2&amp;":O.Data[1]."</f>
        <v>DNS201N56:O.Data[1].</v>
      </c>
      <c r="CK19">
        <v>2</v>
      </c>
      <c r="CM19" t="s">
        <v>75</v>
      </c>
      <c r="CN19" s="30" t="str">
        <f t="shared" si="27"/>
        <v>SxxRyy_S.O1.</v>
      </c>
      <c r="CO19" t="s">
        <v>1164</v>
      </c>
      <c r="CP19" t="s">
        <v>12</v>
      </c>
      <c r="CQ19" s="40"/>
      <c r="CR19" s="30" t="s">
        <v>1165</v>
      </c>
    </row>
    <row r="20" spans="2:96" x14ac:dyDescent="0.35">
      <c r="B20" s="4" t="str">
        <f t="shared" si="28"/>
        <v>FANUC_SxxRyy</v>
      </c>
      <c r="C20" s="4"/>
      <c r="D20" s="4" t="str">
        <f t="shared" si="29"/>
        <v>From_PLC_NoHold</v>
      </c>
      <c r="E20" s="4" t="str">
        <f t="shared" si="30"/>
        <v>ENBT200:1:O.Data[82].0</v>
      </c>
      <c r="F20" s="4" t="str">
        <f t="shared" si="31"/>
        <v>Q</v>
      </c>
      <c r="G20" s="4" t="str">
        <f t="shared" si="32"/>
        <v/>
      </c>
      <c r="H20" s="4" t="str">
        <f t="shared" si="33"/>
        <v>Controller: &lt;O0201N51.b01&gt; - *HOLD DI1</v>
      </c>
      <c r="I20" s="4" t="str">
        <f t="shared" si="34"/>
        <v>AB_RACKx_SLOTa</v>
      </c>
      <c r="J20" s="4"/>
      <c r="K20" s="56" t="str">
        <f t="shared" si="35"/>
        <v>BOOL</v>
      </c>
      <c r="L20" s="56" t="str">
        <f t="shared" si="4"/>
        <v>ROBOTS\SxxRyy</v>
      </c>
      <c r="M20" s="56" t="str">
        <f t="shared" si="5"/>
        <v>STELLANTIS\Common\ToolPrototype\Robots</v>
      </c>
      <c r="N20" s="56" t="str">
        <f t="shared" si="6"/>
        <v>STELLANTIS_DN_FANUC_ROBOT_128_BIT_INTEGRATED_SAFETY_SxxRyy.v00</v>
      </c>
      <c r="O20" s="56" t="str">
        <f t="shared" si="36"/>
        <v/>
      </c>
      <c r="P20" s="56" t="str">
        <f t="shared" si="37"/>
        <v/>
      </c>
      <c r="Q20" s="56" t="str">
        <f t="shared" si="38"/>
        <v/>
      </c>
      <c r="R20" s="56" t="str">
        <f t="shared" si="39"/>
        <v/>
      </c>
      <c r="S20" s="56" t="str">
        <f t="shared" si="40"/>
        <v/>
      </c>
      <c r="T20" s="56" t="str">
        <f t="shared" si="41"/>
        <v/>
      </c>
      <c r="U20" s="56" t="str">
        <f t="shared" si="42"/>
        <v/>
      </c>
      <c r="V20" s="56" t="str">
        <f t="shared" si="43"/>
        <v/>
      </c>
      <c r="W20" s="56"/>
      <c r="X20" s="56"/>
      <c r="Y20" s="56"/>
      <c r="Z20" s="56" t="str">
        <f t="shared" si="44"/>
        <v/>
      </c>
      <c r="AA20" s="56" t="str">
        <f t="shared" si="45"/>
        <v/>
      </c>
      <c r="AB20" s="56" t="str">
        <f t="shared" si="9"/>
        <v>ToolPrototype</v>
      </c>
      <c r="AC20" s="56" t="str">
        <f t="shared" si="46"/>
        <v/>
      </c>
      <c r="AD20" s="56" t="str">
        <f t="shared" si="10"/>
        <v>&lt;device&gt;
&lt;name&gt;SxxRyy&lt;/name&gt;
&lt;type&gt;FCA_DN_FANUC&lt;/type&gt;
&lt;deviceNetwork&gt;201&lt;/deviceNetwork&gt;
&lt;deviceNode&gt;56&lt;/deviceNode&gt;
&lt;/device&gt;</v>
      </c>
      <c r="AE20" s="56" t="str">
        <f t="shared" si="11"/>
        <v/>
      </c>
      <c r="AF20" s="56" t="str">
        <f t="shared" si="12"/>
        <v/>
      </c>
      <c r="AG20" s="56" t="str">
        <f t="shared" si="13"/>
        <v/>
      </c>
      <c r="AH20" s="56" t="str">
        <f t="shared" si="14"/>
        <v/>
      </c>
      <c r="AI20" s="56" t="str">
        <f t="shared" si="15"/>
        <v/>
      </c>
      <c r="AJ20" s="56" t="str">
        <f t="shared" si="16"/>
        <v/>
      </c>
      <c r="AK20" s="56" t="str">
        <f t="shared" si="17"/>
        <v/>
      </c>
      <c r="AL20" s="56" t="str">
        <f t="shared" si="18"/>
        <v/>
      </c>
      <c r="AM20" s="56" t="str">
        <f t="shared" si="19"/>
        <v/>
      </c>
      <c r="AN20" s="56">
        <f t="shared" si="47"/>
        <v>200</v>
      </c>
      <c r="AO20" s="56" t="str">
        <f t="shared" si="48"/>
        <v>ROBOTS:SxxRyy\000_COMMON|ROBOTS_NOPLC:SxxRyy\000_COMMON=1</v>
      </c>
      <c r="AP20" s="56" t="str">
        <f t="shared" si="49"/>
        <v>PLC</v>
      </c>
      <c r="AQ20" s="56" t="str">
        <f t="shared" si="50"/>
        <v>ENTRY</v>
      </c>
      <c r="AR20" s="39" t="s">
        <v>130</v>
      </c>
      <c r="AT20" s="44" t="str">
        <f t="shared" si="51"/>
        <v>BOOL</v>
      </c>
      <c r="AU20" s="23">
        <f t="shared" si="52"/>
        <v>0</v>
      </c>
      <c r="AV20" s="23" t="str">
        <f t="shared" si="53"/>
        <v>Q</v>
      </c>
      <c r="AW20" s="23" t="str">
        <f t="shared" si="54"/>
        <v xml:space="preserve">Q.: </v>
      </c>
      <c r="AX20" s="23" t="str">
        <f t="shared" si="55"/>
        <v>ENBT200:1:O.Data[82].0</v>
      </c>
      <c r="AY20" s="36" t="str">
        <f t="shared" si="56"/>
        <v xml:space="preserve">Controller: &lt;O0201N51.b01&gt; - </v>
      </c>
      <c r="BB20" s="42" t="s">
        <v>15</v>
      </c>
      <c r="BC20" t="s">
        <v>16</v>
      </c>
      <c r="BD20" t="str">
        <f t="shared" ref="BD20:BD34" si="57">Header_Config01</f>
        <v>AB_RACKx_SLOTa</v>
      </c>
      <c r="BR20">
        <v>200</v>
      </c>
      <c r="BS20" t="str">
        <f>"ROBOTS:"&amp;Header_Config02&amp;"\000_COMMON|ROBOTS_NOPLC:"&amp;Header_Config02&amp;"\000_COMMON=1"</f>
        <v>ROBOTS:SxxRyy\000_COMMON|ROBOTS_NOPLC:SxxRyy\000_COMMON=1</v>
      </c>
      <c r="BV20" s="30" t="s">
        <v>427</v>
      </c>
      <c r="BW20" t="str">
        <f>"DI["&amp;VALUE(MID(CO20,2,3))&amp;"]"</f>
        <v>DI[1]</v>
      </c>
      <c r="BY20" s="42"/>
      <c r="CB20" s="42"/>
      <c r="CE20" s="30"/>
      <c r="CH20" s="42"/>
      <c r="CJ20" t="str">
        <f>Prep!$U$3&amp;":O.Data["&amp;Prep!$U$7&amp;"]."</f>
        <v>ENBT200:1:O.Data[82].</v>
      </c>
      <c r="CK20">
        <v>0</v>
      </c>
      <c r="CM20" t="s">
        <v>75</v>
      </c>
      <c r="CN20" s="30" t="str">
        <f>"O0"&amp;Header_Config03&amp;"N"&amp;TEXT(Prep!$U$6,"00")&amp;"."</f>
        <v>O0201N51.</v>
      </c>
      <c r="CO20" t="s">
        <v>248</v>
      </c>
      <c r="CP20" t="s">
        <v>12</v>
      </c>
      <c r="CQ20" s="40"/>
      <c r="CR20" s="30" t="s">
        <v>428</v>
      </c>
    </row>
    <row r="21" spans="2:96" x14ac:dyDescent="0.35">
      <c r="B21" s="4" t="str">
        <f t="shared" si="28"/>
        <v>FANUC_SxxRyy</v>
      </c>
      <c r="C21" s="4"/>
      <c r="D21" s="4" t="str">
        <f t="shared" si="29"/>
        <v>From_PLC_Resume</v>
      </c>
      <c r="E21" s="4" t="str">
        <f t="shared" si="30"/>
        <v>ENBT200:1:O.Data[82].1</v>
      </c>
      <c r="F21" s="4" t="str">
        <f t="shared" si="31"/>
        <v>Q</v>
      </c>
      <c r="G21" s="4" t="str">
        <f t="shared" si="32"/>
        <v/>
      </c>
      <c r="H21" s="4" t="str">
        <f t="shared" si="33"/>
        <v>Controller: &lt;O0201N51.b02&gt; - RESUME DI2</v>
      </c>
      <c r="I21" s="4" t="str">
        <f t="shared" si="34"/>
        <v>AB_RACKx_SLOTa</v>
      </c>
      <c r="J21" s="4"/>
      <c r="K21" s="56" t="str">
        <f t="shared" si="35"/>
        <v>BOOL</v>
      </c>
      <c r="L21" s="56" t="str">
        <f t="shared" si="4"/>
        <v>ROBOTS\SxxRyy</v>
      </c>
      <c r="M21" s="56" t="str">
        <f t="shared" si="5"/>
        <v>STELLANTIS\Common\ToolPrototype\Robots</v>
      </c>
      <c r="N21" s="56" t="str">
        <f t="shared" si="6"/>
        <v>STELLANTIS_DN_FANUC_ROBOT_128_BIT_INTEGRATED_SAFETY_SxxRyy.v00</v>
      </c>
      <c r="O21" s="56" t="str">
        <f t="shared" si="36"/>
        <v/>
      </c>
      <c r="P21" s="56" t="str">
        <f t="shared" si="37"/>
        <v/>
      </c>
      <c r="Q21" s="56" t="str">
        <f t="shared" si="38"/>
        <v/>
      </c>
      <c r="R21" s="56" t="str">
        <f t="shared" si="39"/>
        <v/>
      </c>
      <c r="S21" s="56" t="str">
        <f t="shared" si="40"/>
        <v/>
      </c>
      <c r="T21" s="56" t="str">
        <f t="shared" si="41"/>
        <v/>
      </c>
      <c r="U21" s="56" t="str">
        <f t="shared" si="42"/>
        <v/>
      </c>
      <c r="V21" s="56" t="str">
        <f t="shared" si="43"/>
        <v/>
      </c>
      <c r="W21" s="56"/>
      <c r="X21" s="56"/>
      <c r="Y21" s="56"/>
      <c r="Z21" s="56" t="str">
        <f t="shared" si="44"/>
        <v/>
      </c>
      <c r="AA21" s="56" t="str">
        <f t="shared" si="45"/>
        <v/>
      </c>
      <c r="AB21" s="56" t="str">
        <f t="shared" si="9"/>
        <v>ToolPrototype</v>
      </c>
      <c r="AC21" s="56" t="str">
        <f t="shared" si="46"/>
        <v/>
      </c>
      <c r="AD21" s="56" t="str">
        <f t="shared" si="10"/>
        <v>&lt;device&gt;
&lt;name&gt;SxxRyy&lt;/name&gt;
&lt;type&gt;FCA_DN_FANUC&lt;/type&gt;
&lt;deviceNetwork&gt;201&lt;/deviceNetwork&gt;
&lt;deviceNode&gt;56&lt;/deviceNode&gt;
&lt;/device&gt;</v>
      </c>
      <c r="AE21" s="56" t="str">
        <f t="shared" si="11"/>
        <v/>
      </c>
      <c r="AF21" s="56" t="str">
        <f t="shared" si="12"/>
        <v/>
      </c>
      <c r="AG21" s="56" t="str">
        <f t="shared" si="13"/>
        <v/>
      </c>
      <c r="AH21" s="56" t="str">
        <f t="shared" si="14"/>
        <v/>
      </c>
      <c r="AI21" s="56" t="str">
        <f t="shared" si="15"/>
        <v/>
      </c>
      <c r="AJ21" s="56" t="str">
        <f t="shared" si="16"/>
        <v/>
      </c>
      <c r="AK21" s="56" t="str">
        <f t="shared" si="17"/>
        <v/>
      </c>
      <c r="AL21" s="56" t="str">
        <f t="shared" si="18"/>
        <v/>
      </c>
      <c r="AM21" s="56" t="str">
        <f t="shared" si="19"/>
        <v/>
      </c>
      <c r="AN21" s="56">
        <f t="shared" si="47"/>
        <v>200</v>
      </c>
      <c r="AO21" s="56" t="str">
        <f t="shared" si="48"/>
        <v>ROBOTS:SxxRyy\000_COMMON|ROBOTS_NOPLC:SxxRyy\000_COMMON=0</v>
      </c>
      <c r="AP21" s="56" t="str">
        <f t="shared" si="49"/>
        <v>PLC</v>
      </c>
      <c r="AQ21" s="56" t="str">
        <f t="shared" si="50"/>
        <v>ENTRY</v>
      </c>
      <c r="AR21" s="39" t="s">
        <v>130</v>
      </c>
      <c r="AT21" s="44" t="str">
        <f t="shared" si="51"/>
        <v>BOOL</v>
      </c>
      <c r="AU21" s="23">
        <f t="shared" si="52"/>
        <v>0</v>
      </c>
      <c r="AV21" s="23" t="str">
        <f t="shared" si="53"/>
        <v>Q</v>
      </c>
      <c r="AW21" s="23" t="str">
        <f t="shared" si="54"/>
        <v xml:space="preserve">Q.: </v>
      </c>
      <c r="AX21" s="23" t="str">
        <f t="shared" si="55"/>
        <v>ENBT200:1:O.Data[82].1</v>
      </c>
      <c r="AY21" s="36" t="str">
        <f t="shared" si="56"/>
        <v xml:space="preserve">Controller: &lt;O0201N51.b02&gt; - </v>
      </c>
      <c r="BB21" s="42" t="s">
        <v>15</v>
      </c>
      <c r="BC21" t="s">
        <v>16</v>
      </c>
      <c r="BD21" t="str">
        <f t="shared" si="57"/>
        <v>AB_RACKx_SLOTa</v>
      </c>
      <c r="BR21">
        <v>200</v>
      </c>
      <c r="BS21" t="str">
        <f>"ROBOTS:"&amp;Header_Config02&amp;"\000_COMMON|ROBOTS_NOPLC:"&amp;Header_Config02&amp;"\000_COMMON=0"</f>
        <v>ROBOTS:SxxRyy\000_COMMON|ROBOTS_NOPLC:SxxRyy\000_COMMON=0</v>
      </c>
      <c r="BV21" s="30" t="s">
        <v>429</v>
      </c>
      <c r="BW21" t="str">
        <f t="shared" ref="BW21:BW57" si="58">"DI["&amp;VALUE(MID(CO21,2,3))&amp;"]"</f>
        <v>DI[2]</v>
      </c>
      <c r="BY21" s="42"/>
      <c r="CB21" s="42"/>
      <c r="CE21" s="30"/>
      <c r="CH21" s="42"/>
      <c r="CJ21" t="str">
        <f>Prep!$U$3&amp;":O.Data["&amp;Prep!$U$7&amp;"]."</f>
        <v>ENBT200:1:O.Data[82].</v>
      </c>
      <c r="CK21">
        <v>1</v>
      </c>
      <c r="CM21" t="s">
        <v>75</v>
      </c>
      <c r="CN21" s="30" t="str">
        <f>"O0"&amp;Header_Config03&amp;"N"&amp;TEXT(Prep!$U$6,"00")&amp;"."</f>
        <v>O0201N51.</v>
      </c>
      <c r="CO21" t="s">
        <v>250</v>
      </c>
      <c r="CP21" t="s">
        <v>12</v>
      </c>
      <c r="CQ21" s="40"/>
      <c r="CR21" s="30" t="s">
        <v>430</v>
      </c>
    </row>
    <row r="22" spans="2:96" x14ac:dyDescent="0.35">
      <c r="B22" s="4" t="str">
        <f t="shared" si="28"/>
        <v>FANUC_SxxRyy</v>
      </c>
      <c r="C22" s="4"/>
      <c r="D22" s="4" t="str">
        <f t="shared" si="29"/>
        <v>From_PLC_FaultReset</v>
      </c>
      <c r="E22" s="4" t="str">
        <f t="shared" si="30"/>
        <v>ENBT200:1:O.Data[82].2</v>
      </c>
      <c r="F22" s="4" t="str">
        <f t="shared" si="31"/>
        <v>Q</v>
      </c>
      <c r="G22" s="4" t="str">
        <f t="shared" si="32"/>
        <v/>
      </c>
      <c r="H22" s="4" t="str">
        <f t="shared" si="33"/>
        <v>Controller: &lt;O0201N51.b03&gt; - FAULT RESET DI3</v>
      </c>
      <c r="I22" s="4" t="str">
        <f t="shared" si="34"/>
        <v>AB_RACKx_SLOTa</v>
      </c>
      <c r="J22" s="4"/>
      <c r="K22" s="56" t="str">
        <f t="shared" si="35"/>
        <v>BOOL</v>
      </c>
      <c r="L22" s="56" t="str">
        <f t="shared" si="4"/>
        <v>ROBOTS\SxxRyy</v>
      </c>
      <c r="M22" s="56" t="str">
        <f t="shared" si="5"/>
        <v>STELLANTIS\Common\ToolPrototype\Robots</v>
      </c>
      <c r="N22" s="56" t="str">
        <f t="shared" si="6"/>
        <v>STELLANTIS_DN_FANUC_ROBOT_128_BIT_INTEGRATED_SAFETY_SxxRyy.v00</v>
      </c>
      <c r="O22" s="56" t="str">
        <f t="shared" si="36"/>
        <v/>
      </c>
      <c r="P22" s="56" t="str">
        <f t="shared" si="37"/>
        <v/>
      </c>
      <c r="Q22" s="56" t="str">
        <f t="shared" si="38"/>
        <v/>
      </c>
      <c r="R22" s="56" t="str">
        <f t="shared" si="39"/>
        <v/>
      </c>
      <c r="S22" s="56" t="str">
        <f t="shared" si="40"/>
        <v/>
      </c>
      <c r="T22" s="56" t="str">
        <f t="shared" si="41"/>
        <v/>
      </c>
      <c r="U22" s="56" t="str">
        <f t="shared" si="42"/>
        <v/>
      </c>
      <c r="V22" s="56" t="str">
        <f t="shared" si="43"/>
        <v/>
      </c>
      <c r="W22" s="56"/>
      <c r="X22" s="56"/>
      <c r="Y22" s="56"/>
      <c r="Z22" s="56" t="str">
        <f t="shared" si="44"/>
        <v/>
      </c>
      <c r="AA22" s="56" t="str">
        <f t="shared" si="45"/>
        <v/>
      </c>
      <c r="AB22" s="56" t="str">
        <f t="shared" si="9"/>
        <v>ToolPrototype</v>
      </c>
      <c r="AC22" s="56" t="str">
        <f t="shared" si="46"/>
        <v/>
      </c>
      <c r="AD22" s="56" t="str">
        <f t="shared" si="10"/>
        <v>&lt;device&gt;
&lt;name&gt;SxxRyy&lt;/name&gt;
&lt;type&gt;FCA_DN_FANUC&lt;/type&gt;
&lt;deviceNetwork&gt;201&lt;/deviceNetwork&gt;
&lt;deviceNode&gt;56&lt;/deviceNode&gt;
&lt;/device&gt;</v>
      </c>
      <c r="AE22" s="56" t="str">
        <f t="shared" si="11"/>
        <v/>
      </c>
      <c r="AF22" s="56" t="str">
        <f t="shared" si="12"/>
        <v/>
      </c>
      <c r="AG22" s="56" t="str">
        <f t="shared" si="13"/>
        <v/>
      </c>
      <c r="AH22" s="56" t="str">
        <f t="shared" si="14"/>
        <v/>
      </c>
      <c r="AI22" s="56" t="str">
        <f t="shared" si="15"/>
        <v/>
      </c>
      <c r="AJ22" s="56" t="str">
        <f t="shared" si="16"/>
        <v/>
      </c>
      <c r="AK22" s="56" t="str">
        <f t="shared" si="17"/>
        <v/>
      </c>
      <c r="AL22" s="56" t="str">
        <f t="shared" si="18"/>
        <v/>
      </c>
      <c r="AM22" s="56" t="str">
        <f t="shared" si="19"/>
        <v/>
      </c>
      <c r="AN22" s="56" t="str">
        <f t="shared" si="47"/>
        <v/>
      </c>
      <c r="AO22" s="56" t="str">
        <f t="shared" si="48"/>
        <v/>
      </c>
      <c r="AP22" s="56" t="str">
        <f t="shared" si="49"/>
        <v>PLC</v>
      </c>
      <c r="AQ22" s="56" t="str">
        <f t="shared" si="50"/>
        <v>ENTRY</v>
      </c>
      <c r="AR22" s="39" t="s">
        <v>130</v>
      </c>
      <c r="AT22" s="44" t="str">
        <f t="shared" si="51"/>
        <v>BOOL</v>
      </c>
      <c r="AU22" s="23">
        <f t="shared" si="52"/>
        <v>0</v>
      </c>
      <c r="AV22" s="23" t="str">
        <f t="shared" si="53"/>
        <v>Q</v>
      </c>
      <c r="AW22" s="23" t="str">
        <f t="shared" si="54"/>
        <v xml:space="preserve">Q.: </v>
      </c>
      <c r="AX22" s="23" t="str">
        <f t="shared" si="55"/>
        <v>ENBT200:1:O.Data[82].2</v>
      </c>
      <c r="AY22" s="36" t="str">
        <f t="shared" si="56"/>
        <v xml:space="preserve">Controller: &lt;O0201N51.b03&gt; - </v>
      </c>
      <c r="BB22" s="42" t="s">
        <v>15</v>
      </c>
      <c r="BC22" t="s">
        <v>16</v>
      </c>
      <c r="BD22" t="str">
        <f t="shared" si="57"/>
        <v>AB_RACKx_SLOTa</v>
      </c>
      <c r="BV22" s="30" t="s">
        <v>249</v>
      </c>
      <c r="BW22" t="str">
        <f t="shared" si="58"/>
        <v>DI[3]</v>
      </c>
      <c r="BY22" s="42"/>
      <c r="CB22" s="42"/>
      <c r="CE22" s="30"/>
      <c r="CH22" s="42"/>
      <c r="CJ22" t="str">
        <f>Prep!$U$3&amp;":O.Data["&amp;Prep!$U$7&amp;"]."</f>
        <v>ENBT200:1:O.Data[82].</v>
      </c>
      <c r="CK22">
        <v>2</v>
      </c>
      <c r="CM22" t="s">
        <v>75</v>
      </c>
      <c r="CN22" s="30" t="str">
        <f>"O0"&amp;Header_Config03&amp;"N"&amp;TEXT(Prep!$U$6,"00")&amp;"."</f>
        <v>O0201N51.</v>
      </c>
      <c r="CO22" t="s">
        <v>257</v>
      </c>
      <c r="CP22" t="s">
        <v>12</v>
      </c>
      <c r="CQ22" s="40"/>
      <c r="CR22" s="30" t="s">
        <v>431</v>
      </c>
    </row>
    <row r="23" spans="2:96" x14ac:dyDescent="0.35">
      <c r="B23" s="4" t="str">
        <f t="shared" si="28"/>
        <v>FANUC_SxxRyy</v>
      </c>
      <c r="C23" s="4"/>
      <c r="D23" s="4" t="str">
        <f t="shared" si="29"/>
        <v>From_PLC_UseDryCycle</v>
      </c>
      <c r="E23" s="4" t="str">
        <f t="shared" si="30"/>
        <v>ENBT200:1:O.Data[82].3</v>
      </c>
      <c r="F23" s="4" t="str">
        <f t="shared" si="31"/>
        <v>Q</v>
      </c>
      <c r="G23" s="4" t="str">
        <f t="shared" si="32"/>
        <v/>
      </c>
      <c r="H23" s="4" t="str">
        <f t="shared" si="33"/>
        <v>Controller: &lt;O0201N51.b04&gt; - 20 HOUR RUN MODE DI4</v>
      </c>
      <c r="I23" s="4" t="str">
        <f t="shared" si="34"/>
        <v>AB_RACKx_SLOTa</v>
      </c>
      <c r="J23" s="4"/>
      <c r="K23" s="56" t="str">
        <f t="shared" si="35"/>
        <v>BOOL</v>
      </c>
      <c r="L23" s="56" t="str">
        <f t="shared" si="4"/>
        <v>ROBOTS\SxxRyy</v>
      </c>
      <c r="M23" s="56" t="str">
        <f t="shared" si="5"/>
        <v>STELLANTIS\Common\ToolPrototype\Robots</v>
      </c>
      <c r="N23" s="56" t="str">
        <f t="shared" si="6"/>
        <v>STELLANTIS_DN_FANUC_ROBOT_128_BIT_INTEGRATED_SAFETY_SxxRyy.v00</v>
      </c>
      <c r="O23" s="56" t="str">
        <f t="shared" si="36"/>
        <v/>
      </c>
      <c r="P23" s="56" t="str">
        <f t="shared" si="37"/>
        <v/>
      </c>
      <c r="Q23" s="56" t="str">
        <f t="shared" si="38"/>
        <v/>
      </c>
      <c r="R23" s="56" t="str">
        <f t="shared" si="39"/>
        <v/>
      </c>
      <c r="S23" s="56" t="str">
        <f t="shared" si="40"/>
        <v/>
      </c>
      <c r="T23" s="56" t="str">
        <f t="shared" si="41"/>
        <v/>
      </c>
      <c r="U23" s="56" t="str">
        <f t="shared" si="42"/>
        <v/>
      </c>
      <c r="V23" s="56" t="str">
        <f t="shared" si="43"/>
        <v/>
      </c>
      <c r="W23" s="56"/>
      <c r="X23" s="56"/>
      <c r="Y23" s="56"/>
      <c r="Z23" s="56" t="str">
        <f t="shared" si="44"/>
        <v/>
      </c>
      <c r="AA23" s="56" t="str">
        <f t="shared" si="45"/>
        <v/>
      </c>
      <c r="AB23" s="56" t="str">
        <f t="shared" si="9"/>
        <v>ToolPrototype</v>
      </c>
      <c r="AC23" s="56" t="str">
        <f t="shared" si="46"/>
        <v/>
      </c>
      <c r="AD23" s="56" t="str">
        <f t="shared" si="10"/>
        <v>&lt;device&gt;
&lt;name&gt;SxxRyy&lt;/name&gt;
&lt;type&gt;FCA_DN_FANUC&lt;/type&gt;
&lt;deviceNetwork&gt;201&lt;/deviceNetwork&gt;
&lt;deviceNode&gt;56&lt;/deviceNode&gt;
&lt;/device&gt;</v>
      </c>
      <c r="AE23" s="56" t="str">
        <f t="shared" si="11"/>
        <v/>
      </c>
      <c r="AF23" s="56" t="str">
        <f t="shared" si="12"/>
        <v/>
      </c>
      <c r="AG23" s="56" t="str">
        <f t="shared" si="13"/>
        <v/>
      </c>
      <c r="AH23" s="56" t="str">
        <f t="shared" si="14"/>
        <v/>
      </c>
      <c r="AI23" s="56" t="str">
        <f t="shared" si="15"/>
        <v/>
      </c>
      <c r="AJ23" s="56" t="str">
        <f t="shared" si="16"/>
        <v/>
      </c>
      <c r="AK23" s="56" t="str">
        <f t="shared" si="17"/>
        <v/>
      </c>
      <c r="AL23" s="56" t="str">
        <f t="shared" si="18"/>
        <v/>
      </c>
      <c r="AM23" s="56" t="str">
        <f t="shared" si="19"/>
        <v/>
      </c>
      <c r="AN23" s="56" t="str">
        <f t="shared" si="47"/>
        <v/>
      </c>
      <c r="AO23" s="56" t="str">
        <f t="shared" si="48"/>
        <v/>
      </c>
      <c r="AP23" s="56" t="str">
        <f t="shared" si="49"/>
        <v>PLC</v>
      </c>
      <c r="AQ23" s="56" t="str">
        <f t="shared" si="50"/>
        <v>ENTRY</v>
      </c>
      <c r="AR23" s="39" t="s">
        <v>130</v>
      </c>
      <c r="AT23" s="44" t="str">
        <f t="shared" si="51"/>
        <v>BOOL</v>
      </c>
      <c r="AU23" s="23">
        <f t="shared" si="52"/>
        <v>0</v>
      </c>
      <c r="AV23" s="23" t="str">
        <f t="shared" si="53"/>
        <v>Q</v>
      </c>
      <c r="AW23" s="23" t="str">
        <f t="shared" si="54"/>
        <v xml:space="preserve">Q.: </v>
      </c>
      <c r="AX23" s="23" t="str">
        <f t="shared" si="55"/>
        <v>ENBT200:1:O.Data[82].3</v>
      </c>
      <c r="AY23" s="36" t="str">
        <f t="shared" si="56"/>
        <v xml:space="preserve">Controller: &lt;O0201N51.b04&gt; - </v>
      </c>
      <c r="BB23" s="42" t="s">
        <v>15</v>
      </c>
      <c r="BC23" t="s">
        <v>16</v>
      </c>
      <c r="BD23" t="str">
        <f t="shared" si="57"/>
        <v>AB_RACKx_SLOTa</v>
      </c>
      <c r="BV23" s="30" t="s">
        <v>432</v>
      </c>
      <c r="BW23" t="str">
        <f t="shared" si="58"/>
        <v>DI[4]</v>
      </c>
      <c r="BY23" s="42"/>
      <c r="CB23" s="42"/>
      <c r="CE23" s="30"/>
      <c r="CH23" s="42"/>
      <c r="CJ23" t="str">
        <f>Prep!$U$3&amp;":O.Data["&amp;Prep!$U$7&amp;"]."</f>
        <v>ENBT200:1:O.Data[82].</v>
      </c>
      <c r="CK23">
        <v>3</v>
      </c>
      <c r="CM23" t="s">
        <v>75</v>
      </c>
      <c r="CN23" s="30" t="str">
        <f>"O0"&amp;Header_Config03&amp;"N"&amp;TEXT(Prep!$U$6,"00")&amp;"."</f>
        <v>O0201N51.</v>
      </c>
      <c r="CO23" t="s">
        <v>258</v>
      </c>
      <c r="CP23" t="s">
        <v>12</v>
      </c>
      <c r="CQ23" s="40"/>
      <c r="CR23" s="30" t="s">
        <v>433</v>
      </c>
    </row>
    <row r="24" spans="2:96" x14ac:dyDescent="0.35">
      <c r="B24" s="4" t="str">
        <f t="shared" si="28"/>
        <v>FANUC_SxxRyy</v>
      </c>
      <c r="C24" s="4"/>
      <c r="D24" s="4" t="str">
        <f t="shared" si="29"/>
        <v>From_PLC_AppErrorAck</v>
      </c>
      <c r="E24" s="4" t="str">
        <f t="shared" si="30"/>
        <v>ENBT200:1:O.Data[82].7</v>
      </c>
      <c r="F24" s="4" t="str">
        <f t="shared" si="31"/>
        <v>Q</v>
      </c>
      <c r="G24" s="4" t="str">
        <f t="shared" si="32"/>
        <v/>
      </c>
      <c r="H24" s="4" t="str">
        <f t="shared" si="33"/>
        <v>Controller: &lt;O0201N51.b08&gt; - APPLICATION ERROR ACKNOWLEDGE DI8</v>
      </c>
      <c r="I24" s="4" t="str">
        <f t="shared" si="34"/>
        <v>AB_RACKx_SLOTa</v>
      </c>
      <c r="J24" s="4"/>
      <c r="K24" s="56" t="str">
        <f t="shared" si="35"/>
        <v>BOOL</v>
      </c>
      <c r="L24" s="56" t="str">
        <f t="shared" si="4"/>
        <v>ROBOTS\SxxRyy</v>
      </c>
      <c r="M24" s="56" t="str">
        <f t="shared" si="5"/>
        <v>STELLANTIS\Common\ToolPrototype\Robots</v>
      </c>
      <c r="N24" s="56" t="str">
        <f t="shared" si="6"/>
        <v>STELLANTIS_DN_FANUC_ROBOT_128_BIT_INTEGRATED_SAFETY_SxxRyy.v00</v>
      </c>
      <c r="O24" s="56" t="str">
        <f t="shared" si="36"/>
        <v/>
      </c>
      <c r="P24" s="56" t="str">
        <f t="shared" si="37"/>
        <v/>
      </c>
      <c r="Q24" s="56" t="str">
        <f t="shared" si="38"/>
        <v/>
      </c>
      <c r="R24" s="56" t="str">
        <f t="shared" si="39"/>
        <v/>
      </c>
      <c r="S24" s="56" t="str">
        <f t="shared" si="40"/>
        <v/>
      </c>
      <c r="T24" s="56" t="str">
        <f t="shared" si="41"/>
        <v/>
      </c>
      <c r="U24" s="56" t="str">
        <f t="shared" si="42"/>
        <v/>
      </c>
      <c r="V24" s="56" t="str">
        <f t="shared" si="43"/>
        <v/>
      </c>
      <c r="W24" s="56"/>
      <c r="X24" s="56"/>
      <c r="Y24" s="56"/>
      <c r="Z24" s="56" t="str">
        <f t="shared" si="44"/>
        <v/>
      </c>
      <c r="AA24" s="56" t="str">
        <f t="shared" si="45"/>
        <v/>
      </c>
      <c r="AB24" s="56" t="str">
        <f t="shared" si="9"/>
        <v>ToolPrototype</v>
      </c>
      <c r="AC24" s="56" t="str">
        <f t="shared" si="46"/>
        <v/>
      </c>
      <c r="AD24" s="56" t="str">
        <f t="shared" si="10"/>
        <v>&lt;device&gt;
&lt;name&gt;SxxRyy&lt;/name&gt;
&lt;type&gt;FCA_DN_FANUC&lt;/type&gt;
&lt;deviceNetwork&gt;201&lt;/deviceNetwork&gt;
&lt;deviceNode&gt;56&lt;/deviceNode&gt;
&lt;/device&gt;</v>
      </c>
      <c r="AE24" s="56" t="str">
        <f t="shared" si="11"/>
        <v/>
      </c>
      <c r="AF24" s="56" t="str">
        <f t="shared" si="12"/>
        <v/>
      </c>
      <c r="AG24" s="56" t="str">
        <f t="shared" si="13"/>
        <v/>
      </c>
      <c r="AH24" s="56" t="str">
        <f t="shared" si="14"/>
        <v/>
      </c>
      <c r="AI24" s="56" t="str">
        <f t="shared" si="15"/>
        <v/>
      </c>
      <c r="AJ24" s="56" t="str">
        <f t="shared" si="16"/>
        <v/>
      </c>
      <c r="AK24" s="56" t="str">
        <f t="shared" si="17"/>
        <v/>
      </c>
      <c r="AL24" s="56" t="str">
        <f t="shared" si="18"/>
        <v/>
      </c>
      <c r="AM24" s="56" t="str">
        <f t="shared" si="19"/>
        <v/>
      </c>
      <c r="AN24" s="56" t="str">
        <f t="shared" si="47"/>
        <v/>
      </c>
      <c r="AO24" s="56" t="str">
        <f t="shared" si="48"/>
        <v/>
      </c>
      <c r="AP24" s="56" t="str">
        <f t="shared" si="49"/>
        <v>PLC</v>
      </c>
      <c r="AQ24" s="56" t="str">
        <f t="shared" si="50"/>
        <v>ENTRY</v>
      </c>
      <c r="AR24" s="39" t="s">
        <v>130</v>
      </c>
      <c r="AT24" s="44" t="str">
        <f t="shared" si="51"/>
        <v>BOOL</v>
      </c>
      <c r="AU24" s="23">
        <f t="shared" si="52"/>
        <v>0</v>
      </c>
      <c r="AV24" s="23" t="str">
        <f t="shared" si="53"/>
        <v>Q</v>
      </c>
      <c r="AW24" s="23" t="str">
        <f t="shared" si="54"/>
        <v xml:space="preserve">Q.: </v>
      </c>
      <c r="AX24" s="23" t="str">
        <f t="shared" si="55"/>
        <v>ENBT200:1:O.Data[82].7</v>
      </c>
      <c r="AY24" s="36" t="str">
        <f t="shared" si="56"/>
        <v xml:space="preserve">Controller: &lt;O0201N51.b08&gt; - </v>
      </c>
      <c r="BB24" s="42" t="s">
        <v>15</v>
      </c>
      <c r="BC24" t="s">
        <v>16</v>
      </c>
      <c r="BD24" t="str">
        <f t="shared" si="57"/>
        <v>AB_RACKx_SLOTa</v>
      </c>
      <c r="BV24" s="30" t="s">
        <v>434</v>
      </c>
      <c r="BW24" t="str">
        <f t="shared" si="58"/>
        <v>DI[8]</v>
      </c>
      <c r="BY24" s="42"/>
      <c r="CB24" s="42"/>
      <c r="CE24" s="30"/>
      <c r="CH24" s="42"/>
      <c r="CJ24" t="str">
        <f>Prep!$U$3&amp;":O.Data["&amp;Prep!$U$7&amp;"]."</f>
        <v>ENBT200:1:O.Data[82].</v>
      </c>
      <c r="CK24">
        <v>7</v>
      </c>
      <c r="CM24" t="s">
        <v>75</v>
      </c>
      <c r="CN24" s="30" t="str">
        <f>"O0"&amp;Header_Config03&amp;"N"&amp;TEXT(Prep!$U$6,"00")&amp;"."</f>
        <v>O0201N51.</v>
      </c>
      <c r="CO24" t="s">
        <v>281</v>
      </c>
      <c r="CP24" t="s">
        <v>12</v>
      </c>
      <c r="CQ24" s="40"/>
      <c r="CR24" s="30" t="s">
        <v>435</v>
      </c>
    </row>
    <row r="25" spans="2:96" x14ac:dyDescent="0.35">
      <c r="B25" s="4" t="str">
        <f t="shared" si="28"/>
        <v>FANUC_SxxRyy</v>
      </c>
      <c r="C25" s="4"/>
      <c r="D25" s="4" t="str">
        <f t="shared" si="29"/>
        <v>From_PLC_STYLEBit1</v>
      </c>
      <c r="E25" s="4" t="str">
        <f t="shared" si="30"/>
        <v>ENBT200:1:O.Data[82].8</v>
      </c>
      <c r="F25" s="4" t="str">
        <f t="shared" si="31"/>
        <v>Q</v>
      </c>
      <c r="G25" s="4" t="str">
        <f t="shared" si="32"/>
        <v/>
      </c>
      <c r="H25" s="4" t="str">
        <f t="shared" si="33"/>
        <v>Controller: &lt;O0201N51.b09&gt; - STYLE BIT 1 DI9</v>
      </c>
      <c r="I25" s="4" t="str">
        <f t="shared" si="34"/>
        <v>AB_RACKx_SLOTa</v>
      </c>
      <c r="J25" s="4"/>
      <c r="K25" s="56" t="str">
        <f t="shared" si="35"/>
        <v>BOOL</v>
      </c>
      <c r="L25" s="56" t="str">
        <f t="shared" si="4"/>
        <v>ROBOTS\SxxRyy</v>
      </c>
      <c r="M25" s="56" t="str">
        <f t="shared" si="5"/>
        <v>STELLANTIS\Common\ToolPrototype\Robots</v>
      </c>
      <c r="N25" s="56" t="str">
        <f t="shared" si="6"/>
        <v>STELLANTIS_DN_FANUC_ROBOT_128_BIT_INTEGRATED_SAFETY_SxxRyy.v00</v>
      </c>
      <c r="O25" s="56" t="str">
        <f t="shared" si="36"/>
        <v/>
      </c>
      <c r="P25" s="56" t="str">
        <f t="shared" si="37"/>
        <v/>
      </c>
      <c r="Q25" s="56" t="str">
        <f t="shared" si="38"/>
        <v/>
      </c>
      <c r="R25" s="56" t="str">
        <f t="shared" si="39"/>
        <v/>
      </c>
      <c r="S25" s="56" t="str">
        <f t="shared" si="40"/>
        <v/>
      </c>
      <c r="T25" s="56" t="str">
        <f t="shared" si="41"/>
        <v/>
      </c>
      <c r="U25" s="56" t="str">
        <f t="shared" si="42"/>
        <v/>
      </c>
      <c r="V25" s="56" t="str">
        <f t="shared" si="43"/>
        <v/>
      </c>
      <c r="W25" s="56"/>
      <c r="X25" s="56"/>
      <c r="Y25" s="56"/>
      <c r="Z25" s="56" t="str">
        <f t="shared" si="44"/>
        <v/>
      </c>
      <c r="AA25" s="56" t="str">
        <f t="shared" si="45"/>
        <v/>
      </c>
      <c r="AB25" s="56" t="str">
        <f t="shared" si="9"/>
        <v>ToolPrototype</v>
      </c>
      <c r="AC25" s="56" t="str">
        <f t="shared" si="46"/>
        <v/>
      </c>
      <c r="AD25" s="56" t="str">
        <f t="shared" si="10"/>
        <v>&lt;device&gt;
&lt;name&gt;SxxRyy&lt;/name&gt;
&lt;type&gt;FCA_DN_FANUC&lt;/type&gt;
&lt;deviceNetwork&gt;201&lt;/deviceNetwork&gt;
&lt;deviceNode&gt;56&lt;/deviceNode&gt;
&lt;/device&gt;</v>
      </c>
      <c r="AE25" s="56" t="str">
        <f t="shared" si="11"/>
        <v/>
      </c>
      <c r="AF25" s="56" t="str">
        <f t="shared" si="12"/>
        <v/>
      </c>
      <c r="AG25" s="56" t="str">
        <f t="shared" si="13"/>
        <v/>
      </c>
      <c r="AH25" s="56" t="str">
        <f t="shared" si="14"/>
        <v/>
      </c>
      <c r="AI25" s="56" t="str">
        <f t="shared" si="15"/>
        <v/>
      </c>
      <c r="AJ25" s="56" t="str">
        <f t="shared" si="16"/>
        <v/>
      </c>
      <c r="AK25" s="56" t="str">
        <f t="shared" si="17"/>
        <v/>
      </c>
      <c r="AL25" s="56" t="str">
        <f t="shared" si="18"/>
        <v/>
      </c>
      <c r="AM25" s="56" t="str">
        <f t="shared" si="19"/>
        <v/>
      </c>
      <c r="AN25" s="56">
        <f t="shared" si="47"/>
        <v>200</v>
      </c>
      <c r="AO25" s="56" t="str">
        <f t="shared" si="48"/>
        <v>ROBOTS:SxxRyy\000_COMMON|ROBOTS_NOPLC:SxxRyy\000_COMMON=0</v>
      </c>
      <c r="AP25" s="56" t="str">
        <f t="shared" si="49"/>
        <v>PLC</v>
      </c>
      <c r="AQ25" s="56" t="str">
        <f t="shared" si="50"/>
        <v>ENTRY</v>
      </c>
      <c r="AR25" s="39" t="s">
        <v>130</v>
      </c>
      <c r="AT25" s="44" t="str">
        <f t="shared" si="51"/>
        <v>BOOL</v>
      </c>
      <c r="AU25" s="23">
        <f t="shared" si="52"/>
        <v>0</v>
      </c>
      <c r="AV25" s="23" t="str">
        <f t="shared" si="53"/>
        <v>Q</v>
      </c>
      <c r="AW25" s="23" t="str">
        <f t="shared" si="54"/>
        <v xml:space="preserve">Q.: </v>
      </c>
      <c r="AX25" s="23" t="str">
        <f t="shared" si="55"/>
        <v>ENBT200:1:O.Data[82].8</v>
      </c>
      <c r="AY25" s="36" t="str">
        <f t="shared" si="56"/>
        <v xml:space="preserve">Controller: &lt;O0201N51.b09&gt; - </v>
      </c>
      <c r="BB25" s="42" t="s">
        <v>15</v>
      </c>
      <c r="BC25" t="s">
        <v>16</v>
      </c>
      <c r="BD25" t="str">
        <f t="shared" si="57"/>
        <v>AB_RACKx_SLOTa</v>
      </c>
      <c r="BR25">
        <v>200</v>
      </c>
      <c r="BS25" t="str">
        <f t="shared" ref="BS25:BS33" si="59">"ROBOTS:"&amp;Header_Config02&amp;"\000_COMMON|ROBOTS_NOPLC:"&amp;Header_Config02&amp;"\000_COMMON=0"</f>
        <v>ROBOTS:SxxRyy\000_COMMON|ROBOTS_NOPLC:SxxRyy\000_COMMON=0</v>
      </c>
      <c r="BV25" s="30" t="s">
        <v>436</v>
      </c>
      <c r="BW25" t="str">
        <f t="shared" si="58"/>
        <v>DI[9]</v>
      </c>
      <c r="BX25" t="s">
        <v>437</v>
      </c>
      <c r="BY25" s="42"/>
      <c r="CB25" s="42"/>
      <c r="CE25" s="30"/>
      <c r="CH25" s="42"/>
      <c r="CJ25" t="str">
        <f>Prep!$U$3&amp;":O.Data["&amp;Prep!$U$7&amp;"]."</f>
        <v>ENBT200:1:O.Data[82].</v>
      </c>
      <c r="CK25">
        <v>8</v>
      </c>
      <c r="CM25" t="s">
        <v>75</v>
      </c>
      <c r="CN25" s="30" t="str">
        <f>"O0"&amp;Header_Config03&amp;"N"&amp;TEXT(Prep!$U$6,"00")&amp;"."</f>
        <v>O0201N51.</v>
      </c>
      <c r="CO25" t="s">
        <v>282</v>
      </c>
      <c r="CP25" t="s">
        <v>12</v>
      </c>
      <c r="CQ25" s="40"/>
      <c r="CR25" s="30" t="s">
        <v>438</v>
      </c>
    </row>
    <row r="26" spans="2:96" x14ac:dyDescent="0.35">
      <c r="B26" s="4" t="str">
        <f t="shared" si="28"/>
        <v>FANUC_SxxRyy</v>
      </c>
      <c r="C26" s="4"/>
      <c r="D26" s="4" t="str">
        <f t="shared" si="29"/>
        <v>From_PLC_STYLEBit2</v>
      </c>
      <c r="E26" s="4" t="str">
        <f t="shared" si="30"/>
        <v>ENBT200:1:O.Data[82].9</v>
      </c>
      <c r="F26" s="4" t="str">
        <f t="shared" si="31"/>
        <v>Q</v>
      </c>
      <c r="G26" s="4" t="str">
        <f t="shared" si="32"/>
        <v/>
      </c>
      <c r="H26" s="4" t="str">
        <f t="shared" si="33"/>
        <v>Controller: &lt;O0201N51.b10&gt; - STYLE BIT 2 DI10</v>
      </c>
      <c r="I26" s="4" t="str">
        <f t="shared" si="34"/>
        <v>AB_RACKx_SLOTa</v>
      </c>
      <c r="J26" s="4"/>
      <c r="K26" s="56" t="str">
        <f t="shared" si="35"/>
        <v>BOOL</v>
      </c>
      <c r="L26" s="56" t="str">
        <f t="shared" si="4"/>
        <v>ROBOTS\SxxRyy</v>
      </c>
      <c r="M26" s="56" t="str">
        <f t="shared" si="5"/>
        <v>STELLANTIS\Common\ToolPrototype\Robots</v>
      </c>
      <c r="N26" s="56" t="str">
        <f t="shared" si="6"/>
        <v>STELLANTIS_DN_FANUC_ROBOT_128_BIT_INTEGRATED_SAFETY_SxxRyy.v00</v>
      </c>
      <c r="O26" s="56" t="str">
        <f t="shared" si="36"/>
        <v/>
      </c>
      <c r="P26" s="56" t="str">
        <f t="shared" si="37"/>
        <v/>
      </c>
      <c r="Q26" s="56" t="str">
        <f t="shared" si="38"/>
        <v/>
      </c>
      <c r="R26" s="56" t="str">
        <f t="shared" si="39"/>
        <v/>
      </c>
      <c r="S26" s="56" t="str">
        <f t="shared" si="40"/>
        <v/>
      </c>
      <c r="T26" s="56" t="str">
        <f t="shared" si="41"/>
        <v/>
      </c>
      <c r="U26" s="56" t="str">
        <f t="shared" si="42"/>
        <v/>
      </c>
      <c r="V26" s="56" t="str">
        <f t="shared" si="43"/>
        <v/>
      </c>
      <c r="W26" s="56"/>
      <c r="X26" s="56"/>
      <c r="Y26" s="56"/>
      <c r="Z26" s="56" t="str">
        <f t="shared" si="44"/>
        <v/>
      </c>
      <c r="AA26" s="56" t="str">
        <f t="shared" si="45"/>
        <v/>
      </c>
      <c r="AB26" s="56" t="str">
        <f t="shared" si="9"/>
        <v>ToolPrototype</v>
      </c>
      <c r="AC26" s="56" t="str">
        <f t="shared" si="46"/>
        <v/>
      </c>
      <c r="AD26" s="56" t="str">
        <f t="shared" si="10"/>
        <v>&lt;device&gt;
&lt;name&gt;SxxRyy&lt;/name&gt;
&lt;type&gt;FCA_DN_FANUC&lt;/type&gt;
&lt;deviceNetwork&gt;201&lt;/deviceNetwork&gt;
&lt;deviceNode&gt;56&lt;/deviceNode&gt;
&lt;/device&gt;</v>
      </c>
      <c r="AE26" s="56" t="str">
        <f t="shared" si="11"/>
        <v/>
      </c>
      <c r="AF26" s="56" t="str">
        <f t="shared" si="12"/>
        <v/>
      </c>
      <c r="AG26" s="56" t="str">
        <f t="shared" si="13"/>
        <v/>
      </c>
      <c r="AH26" s="56" t="str">
        <f t="shared" si="14"/>
        <v/>
      </c>
      <c r="AI26" s="56" t="str">
        <f t="shared" si="15"/>
        <v/>
      </c>
      <c r="AJ26" s="56" t="str">
        <f t="shared" si="16"/>
        <v/>
      </c>
      <c r="AK26" s="56" t="str">
        <f t="shared" si="17"/>
        <v/>
      </c>
      <c r="AL26" s="56" t="str">
        <f t="shared" si="18"/>
        <v/>
      </c>
      <c r="AM26" s="56" t="str">
        <f t="shared" si="19"/>
        <v/>
      </c>
      <c r="AN26" s="56">
        <f t="shared" si="47"/>
        <v>200</v>
      </c>
      <c r="AO26" s="56" t="str">
        <f t="shared" si="48"/>
        <v>ROBOTS:SxxRyy\000_COMMON|ROBOTS_NOPLC:SxxRyy\000_COMMON=0</v>
      </c>
      <c r="AP26" s="56" t="str">
        <f t="shared" si="49"/>
        <v>PLC</v>
      </c>
      <c r="AQ26" s="56" t="str">
        <f t="shared" si="50"/>
        <v>ENTRY</v>
      </c>
      <c r="AR26" s="39" t="s">
        <v>130</v>
      </c>
      <c r="AT26" s="44" t="str">
        <f t="shared" si="51"/>
        <v>BOOL</v>
      </c>
      <c r="AU26" s="23">
        <f t="shared" si="52"/>
        <v>0</v>
      </c>
      <c r="AV26" s="23" t="str">
        <f t="shared" si="53"/>
        <v>Q</v>
      </c>
      <c r="AW26" s="23" t="str">
        <f t="shared" si="54"/>
        <v xml:space="preserve">Q.: </v>
      </c>
      <c r="AX26" s="23" t="str">
        <f t="shared" si="55"/>
        <v>ENBT200:1:O.Data[82].9</v>
      </c>
      <c r="AY26" s="36" t="str">
        <f t="shared" si="56"/>
        <v xml:space="preserve">Controller: &lt;O0201N51.b10&gt; - </v>
      </c>
      <c r="BB26" s="42" t="s">
        <v>15</v>
      </c>
      <c r="BC26" t="s">
        <v>16</v>
      </c>
      <c r="BD26" t="str">
        <f t="shared" si="57"/>
        <v>AB_RACKx_SLOTa</v>
      </c>
      <c r="BR26">
        <v>200</v>
      </c>
      <c r="BS26" t="str">
        <f t="shared" si="59"/>
        <v>ROBOTS:SxxRyy\000_COMMON|ROBOTS_NOPLC:SxxRyy\000_COMMON=0</v>
      </c>
      <c r="BV26" s="30" t="s">
        <v>439</v>
      </c>
      <c r="BW26" t="str">
        <f t="shared" si="58"/>
        <v>DI[10]</v>
      </c>
      <c r="BX26" t="s">
        <v>437</v>
      </c>
      <c r="BY26" s="42"/>
      <c r="CB26" s="42"/>
      <c r="CE26" s="30"/>
      <c r="CH26" s="42"/>
      <c r="CJ26" t="str">
        <f>Prep!$U$3&amp;":O.Data["&amp;Prep!$U$7&amp;"]."</f>
        <v>ENBT200:1:O.Data[82].</v>
      </c>
      <c r="CK26">
        <v>9</v>
      </c>
      <c r="CM26" t="s">
        <v>75</v>
      </c>
      <c r="CN26" s="30" t="str">
        <f>"O0"&amp;Header_Config03&amp;"N"&amp;TEXT(Prep!$U$6,"00")&amp;"."</f>
        <v>O0201N51.</v>
      </c>
      <c r="CO26" t="s">
        <v>440</v>
      </c>
      <c r="CP26" t="s">
        <v>12</v>
      </c>
      <c r="CQ26" s="40"/>
      <c r="CR26" s="30" t="s">
        <v>441</v>
      </c>
    </row>
    <row r="27" spans="2:96" x14ac:dyDescent="0.35">
      <c r="B27" s="4" t="str">
        <f t="shared" si="28"/>
        <v>FANUC_SxxRyy</v>
      </c>
      <c r="C27" s="4"/>
      <c r="D27" s="4" t="str">
        <f t="shared" si="29"/>
        <v>From_PLC_STYLEBit4</v>
      </c>
      <c r="E27" s="4" t="str">
        <f t="shared" si="30"/>
        <v>ENBT200:1:O.Data[82].10</v>
      </c>
      <c r="F27" s="4" t="str">
        <f t="shared" si="31"/>
        <v>Q</v>
      </c>
      <c r="G27" s="4" t="str">
        <f t="shared" si="32"/>
        <v/>
      </c>
      <c r="H27" s="4" t="str">
        <f t="shared" si="33"/>
        <v>Controller: &lt;O0201N51.b11&gt; - STYLE BIT 4 DI11</v>
      </c>
      <c r="I27" s="4" t="str">
        <f t="shared" si="34"/>
        <v>AB_RACKx_SLOTa</v>
      </c>
      <c r="J27" s="4"/>
      <c r="K27" s="56" t="str">
        <f t="shared" si="35"/>
        <v>BOOL</v>
      </c>
      <c r="L27" s="56" t="str">
        <f t="shared" si="4"/>
        <v>ROBOTS\SxxRyy</v>
      </c>
      <c r="M27" s="56" t="str">
        <f t="shared" si="5"/>
        <v>STELLANTIS\Common\ToolPrototype\Robots</v>
      </c>
      <c r="N27" s="56" t="str">
        <f t="shared" si="6"/>
        <v>STELLANTIS_DN_FANUC_ROBOT_128_BIT_INTEGRATED_SAFETY_SxxRyy.v00</v>
      </c>
      <c r="O27" s="56" t="str">
        <f t="shared" si="36"/>
        <v/>
      </c>
      <c r="P27" s="56" t="str">
        <f t="shared" si="37"/>
        <v/>
      </c>
      <c r="Q27" s="56" t="str">
        <f t="shared" si="38"/>
        <v/>
      </c>
      <c r="R27" s="56" t="str">
        <f t="shared" si="39"/>
        <v/>
      </c>
      <c r="S27" s="56" t="str">
        <f t="shared" si="40"/>
        <v/>
      </c>
      <c r="T27" s="56" t="str">
        <f t="shared" si="41"/>
        <v/>
      </c>
      <c r="U27" s="56" t="str">
        <f t="shared" si="42"/>
        <v/>
      </c>
      <c r="V27" s="56" t="str">
        <f t="shared" si="43"/>
        <v/>
      </c>
      <c r="W27" s="56"/>
      <c r="X27" s="56"/>
      <c r="Y27" s="56"/>
      <c r="Z27" s="56" t="str">
        <f t="shared" si="44"/>
        <v/>
      </c>
      <c r="AA27" s="56" t="str">
        <f t="shared" si="45"/>
        <v/>
      </c>
      <c r="AB27" s="56" t="str">
        <f t="shared" si="9"/>
        <v>ToolPrototype</v>
      </c>
      <c r="AC27" s="56" t="str">
        <f t="shared" si="46"/>
        <v/>
      </c>
      <c r="AD27" s="56" t="str">
        <f t="shared" si="10"/>
        <v>&lt;device&gt;
&lt;name&gt;SxxRyy&lt;/name&gt;
&lt;type&gt;FCA_DN_FANUC&lt;/type&gt;
&lt;deviceNetwork&gt;201&lt;/deviceNetwork&gt;
&lt;deviceNode&gt;56&lt;/deviceNode&gt;
&lt;/device&gt;</v>
      </c>
      <c r="AE27" s="56" t="str">
        <f t="shared" si="11"/>
        <v/>
      </c>
      <c r="AF27" s="56" t="str">
        <f t="shared" si="12"/>
        <v/>
      </c>
      <c r="AG27" s="56" t="str">
        <f t="shared" si="13"/>
        <v/>
      </c>
      <c r="AH27" s="56" t="str">
        <f t="shared" si="14"/>
        <v/>
      </c>
      <c r="AI27" s="56" t="str">
        <f t="shared" si="15"/>
        <v/>
      </c>
      <c r="AJ27" s="56" t="str">
        <f t="shared" si="16"/>
        <v/>
      </c>
      <c r="AK27" s="56" t="str">
        <f t="shared" si="17"/>
        <v/>
      </c>
      <c r="AL27" s="56" t="str">
        <f t="shared" si="18"/>
        <v/>
      </c>
      <c r="AM27" s="56" t="str">
        <f t="shared" si="19"/>
        <v/>
      </c>
      <c r="AN27" s="56">
        <f t="shared" si="47"/>
        <v>201</v>
      </c>
      <c r="AO27" s="56" t="str">
        <f t="shared" si="48"/>
        <v>ROBOTS:SxxRyy\000_COMMON|ROBOTS_NOPLC:SxxRyy\000_COMMON=0</v>
      </c>
      <c r="AP27" s="56" t="str">
        <f t="shared" si="49"/>
        <v>PLC</v>
      </c>
      <c r="AQ27" s="56" t="str">
        <f t="shared" si="50"/>
        <v>ENTRY</v>
      </c>
      <c r="AR27" s="39" t="s">
        <v>130</v>
      </c>
      <c r="AT27" s="44" t="str">
        <f t="shared" si="51"/>
        <v>BOOL</v>
      </c>
      <c r="AU27" s="23">
        <f t="shared" si="52"/>
        <v>0</v>
      </c>
      <c r="AV27" s="23" t="str">
        <f t="shared" si="53"/>
        <v>Q</v>
      </c>
      <c r="AW27" s="23" t="str">
        <f t="shared" si="54"/>
        <v xml:space="preserve">Q.: </v>
      </c>
      <c r="AX27" s="23" t="str">
        <f t="shared" si="55"/>
        <v>ENBT200:1:O.Data[82].10</v>
      </c>
      <c r="AY27" s="36" t="str">
        <f t="shared" si="56"/>
        <v xml:space="preserve">Controller: &lt;O0201N51.b11&gt; - </v>
      </c>
      <c r="BB27" s="42" t="s">
        <v>15</v>
      </c>
      <c r="BC27" t="s">
        <v>16</v>
      </c>
      <c r="BD27" t="str">
        <f t="shared" si="57"/>
        <v>AB_RACKx_SLOTa</v>
      </c>
      <c r="BR27">
        <v>201</v>
      </c>
      <c r="BS27" t="str">
        <f t="shared" si="59"/>
        <v>ROBOTS:SxxRyy\000_COMMON|ROBOTS_NOPLC:SxxRyy\000_COMMON=0</v>
      </c>
      <c r="BV27" s="30" t="s">
        <v>442</v>
      </c>
      <c r="BW27" t="str">
        <f t="shared" si="58"/>
        <v>DI[11]</v>
      </c>
      <c r="BX27" t="s">
        <v>437</v>
      </c>
      <c r="BY27" s="42"/>
      <c r="CB27" s="42"/>
      <c r="CE27" s="30"/>
      <c r="CH27" s="42"/>
      <c r="CJ27" t="str">
        <f>Prep!$U$3&amp;":O.Data["&amp;Prep!$U$7&amp;"]."</f>
        <v>ENBT200:1:O.Data[82].</v>
      </c>
      <c r="CK27">
        <v>10</v>
      </c>
      <c r="CM27" t="s">
        <v>75</v>
      </c>
      <c r="CN27" s="30" t="str">
        <f>"O0"&amp;Header_Config03&amp;"N"&amp;TEXT(Prep!$U$6,"00")&amp;"."</f>
        <v>O0201N51.</v>
      </c>
      <c r="CO27" t="s">
        <v>260</v>
      </c>
      <c r="CP27" t="s">
        <v>12</v>
      </c>
      <c r="CQ27" s="40"/>
      <c r="CR27" s="30" t="s">
        <v>443</v>
      </c>
    </row>
    <row r="28" spans="2:96" x14ac:dyDescent="0.35">
      <c r="B28" s="4" t="str">
        <f t="shared" si="28"/>
        <v>FANUC_SxxRyy</v>
      </c>
      <c r="C28" s="4"/>
      <c r="D28" s="4" t="str">
        <f t="shared" si="29"/>
        <v>From_PLC_STYLEBit8</v>
      </c>
      <c r="E28" s="4" t="str">
        <f t="shared" si="30"/>
        <v>ENBT200:1:O.Data[82].11</v>
      </c>
      <c r="F28" s="4" t="str">
        <f t="shared" si="31"/>
        <v>Q</v>
      </c>
      <c r="G28" s="4" t="str">
        <f t="shared" si="32"/>
        <v/>
      </c>
      <c r="H28" s="4" t="str">
        <f t="shared" si="33"/>
        <v>Controller: &lt;O0201N51.b12&gt; - STYLE BIT 8 DI12</v>
      </c>
      <c r="I28" s="4" t="str">
        <f t="shared" si="34"/>
        <v>AB_RACKx_SLOTa</v>
      </c>
      <c r="J28" s="4"/>
      <c r="K28" s="56" t="str">
        <f t="shared" si="35"/>
        <v>BOOL</v>
      </c>
      <c r="L28" s="56" t="str">
        <f t="shared" si="4"/>
        <v>ROBOTS\SxxRyy</v>
      </c>
      <c r="M28" s="56" t="str">
        <f t="shared" si="5"/>
        <v>STELLANTIS\Common\ToolPrototype\Robots</v>
      </c>
      <c r="N28" s="56" t="str">
        <f t="shared" si="6"/>
        <v>STELLANTIS_DN_FANUC_ROBOT_128_BIT_INTEGRATED_SAFETY_SxxRyy.v00</v>
      </c>
      <c r="O28" s="56" t="str">
        <f t="shared" si="36"/>
        <v/>
      </c>
      <c r="P28" s="56" t="str">
        <f t="shared" si="37"/>
        <v/>
      </c>
      <c r="Q28" s="56" t="str">
        <f t="shared" si="38"/>
        <v/>
      </c>
      <c r="R28" s="56" t="str">
        <f t="shared" si="39"/>
        <v/>
      </c>
      <c r="S28" s="56" t="str">
        <f t="shared" si="40"/>
        <v/>
      </c>
      <c r="T28" s="56" t="str">
        <f t="shared" si="41"/>
        <v/>
      </c>
      <c r="U28" s="56" t="str">
        <f t="shared" si="42"/>
        <v/>
      </c>
      <c r="V28" s="56" t="str">
        <f t="shared" si="43"/>
        <v/>
      </c>
      <c r="W28" s="56"/>
      <c r="X28" s="56"/>
      <c r="Y28" s="56"/>
      <c r="Z28" s="56" t="str">
        <f t="shared" si="44"/>
        <v/>
      </c>
      <c r="AA28" s="56" t="str">
        <f t="shared" si="45"/>
        <v/>
      </c>
      <c r="AB28" s="56" t="str">
        <f t="shared" si="9"/>
        <v>ToolPrototype</v>
      </c>
      <c r="AC28" s="56" t="str">
        <f t="shared" si="46"/>
        <v/>
      </c>
      <c r="AD28" s="56" t="str">
        <f t="shared" si="10"/>
        <v>&lt;device&gt;
&lt;name&gt;SxxRyy&lt;/name&gt;
&lt;type&gt;FCA_DN_FANUC&lt;/type&gt;
&lt;deviceNetwork&gt;201&lt;/deviceNetwork&gt;
&lt;deviceNode&gt;56&lt;/deviceNode&gt;
&lt;/device&gt;</v>
      </c>
      <c r="AE28" s="56" t="str">
        <f t="shared" si="11"/>
        <v/>
      </c>
      <c r="AF28" s="56" t="str">
        <f t="shared" si="12"/>
        <v/>
      </c>
      <c r="AG28" s="56" t="str">
        <f t="shared" si="13"/>
        <v/>
      </c>
      <c r="AH28" s="56" t="str">
        <f t="shared" si="14"/>
        <v/>
      </c>
      <c r="AI28" s="56" t="str">
        <f t="shared" si="15"/>
        <v/>
      </c>
      <c r="AJ28" s="56" t="str">
        <f t="shared" si="16"/>
        <v/>
      </c>
      <c r="AK28" s="56" t="str">
        <f t="shared" si="17"/>
        <v/>
      </c>
      <c r="AL28" s="56" t="str">
        <f t="shared" si="18"/>
        <v/>
      </c>
      <c r="AM28" s="56" t="str">
        <f t="shared" si="19"/>
        <v/>
      </c>
      <c r="AN28" s="56">
        <f t="shared" si="47"/>
        <v>201</v>
      </c>
      <c r="AO28" s="56" t="str">
        <f t="shared" si="48"/>
        <v>ROBOTS:SxxRyy\000_COMMON|ROBOTS_NOPLC:SxxRyy\000_COMMON=0</v>
      </c>
      <c r="AP28" s="56" t="str">
        <f t="shared" si="49"/>
        <v>PLC</v>
      </c>
      <c r="AQ28" s="56" t="str">
        <f t="shared" si="50"/>
        <v>ENTRY</v>
      </c>
      <c r="AR28" s="39" t="s">
        <v>130</v>
      </c>
      <c r="AT28" s="44" t="str">
        <f t="shared" si="51"/>
        <v>BOOL</v>
      </c>
      <c r="AU28" s="23">
        <f t="shared" si="52"/>
        <v>0</v>
      </c>
      <c r="AV28" s="23" t="str">
        <f t="shared" si="53"/>
        <v>Q</v>
      </c>
      <c r="AW28" s="23" t="str">
        <f t="shared" si="54"/>
        <v xml:space="preserve">Q.: </v>
      </c>
      <c r="AX28" s="23" t="str">
        <f t="shared" si="55"/>
        <v>ENBT200:1:O.Data[82].11</v>
      </c>
      <c r="AY28" s="36" t="str">
        <f t="shared" si="56"/>
        <v xml:space="preserve">Controller: &lt;O0201N51.b12&gt; - </v>
      </c>
      <c r="BB28" s="42" t="s">
        <v>15</v>
      </c>
      <c r="BC28" t="s">
        <v>16</v>
      </c>
      <c r="BD28" t="str">
        <f t="shared" si="57"/>
        <v>AB_RACKx_SLOTa</v>
      </c>
      <c r="BR28">
        <v>201</v>
      </c>
      <c r="BS28" t="str">
        <f t="shared" si="59"/>
        <v>ROBOTS:SxxRyy\000_COMMON|ROBOTS_NOPLC:SxxRyy\000_COMMON=0</v>
      </c>
      <c r="BV28" s="30" t="s">
        <v>444</v>
      </c>
      <c r="BW28" t="str">
        <f t="shared" si="58"/>
        <v>DI[12]</v>
      </c>
      <c r="BX28" t="s">
        <v>437</v>
      </c>
      <c r="BY28" s="42"/>
      <c r="CB28" s="42"/>
      <c r="CE28" s="30"/>
      <c r="CH28" s="42"/>
      <c r="CJ28" t="str">
        <f>Prep!$U$3&amp;":O.Data["&amp;Prep!$U$7&amp;"]."</f>
        <v>ENBT200:1:O.Data[82].</v>
      </c>
      <c r="CK28">
        <v>11</v>
      </c>
      <c r="CM28" t="s">
        <v>75</v>
      </c>
      <c r="CN28" s="30" t="str">
        <f>"O0"&amp;Header_Config03&amp;"N"&amp;TEXT(Prep!$U$6,"00")&amp;"."</f>
        <v>O0201N51.</v>
      </c>
      <c r="CO28" t="s">
        <v>261</v>
      </c>
      <c r="CP28" t="s">
        <v>12</v>
      </c>
      <c r="CQ28" s="40"/>
      <c r="CR28" s="30" t="s">
        <v>445</v>
      </c>
    </row>
    <row r="29" spans="2:96" x14ac:dyDescent="0.35">
      <c r="B29" s="4" t="str">
        <f t="shared" si="28"/>
        <v>FANUC_SxxRyy</v>
      </c>
      <c r="C29" s="4"/>
      <c r="D29" s="4" t="str">
        <f t="shared" si="29"/>
        <v>From_PLC_STYLEBit16</v>
      </c>
      <c r="E29" s="4" t="str">
        <f t="shared" si="30"/>
        <v>ENBT200:1:O.Data[82].12</v>
      </c>
      <c r="F29" s="4" t="str">
        <f t="shared" si="31"/>
        <v>Q</v>
      </c>
      <c r="G29" s="4" t="str">
        <f t="shared" si="32"/>
        <v/>
      </c>
      <c r="H29" s="4" t="str">
        <f t="shared" si="33"/>
        <v>Controller: &lt;O0201N51.b13&gt; - STYLE BIT 16 DI13</v>
      </c>
      <c r="I29" s="4" t="str">
        <f t="shared" si="34"/>
        <v>AB_RACKx_SLOTa</v>
      </c>
      <c r="J29" s="4"/>
      <c r="K29" s="56" t="str">
        <f t="shared" si="35"/>
        <v>BOOL</v>
      </c>
      <c r="L29" s="56" t="str">
        <f t="shared" si="4"/>
        <v>ROBOTS\SxxRyy</v>
      </c>
      <c r="M29" s="56" t="str">
        <f t="shared" si="5"/>
        <v>STELLANTIS\Common\ToolPrototype\Robots</v>
      </c>
      <c r="N29" s="56" t="str">
        <f t="shared" si="6"/>
        <v>STELLANTIS_DN_FANUC_ROBOT_128_BIT_INTEGRATED_SAFETY_SxxRyy.v00</v>
      </c>
      <c r="O29" s="56" t="str">
        <f t="shared" si="36"/>
        <v/>
      </c>
      <c r="P29" s="56" t="str">
        <f t="shared" si="37"/>
        <v/>
      </c>
      <c r="Q29" s="56" t="str">
        <f t="shared" si="38"/>
        <v/>
      </c>
      <c r="R29" s="56" t="str">
        <f t="shared" si="39"/>
        <v/>
      </c>
      <c r="S29" s="56" t="str">
        <f t="shared" si="40"/>
        <v/>
      </c>
      <c r="T29" s="56" t="str">
        <f t="shared" si="41"/>
        <v/>
      </c>
      <c r="U29" s="56" t="str">
        <f t="shared" si="42"/>
        <v/>
      </c>
      <c r="V29" s="56" t="str">
        <f t="shared" si="43"/>
        <v/>
      </c>
      <c r="W29" s="56"/>
      <c r="X29" s="56"/>
      <c r="Y29" s="56"/>
      <c r="Z29" s="56" t="str">
        <f t="shared" si="44"/>
        <v/>
      </c>
      <c r="AA29" s="56" t="str">
        <f t="shared" si="45"/>
        <v/>
      </c>
      <c r="AB29" s="56" t="str">
        <f t="shared" si="9"/>
        <v>ToolPrototype</v>
      </c>
      <c r="AC29" s="56" t="str">
        <f t="shared" si="46"/>
        <v/>
      </c>
      <c r="AD29" s="56" t="str">
        <f t="shared" si="10"/>
        <v>&lt;device&gt;
&lt;name&gt;SxxRyy&lt;/name&gt;
&lt;type&gt;FCA_DN_FANUC&lt;/type&gt;
&lt;deviceNetwork&gt;201&lt;/deviceNetwork&gt;
&lt;deviceNode&gt;56&lt;/deviceNode&gt;
&lt;/device&gt;</v>
      </c>
      <c r="AE29" s="56" t="str">
        <f t="shared" si="11"/>
        <v/>
      </c>
      <c r="AF29" s="56" t="str">
        <f t="shared" si="12"/>
        <v/>
      </c>
      <c r="AG29" s="56" t="str">
        <f t="shared" si="13"/>
        <v/>
      </c>
      <c r="AH29" s="56" t="str">
        <f t="shared" si="14"/>
        <v/>
      </c>
      <c r="AI29" s="56" t="str">
        <f t="shared" si="15"/>
        <v/>
      </c>
      <c r="AJ29" s="56" t="str">
        <f t="shared" si="16"/>
        <v/>
      </c>
      <c r="AK29" s="56" t="str">
        <f t="shared" si="17"/>
        <v/>
      </c>
      <c r="AL29" s="56" t="str">
        <f t="shared" si="18"/>
        <v/>
      </c>
      <c r="AM29" s="56" t="str">
        <f t="shared" si="19"/>
        <v/>
      </c>
      <c r="AN29" s="56">
        <f t="shared" si="47"/>
        <v>201</v>
      </c>
      <c r="AO29" s="56" t="str">
        <f t="shared" si="48"/>
        <v>ROBOTS:SxxRyy\000_COMMON|ROBOTS_NOPLC:SxxRyy\000_COMMON=0</v>
      </c>
      <c r="AP29" s="56" t="str">
        <f t="shared" si="49"/>
        <v>PLC</v>
      </c>
      <c r="AQ29" s="56" t="str">
        <f t="shared" si="50"/>
        <v>ENTRY</v>
      </c>
      <c r="AR29" s="39" t="s">
        <v>130</v>
      </c>
      <c r="AT29" s="44" t="str">
        <f t="shared" si="51"/>
        <v>BOOL</v>
      </c>
      <c r="AU29" s="23">
        <f t="shared" si="52"/>
        <v>0</v>
      </c>
      <c r="AV29" s="23" t="str">
        <f t="shared" si="53"/>
        <v>Q</v>
      </c>
      <c r="AW29" s="23" t="str">
        <f t="shared" si="54"/>
        <v xml:space="preserve">Q.: </v>
      </c>
      <c r="AX29" s="23" t="str">
        <f t="shared" si="55"/>
        <v>ENBT200:1:O.Data[82].12</v>
      </c>
      <c r="AY29" s="36" t="str">
        <f t="shared" si="56"/>
        <v xml:space="preserve">Controller: &lt;O0201N51.b13&gt; - </v>
      </c>
      <c r="BB29" s="42" t="s">
        <v>15</v>
      </c>
      <c r="BC29" t="s">
        <v>16</v>
      </c>
      <c r="BD29" t="str">
        <f t="shared" si="57"/>
        <v>AB_RACKx_SLOTa</v>
      </c>
      <c r="BR29">
        <v>201</v>
      </c>
      <c r="BS29" t="str">
        <f t="shared" si="59"/>
        <v>ROBOTS:SxxRyy\000_COMMON|ROBOTS_NOPLC:SxxRyy\000_COMMON=0</v>
      </c>
      <c r="BV29" s="30" t="s">
        <v>446</v>
      </c>
      <c r="BW29" t="str">
        <f t="shared" si="58"/>
        <v>DI[13]</v>
      </c>
      <c r="BX29" t="s">
        <v>437</v>
      </c>
      <c r="BY29" s="42"/>
      <c r="CB29" s="42"/>
      <c r="CE29" s="30"/>
      <c r="CH29" s="42"/>
      <c r="CJ29" t="str">
        <f>Prep!$U$3&amp;":O.Data["&amp;Prep!$U$7&amp;"]."</f>
        <v>ENBT200:1:O.Data[82].</v>
      </c>
      <c r="CK29">
        <v>12</v>
      </c>
      <c r="CM29" t="s">
        <v>75</v>
      </c>
      <c r="CN29" s="30" t="str">
        <f>"O0"&amp;Header_Config03&amp;"N"&amp;TEXT(Prep!$U$6,"00")&amp;"."</f>
        <v>O0201N51.</v>
      </c>
      <c r="CO29" t="s">
        <v>262</v>
      </c>
      <c r="CP29" t="s">
        <v>12</v>
      </c>
      <c r="CQ29" s="40"/>
      <c r="CR29" s="30" t="s">
        <v>447</v>
      </c>
    </row>
    <row r="30" spans="2:96" x14ac:dyDescent="0.35">
      <c r="B30" s="4" t="str">
        <f t="shared" si="28"/>
        <v>FANUC_SxxRyy</v>
      </c>
      <c r="C30" s="4"/>
      <c r="D30" s="4" t="str">
        <f t="shared" si="29"/>
        <v>From_PLC_STYLEBit32</v>
      </c>
      <c r="E30" s="4" t="str">
        <f t="shared" si="30"/>
        <v>ENBT200:1:O.Data[82].13</v>
      </c>
      <c r="F30" s="4" t="str">
        <f t="shared" si="31"/>
        <v>Q</v>
      </c>
      <c r="G30" s="4" t="str">
        <f t="shared" si="32"/>
        <v/>
      </c>
      <c r="H30" s="4" t="str">
        <f t="shared" si="33"/>
        <v>Controller: &lt;O0201N51.b14&gt; - STYLE BIT 32 DI14</v>
      </c>
      <c r="I30" s="4" t="str">
        <f t="shared" si="34"/>
        <v>AB_RACKx_SLOTa</v>
      </c>
      <c r="J30" s="4"/>
      <c r="K30" s="56" t="str">
        <f t="shared" si="35"/>
        <v>BOOL</v>
      </c>
      <c r="L30" s="56" t="str">
        <f t="shared" si="4"/>
        <v>ROBOTS\SxxRyy</v>
      </c>
      <c r="M30" s="56" t="str">
        <f t="shared" si="5"/>
        <v>STELLANTIS\Common\ToolPrototype\Robots</v>
      </c>
      <c r="N30" s="56" t="str">
        <f t="shared" si="6"/>
        <v>STELLANTIS_DN_FANUC_ROBOT_128_BIT_INTEGRATED_SAFETY_SxxRyy.v00</v>
      </c>
      <c r="O30" s="56" t="str">
        <f t="shared" si="36"/>
        <v/>
      </c>
      <c r="P30" s="56" t="str">
        <f t="shared" si="37"/>
        <v/>
      </c>
      <c r="Q30" s="56" t="str">
        <f t="shared" si="38"/>
        <v/>
      </c>
      <c r="R30" s="56" t="str">
        <f t="shared" si="39"/>
        <v/>
      </c>
      <c r="S30" s="56" t="str">
        <f t="shared" si="40"/>
        <v/>
      </c>
      <c r="T30" s="56" t="str">
        <f t="shared" si="41"/>
        <v/>
      </c>
      <c r="U30" s="56" t="str">
        <f t="shared" si="42"/>
        <v/>
      </c>
      <c r="V30" s="56" t="str">
        <f t="shared" si="43"/>
        <v/>
      </c>
      <c r="W30" s="56"/>
      <c r="X30" s="56"/>
      <c r="Y30" s="56"/>
      <c r="Z30" s="56" t="str">
        <f t="shared" si="44"/>
        <v/>
      </c>
      <c r="AA30" s="56" t="str">
        <f t="shared" si="45"/>
        <v/>
      </c>
      <c r="AB30" s="56" t="str">
        <f t="shared" si="9"/>
        <v>ToolPrototype</v>
      </c>
      <c r="AC30" s="56" t="str">
        <f t="shared" si="46"/>
        <v/>
      </c>
      <c r="AD30" s="56" t="str">
        <f t="shared" si="10"/>
        <v>&lt;device&gt;
&lt;name&gt;SxxRyy&lt;/name&gt;
&lt;type&gt;FCA_DN_FANUC&lt;/type&gt;
&lt;deviceNetwork&gt;201&lt;/deviceNetwork&gt;
&lt;deviceNode&gt;56&lt;/deviceNode&gt;
&lt;/device&gt;</v>
      </c>
      <c r="AE30" s="56" t="str">
        <f t="shared" si="11"/>
        <v/>
      </c>
      <c r="AF30" s="56" t="str">
        <f t="shared" si="12"/>
        <v/>
      </c>
      <c r="AG30" s="56" t="str">
        <f t="shared" si="13"/>
        <v/>
      </c>
      <c r="AH30" s="56" t="str">
        <f t="shared" si="14"/>
        <v/>
      </c>
      <c r="AI30" s="56" t="str">
        <f t="shared" si="15"/>
        <v/>
      </c>
      <c r="AJ30" s="56" t="str">
        <f t="shared" si="16"/>
        <v/>
      </c>
      <c r="AK30" s="56" t="str">
        <f t="shared" si="17"/>
        <v/>
      </c>
      <c r="AL30" s="56" t="str">
        <f t="shared" si="18"/>
        <v/>
      </c>
      <c r="AM30" s="56" t="str">
        <f t="shared" si="19"/>
        <v/>
      </c>
      <c r="AN30" s="56">
        <f t="shared" si="47"/>
        <v>201</v>
      </c>
      <c r="AO30" s="56" t="str">
        <f t="shared" si="48"/>
        <v>ROBOTS:SxxRyy\000_COMMON|ROBOTS_NOPLC:SxxRyy\000_COMMON=0</v>
      </c>
      <c r="AP30" s="56" t="str">
        <f t="shared" si="49"/>
        <v>PLC</v>
      </c>
      <c r="AQ30" s="56" t="str">
        <f t="shared" si="50"/>
        <v>ENTRY</v>
      </c>
      <c r="AR30" s="39" t="s">
        <v>130</v>
      </c>
      <c r="AT30" s="44" t="str">
        <f t="shared" si="51"/>
        <v>BOOL</v>
      </c>
      <c r="AU30" s="23">
        <f t="shared" si="52"/>
        <v>0</v>
      </c>
      <c r="AV30" s="23" t="str">
        <f t="shared" si="53"/>
        <v>Q</v>
      </c>
      <c r="AW30" s="23" t="str">
        <f t="shared" si="54"/>
        <v xml:space="preserve">Q.: </v>
      </c>
      <c r="AX30" s="23" t="str">
        <f t="shared" si="55"/>
        <v>ENBT200:1:O.Data[82].13</v>
      </c>
      <c r="AY30" s="36" t="str">
        <f t="shared" si="56"/>
        <v xml:space="preserve">Controller: &lt;O0201N51.b14&gt; - </v>
      </c>
      <c r="BB30" s="42" t="s">
        <v>15</v>
      </c>
      <c r="BC30" t="s">
        <v>16</v>
      </c>
      <c r="BD30" t="str">
        <f t="shared" si="57"/>
        <v>AB_RACKx_SLOTa</v>
      </c>
      <c r="BR30">
        <v>201</v>
      </c>
      <c r="BS30" t="str">
        <f t="shared" si="59"/>
        <v>ROBOTS:SxxRyy\000_COMMON|ROBOTS_NOPLC:SxxRyy\000_COMMON=0</v>
      </c>
      <c r="BV30" s="30" t="s">
        <v>448</v>
      </c>
      <c r="BW30" t="str">
        <f t="shared" si="58"/>
        <v>DI[14]</v>
      </c>
      <c r="BX30" t="s">
        <v>437</v>
      </c>
      <c r="BY30" s="42"/>
      <c r="CB30" s="42"/>
      <c r="CE30" s="30"/>
      <c r="CH30" s="42"/>
      <c r="CJ30" t="str">
        <f>Prep!$U$3&amp;":O.Data["&amp;Prep!$U$7&amp;"]."</f>
        <v>ENBT200:1:O.Data[82].</v>
      </c>
      <c r="CK30">
        <v>13</v>
      </c>
      <c r="CM30" t="s">
        <v>75</v>
      </c>
      <c r="CN30" s="30" t="str">
        <f>"O0"&amp;Header_Config03&amp;"N"&amp;TEXT(Prep!$U$6,"00")&amp;"."</f>
        <v>O0201N51.</v>
      </c>
      <c r="CO30" t="s">
        <v>449</v>
      </c>
      <c r="CP30" t="s">
        <v>12</v>
      </c>
      <c r="CQ30" s="40"/>
      <c r="CR30" s="30" t="s">
        <v>450</v>
      </c>
    </row>
    <row r="31" spans="2:96" x14ac:dyDescent="0.35">
      <c r="B31" s="4" t="str">
        <f t="shared" si="28"/>
        <v>FANUC_SxxRyy</v>
      </c>
      <c r="C31" s="4"/>
      <c r="D31" s="4" t="str">
        <f t="shared" si="29"/>
        <v>From_PLC_STYLEBit64</v>
      </c>
      <c r="E31" s="4" t="str">
        <f t="shared" si="30"/>
        <v>ENBT200:1:O.Data[82].14</v>
      </c>
      <c r="F31" s="4" t="str">
        <f t="shared" si="31"/>
        <v>Q</v>
      </c>
      <c r="G31" s="4" t="str">
        <f t="shared" si="32"/>
        <v/>
      </c>
      <c r="H31" s="4" t="str">
        <f t="shared" si="33"/>
        <v>Controller: &lt;O0201N51.b15&gt; - STYLE BIT 64 DI15</v>
      </c>
      <c r="I31" s="4" t="str">
        <f t="shared" si="34"/>
        <v>AB_RACKx_SLOTa</v>
      </c>
      <c r="J31" s="4"/>
      <c r="K31" s="56" t="str">
        <f t="shared" si="35"/>
        <v>BOOL</v>
      </c>
      <c r="L31" s="56" t="str">
        <f t="shared" si="4"/>
        <v>ROBOTS\SxxRyy</v>
      </c>
      <c r="M31" s="56" t="str">
        <f t="shared" si="5"/>
        <v>STELLANTIS\Common\ToolPrototype\Robots</v>
      </c>
      <c r="N31" s="56" t="str">
        <f t="shared" si="6"/>
        <v>STELLANTIS_DN_FANUC_ROBOT_128_BIT_INTEGRATED_SAFETY_SxxRyy.v00</v>
      </c>
      <c r="O31" s="56" t="str">
        <f t="shared" si="36"/>
        <v/>
      </c>
      <c r="P31" s="56" t="str">
        <f t="shared" si="37"/>
        <v/>
      </c>
      <c r="Q31" s="56" t="str">
        <f t="shared" si="38"/>
        <v/>
      </c>
      <c r="R31" s="56" t="str">
        <f t="shared" si="39"/>
        <v/>
      </c>
      <c r="S31" s="56" t="str">
        <f t="shared" si="40"/>
        <v/>
      </c>
      <c r="T31" s="56" t="str">
        <f t="shared" si="41"/>
        <v/>
      </c>
      <c r="U31" s="56" t="str">
        <f t="shared" si="42"/>
        <v/>
      </c>
      <c r="V31" s="56" t="str">
        <f t="shared" si="43"/>
        <v/>
      </c>
      <c r="W31" s="56"/>
      <c r="X31" s="56"/>
      <c r="Y31" s="56"/>
      <c r="Z31" s="56" t="str">
        <f t="shared" si="44"/>
        <v/>
      </c>
      <c r="AA31" s="56" t="str">
        <f t="shared" si="45"/>
        <v/>
      </c>
      <c r="AB31" s="56" t="str">
        <f t="shared" si="9"/>
        <v>ToolPrototype</v>
      </c>
      <c r="AC31" s="56" t="str">
        <f t="shared" si="46"/>
        <v/>
      </c>
      <c r="AD31" s="56" t="str">
        <f t="shared" si="10"/>
        <v>&lt;device&gt;
&lt;name&gt;SxxRyy&lt;/name&gt;
&lt;type&gt;FCA_DN_FANUC&lt;/type&gt;
&lt;deviceNetwork&gt;201&lt;/deviceNetwork&gt;
&lt;deviceNode&gt;56&lt;/deviceNode&gt;
&lt;/device&gt;</v>
      </c>
      <c r="AE31" s="56" t="str">
        <f t="shared" si="11"/>
        <v/>
      </c>
      <c r="AF31" s="56" t="str">
        <f t="shared" si="12"/>
        <v/>
      </c>
      <c r="AG31" s="56" t="str">
        <f t="shared" si="13"/>
        <v/>
      </c>
      <c r="AH31" s="56" t="str">
        <f t="shared" si="14"/>
        <v/>
      </c>
      <c r="AI31" s="56" t="str">
        <f t="shared" si="15"/>
        <v/>
      </c>
      <c r="AJ31" s="56" t="str">
        <f t="shared" si="16"/>
        <v/>
      </c>
      <c r="AK31" s="56" t="str">
        <f t="shared" si="17"/>
        <v/>
      </c>
      <c r="AL31" s="56" t="str">
        <f t="shared" si="18"/>
        <v/>
      </c>
      <c r="AM31" s="56" t="str">
        <f t="shared" si="19"/>
        <v/>
      </c>
      <c r="AN31" s="56">
        <f t="shared" si="47"/>
        <v>201</v>
      </c>
      <c r="AO31" s="56" t="str">
        <f t="shared" si="48"/>
        <v>ROBOTS:SxxRyy\000_COMMON|ROBOTS_NOPLC:SxxRyy\000_COMMON=0</v>
      </c>
      <c r="AP31" s="56" t="str">
        <f t="shared" si="49"/>
        <v>PLC</v>
      </c>
      <c r="AQ31" s="56" t="str">
        <f t="shared" si="50"/>
        <v>ENTRY</v>
      </c>
      <c r="AR31" s="39" t="s">
        <v>130</v>
      </c>
      <c r="AT31" s="44" t="str">
        <f t="shared" si="51"/>
        <v>BOOL</v>
      </c>
      <c r="AU31" s="23">
        <f t="shared" si="52"/>
        <v>0</v>
      </c>
      <c r="AV31" s="23" t="str">
        <f t="shared" si="53"/>
        <v>Q</v>
      </c>
      <c r="AW31" s="23" t="str">
        <f t="shared" si="54"/>
        <v xml:space="preserve">Q.: </v>
      </c>
      <c r="AX31" s="23" t="str">
        <f t="shared" si="55"/>
        <v>ENBT200:1:O.Data[82].14</v>
      </c>
      <c r="AY31" s="36" t="str">
        <f t="shared" si="56"/>
        <v xml:space="preserve">Controller: &lt;O0201N51.b15&gt; - </v>
      </c>
      <c r="BB31" s="42" t="s">
        <v>15</v>
      </c>
      <c r="BC31" t="s">
        <v>16</v>
      </c>
      <c r="BD31" t="str">
        <f t="shared" si="57"/>
        <v>AB_RACKx_SLOTa</v>
      </c>
      <c r="BR31">
        <v>201</v>
      </c>
      <c r="BS31" t="str">
        <f t="shared" si="59"/>
        <v>ROBOTS:SxxRyy\000_COMMON|ROBOTS_NOPLC:SxxRyy\000_COMMON=0</v>
      </c>
      <c r="BV31" s="30" t="s">
        <v>451</v>
      </c>
      <c r="BW31" t="str">
        <f t="shared" si="58"/>
        <v>DI[15]</v>
      </c>
      <c r="BX31" t="s">
        <v>437</v>
      </c>
      <c r="BY31" s="42"/>
      <c r="CB31" s="42"/>
      <c r="CE31" s="30"/>
      <c r="CH31" s="42"/>
      <c r="CJ31" t="str">
        <f>Prep!$U$3&amp;":O.Data["&amp;Prep!$U$7&amp;"]."</f>
        <v>ENBT200:1:O.Data[82].</v>
      </c>
      <c r="CK31">
        <v>14</v>
      </c>
      <c r="CM31" t="s">
        <v>75</v>
      </c>
      <c r="CN31" s="30" t="str">
        <f>"O0"&amp;Header_Config03&amp;"N"&amp;TEXT(Prep!$U$6,"00")&amp;"."</f>
        <v>O0201N51.</v>
      </c>
      <c r="CO31" t="s">
        <v>452</v>
      </c>
      <c r="CP31" t="s">
        <v>12</v>
      </c>
      <c r="CQ31" s="40"/>
      <c r="CR31" s="30" t="s">
        <v>453</v>
      </c>
    </row>
    <row r="32" spans="2:96" x14ac:dyDescent="0.35">
      <c r="B32" s="4" t="str">
        <f t="shared" si="28"/>
        <v>FANUC_SxxRyy</v>
      </c>
      <c r="C32" s="4"/>
      <c r="D32" s="4" t="str">
        <f t="shared" si="29"/>
        <v>From_PLC_RetFromPounce</v>
      </c>
      <c r="E32" s="4" t="str">
        <f t="shared" si="30"/>
        <v>ENBT200:1:O.Data[82].25</v>
      </c>
      <c r="F32" s="4" t="str">
        <f t="shared" si="31"/>
        <v>Q</v>
      </c>
      <c r="G32" s="4" t="str">
        <f t="shared" si="32"/>
        <v/>
      </c>
      <c r="H32" s="4" t="str">
        <f t="shared" si="33"/>
        <v>Controller: &lt;O0201N51.b25&gt; - RETURN FROM POUNCE DI25</v>
      </c>
      <c r="I32" s="4" t="str">
        <f t="shared" si="34"/>
        <v>AB_RACKx_SLOTa</v>
      </c>
      <c r="J32" s="4"/>
      <c r="K32" s="56" t="str">
        <f t="shared" si="35"/>
        <v>BOOL</v>
      </c>
      <c r="L32" s="56" t="str">
        <f t="shared" si="4"/>
        <v>ROBOTS\SxxRyy</v>
      </c>
      <c r="M32" s="56" t="str">
        <f t="shared" si="5"/>
        <v>STELLANTIS\Common\ToolPrototype\Robots</v>
      </c>
      <c r="N32" s="56" t="str">
        <f t="shared" si="6"/>
        <v>STELLANTIS_DN_FANUC_ROBOT_128_BIT_INTEGRATED_SAFETY_SxxRyy.v00</v>
      </c>
      <c r="O32" s="56" t="str">
        <f t="shared" si="36"/>
        <v/>
      </c>
      <c r="P32" s="56" t="str">
        <f t="shared" si="37"/>
        <v/>
      </c>
      <c r="Q32" s="56" t="str">
        <f t="shared" si="38"/>
        <v/>
      </c>
      <c r="R32" s="56" t="str">
        <f t="shared" si="39"/>
        <v/>
      </c>
      <c r="S32" s="56" t="str">
        <f t="shared" si="40"/>
        <v/>
      </c>
      <c r="T32" s="56" t="str">
        <f t="shared" si="41"/>
        <v/>
      </c>
      <c r="U32" s="56" t="str">
        <f t="shared" si="42"/>
        <v/>
      </c>
      <c r="V32" s="56" t="str">
        <f t="shared" si="43"/>
        <v/>
      </c>
      <c r="W32" s="56"/>
      <c r="X32" s="56"/>
      <c r="Y32" s="56"/>
      <c r="Z32" s="56" t="str">
        <f t="shared" si="44"/>
        <v/>
      </c>
      <c r="AA32" s="56" t="str">
        <f t="shared" si="45"/>
        <v/>
      </c>
      <c r="AB32" s="56" t="str">
        <f t="shared" si="9"/>
        <v>ToolPrototype</v>
      </c>
      <c r="AC32" s="56" t="str">
        <f t="shared" si="46"/>
        <v/>
      </c>
      <c r="AD32" s="56" t="str">
        <f t="shared" si="10"/>
        <v>&lt;device&gt;
&lt;name&gt;SxxRyy&lt;/name&gt;
&lt;type&gt;FCA_DN_FANUC&lt;/type&gt;
&lt;deviceNetwork&gt;201&lt;/deviceNetwork&gt;
&lt;deviceNode&gt;56&lt;/deviceNode&gt;
&lt;/device&gt;</v>
      </c>
      <c r="AE32" s="56" t="str">
        <f t="shared" si="11"/>
        <v/>
      </c>
      <c r="AF32" s="56" t="str">
        <f t="shared" si="12"/>
        <v/>
      </c>
      <c r="AG32" s="56" t="str">
        <f t="shared" si="13"/>
        <v/>
      </c>
      <c r="AH32" s="56" t="str">
        <f t="shared" si="14"/>
        <v/>
      </c>
      <c r="AI32" s="56" t="str">
        <f t="shared" si="15"/>
        <v/>
      </c>
      <c r="AJ32" s="56" t="str">
        <f t="shared" si="16"/>
        <v/>
      </c>
      <c r="AK32" s="56" t="str">
        <f t="shared" si="17"/>
        <v/>
      </c>
      <c r="AL32" s="56" t="str">
        <f t="shared" si="18"/>
        <v/>
      </c>
      <c r="AM32" s="56" t="str">
        <f t="shared" si="19"/>
        <v/>
      </c>
      <c r="AN32" s="56">
        <f t="shared" si="47"/>
        <v>201</v>
      </c>
      <c r="AO32" s="56" t="str">
        <f t="shared" si="48"/>
        <v>ROBOTS:SxxRyy\000_COMMON|ROBOTS_NOPLC:SxxRyy\000_COMMON=0</v>
      </c>
      <c r="AP32" s="56" t="str">
        <f t="shared" si="49"/>
        <v>PLC</v>
      </c>
      <c r="AQ32" s="56" t="str">
        <f t="shared" si="50"/>
        <v>ENTRY</v>
      </c>
      <c r="AR32" s="39" t="s">
        <v>130</v>
      </c>
      <c r="AT32" s="44" t="str">
        <f t="shared" si="51"/>
        <v>BOOL</v>
      </c>
      <c r="AU32" s="23">
        <f t="shared" si="52"/>
        <v>0</v>
      </c>
      <c r="AV32" s="23" t="str">
        <f t="shared" si="53"/>
        <v>Q</v>
      </c>
      <c r="AW32" s="23" t="str">
        <f t="shared" si="54"/>
        <v xml:space="preserve">Q.: </v>
      </c>
      <c r="AX32" s="23" t="str">
        <f t="shared" si="55"/>
        <v>ENBT200:1:O.Data[82].25</v>
      </c>
      <c r="AY32" s="36" t="str">
        <f t="shared" si="56"/>
        <v xml:space="preserve">Controller: &lt;O0201N51.b25&gt; - </v>
      </c>
      <c r="BB32" s="42" t="s">
        <v>15</v>
      </c>
      <c r="BC32" t="s">
        <v>16</v>
      </c>
      <c r="BD32" t="str">
        <f t="shared" si="57"/>
        <v>AB_RACKx_SLOTa</v>
      </c>
      <c r="BR32">
        <v>201</v>
      </c>
      <c r="BS32" t="str">
        <f t="shared" si="59"/>
        <v>ROBOTS:SxxRyy\000_COMMON|ROBOTS_NOPLC:SxxRyy\000_COMMON=0</v>
      </c>
      <c r="BV32" s="30" t="s">
        <v>454</v>
      </c>
      <c r="BW32" t="str">
        <f t="shared" si="58"/>
        <v>DI[25]</v>
      </c>
      <c r="BY32" s="42"/>
      <c r="CB32" s="42"/>
      <c r="CE32" s="30"/>
      <c r="CH32" s="42"/>
      <c r="CJ32" t="str">
        <f>Prep!$U$3&amp;":O.Data["&amp;Prep!$U$7&amp;"]."</f>
        <v>ENBT200:1:O.Data[82].</v>
      </c>
      <c r="CK32">
        <v>25</v>
      </c>
      <c r="CM32" t="s">
        <v>75</v>
      </c>
      <c r="CN32" s="30" t="str">
        <f>"O0"&amp;Header_Config03&amp;"N"&amp;TEXT(Prep!$U$6,"00")&amp;"."</f>
        <v>O0201N51.</v>
      </c>
      <c r="CO32" t="s">
        <v>288</v>
      </c>
      <c r="CP32" t="s">
        <v>12</v>
      </c>
      <c r="CQ32" s="40"/>
      <c r="CR32" s="30" t="s">
        <v>455</v>
      </c>
    </row>
    <row r="33" spans="2:96" x14ac:dyDescent="0.35">
      <c r="B33" s="4" t="str">
        <f t="shared" si="28"/>
        <v>FANUC_SxxRyy</v>
      </c>
      <c r="C33" s="4"/>
      <c r="D33" s="4" t="str">
        <f t="shared" si="29"/>
        <v>From_PLC_ProdStart</v>
      </c>
      <c r="E33" s="4" t="str">
        <f t="shared" si="30"/>
        <v>ENBT200:1:O.Data[82].28</v>
      </c>
      <c r="F33" s="4" t="str">
        <f t="shared" si="31"/>
        <v>Q</v>
      </c>
      <c r="G33" s="4" t="str">
        <f t="shared" si="32"/>
        <v/>
      </c>
      <c r="H33" s="4" t="str">
        <f t="shared" si="33"/>
        <v>Controller: &lt;O0201N51.b29&gt; - PRODUCTION START DI29</v>
      </c>
      <c r="I33" s="4" t="str">
        <f t="shared" si="34"/>
        <v>AB_RACKx_SLOTa</v>
      </c>
      <c r="J33" s="4"/>
      <c r="K33" s="56" t="str">
        <f t="shared" si="35"/>
        <v>BOOL</v>
      </c>
      <c r="L33" s="56" t="str">
        <f t="shared" si="4"/>
        <v>ROBOTS\SxxRyy</v>
      </c>
      <c r="M33" s="56" t="str">
        <f t="shared" si="5"/>
        <v>STELLANTIS\Common\ToolPrototype\Robots</v>
      </c>
      <c r="N33" s="56" t="str">
        <f t="shared" si="6"/>
        <v>STELLANTIS_DN_FANUC_ROBOT_128_BIT_INTEGRATED_SAFETY_SxxRyy.v00</v>
      </c>
      <c r="O33" s="56" t="str">
        <f t="shared" si="36"/>
        <v/>
      </c>
      <c r="P33" s="56" t="str">
        <f t="shared" si="37"/>
        <v/>
      </c>
      <c r="Q33" s="56" t="str">
        <f t="shared" si="38"/>
        <v/>
      </c>
      <c r="R33" s="56" t="str">
        <f t="shared" si="39"/>
        <v/>
      </c>
      <c r="S33" s="56" t="str">
        <f t="shared" si="40"/>
        <v/>
      </c>
      <c r="T33" s="56" t="str">
        <f t="shared" si="41"/>
        <v/>
      </c>
      <c r="U33" s="56" t="str">
        <f t="shared" si="42"/>
        <v/>
      </c>
      <c r="V33" s="56" t="str">
        <f t="shared" si="43"/>
        <v/>
      </c>
      <c r="W33" s="56"/>
      <c r="X33" s="56"/>
      <c r="Y33" s="56"/>
      <c r="Z33" s="56" t="str">
        <f t="shared" si="44"/>
        <v/>
      </c>
      <c r="AA33" s="56" t="str">
        <f t="shared" si="45"/>
        <v/>
      </c>
      <c r="AB33" s="56" t="str">
        <f t="shared" si="9"/>
        <v>ToolPrototype</v>
      </c>
      <c r="AC33" s="56" t="str">
        <f t="shared" si="46"/>
        <v/>
      </c>
      <c r="AD33" s="56" t="str">
        <f t="shared" si="10"/>
        <v>&lt;device&gt;
&lt;name&gt;SxxRyy&lt;/name&gt;
&lt;type&gt;FCA_DN_FANUC&lt;/type&gt;
&lt;deviceNetwork&gt;201&lt;/deviceNetwork&gt;
&lt;deviceNode&gt;56&lt;/deviceNode&gt;
&lt;/device&gt;</v>
      </c>
      <c r="AE33" s="56" t="str">
        <f t="shared" si="11"/>
        <v/>
      </c>
      <c r="AF33" s="56" t="str">
        <f t="shared" si="12"/>
        <v/>
      </c>
      <c r="AG33" s="56" t="str">
        <f t="shared" si="13"/>
        <v/>
      </c>
      <c r="AH33" s="56" t="str">
        <f t="shared" si="14"/>
        <v/>
      </c>
      <c r="AI33" s="56" t="str">
        <f t="shared" si="15"/>
        <v/>
      </c>
      <c r="AJ33" s="56" t="str">
        <f t="shared" si="16"/>
        <v/>
      </c>
      <c r="AK33" s="56" t="str">
        <f t="shared" si="17"/>
        <v/>
      </c>
      <c r="AL33" s="56" t="str">
        <f t="shared" si="18"/>
        <v/>
      </c>
      <c r="AM33" s="56" t="str">
        <f t="shared" si="19"/>
        <v/>
      </c>
      <c r="AN33" s="56">
        <f t="shared" si="47"/>
        <v>201</v>
      </c>
      <c r="AO33" s="56" t="str">
        <f t="shared" si="48"/>
        <v>ROBOTS:SxxRyy\000_COMMON|ROBOTS_NOPLC:SxxRyy\000_COMMON=0</v>
      </c>
      <c r="AP33" s="56" t="str">
        <f t="shared" si="49"/>
        <v>PLC</v>
      </c>
      <c r="AQ33" s="56" t="str">
        <f t="shared" si="50"/>
        <v>ENTRY</v>
      </c>
      <c r="AR33" s="39" t="s">
        <v>130</v>
      </c>
      <c r="AT33" s="44" t="str">
        <f t="shared" si="51"/>
        <v>BOOL</v>
      </c>
      <c r="AU33" s="23">
        <f t="shared" si="52"/>
        <v>0</v>
      </c>
      <c r="AV33" s="23" t="str">
        <f t="shared" si="53"/>
        <v>Q</v>
      </c>
      <c r="AW33" s="23" t="str">
        <f t="shared" si="54"/>
        <v xml:space="preserve">Q.: </v>
      </c>
      <c r="AX33" s="23" t="str">
        <f t="shared" si="55"/>
        <v>ENBT200:1:O.Data[82].28</v>
      </c>
      <c r="AY33" s="36" t="str">
        <f t="shared" si="56"/>
        <v xml:space="preserve">Controller: &lt;O0201N51.b29&gt; - </v>
      </c>
      <c r="BB33" s="42" t="s">
        <v>15</v>
      </c>
      <c r="BC33" t="s">
        <v>16</v>
      </c>
      <c r="BD33" t="str">
        <f t="shared" si="57"/>
        <v>AB_RACKx_SLOTa</v>
      </c>
      <c r="BR33">
        <v>201</v>
      </c>
      <c r="BS33" t="str">
        <f t="shared" si="59"/>
        <v>ROBOTS:SxxRyy\000_COMMON|ROBOTS_NOPLC:SxxRyy\000_COMMON=0</v>
      </c>
      <c r="BV33" s="30" t="s">
        <v>456</v>
      </c>
      <c r="BW33" t="str">
        <f t="shared" si="58"/>
        <v>DI[29]</v>
      </c>
      <c r="BY33" s="42"/>
      <c r="CB33" s="42"/>
      <c r="CE33" s="30"/>
      <c r="CH33" s="42"/>
      <c r="CJ33" t="str">
        <f>Prep!$U$3&amp;":O.Data["&amp;Prep!$U$7&amp;"]."</f>
        <v>ENBT200:1:O.Data[82].</v>
      </c>
      <c r="CK33">
        <v>28</v>
      </c>
      <c r="CM33" t="s">
        <v>75</v>
      </c>
      <c r="CN33" s="30" t="str">
        <f>"O0"&amp;Header_Config03&amp;"N"&amp;TEXT(Prep!$U$6,"00")&amp;"."</f>
        <v>O0201N51.</v>
      </c>
      <c r="CO33" t="s">
        <v>457</v>
      </c>
      <c r="CP33" t="s">
        <v>12</v>
      </c>
      <c r="CQ33" s="40"/>
      <c r="CR33" s="30" t="s">
        <v>458</v>
      </c>
    </row>
    <row r="34" spans="2:96" x14ac:dyDescent="0.35">
      <c r="B34" s="4" t="str">
        <f t="shared" si="28"/>
        <v>FANUC_SxxRyy</v>
      </c>
      <c r="C34" s="4"/>
      <c r="D34" s="4" t="str">
        <f t="shared" si="29"/>
        <v>From_PLC_WorkCompleteAck</v>
      </c>
      <c r="E34" s="4" t="str">
        <f t="shared" si="30"/>
        <v>ENBT200:1:O.Data[82].31</v>
      </c>
      <c r="F34" s="4" t="str">
        <f t="shared" si="31"/>
        <v>Q</v>
      </c>
      <c r="G34" s="4" t="str">
        <f t="shared" si="32"/>
        <v/>
      </c>
      <c r="H34" s="4" t="str">
        <f t="shared" si="33"/>
        <v>Controller: &lt;O0201N51.b32&gt; - WORK COMPLETE ACK DI32</v>
      </c>
      <c r="I34" s="4" t="str">
        <f t="shared" si="34"/>
        <v>AB_RACKx_SLOTa</v>
      </c>
      <c r="J34" s="4"/>
      <c r="K34" s="56" t="str">
        <f t="shared" si="35"/>
        <v>BOOL</v>
      </c>
      <c r="L34" s="56" t="str">
        <f t="shared" si="4"/>
        <v>ROBOTS\SxxRyy</v>
      </c>
      <c r="M34" s="56" t="str">
        <f t="shared" si="5"/>
        <v>STELLANTIS\Common\ToolPrototype\Robots</v>
      </c>
      <c r="N34" s="56" t="str">
        <f t="shared" si="6"/>
        <v>STELLANTIS_DN_FANUC_ROBOT_128_BIT_INTEGRATED_SAFETY_SxxRyy.v00</v>
      </c>
      <c r="O34" s="56" t="str">
        <f t="shared" si="36"/>
        <v/>
      </c>
      <c r="P34" s="56" t="str">
        <f t="shared" si="37"/>
        <v/>
      </c>
      <c r="Q34" s="56" t="str">
        <f t="shared" si="38"/>
        <v/>
      </c>
      <c r="R34" s="56" t="str">
        <f t="shared" si="39"/>
        <v/>
      </c>
      <c r="S34" s="56" t="str">
        <f t="shared" si="40"/>
        <v/>
      </c>
      <c r="T34" s="56" t="str">
        <f t="shared" si="41"/>
        <v/>
      </c>
      <c r="U34" s="56" t="str">
        <f t="shared" si="42"/>
        <v/>
      </c>
      <c r="V34" s="56" t="str">
        <f t="shared" si="43"/>
        <v/>
      </c>
      <c r="W34" s="56"/>
      <c r="X34" s="56"/>
      <c r="Y34" s="56"/>
      <c r="Z34" s="56" t="str">
        <f t="shared" si="44"/>
        <v/>
      </c>
      <c r="AA34" s="56" t="str">
        <f t="shared" si="45"/>
        <v/>
      </c>
      <c r="AB34" s="56" t="str">
        <f t="shared" si="9"/>
        <v>ToolPrototype</v>
      </c>
      <c r="AC34" s="56" t="str">
        <f t="shared" si="46"/>
        <v/>
      </c>
      <c r="AD34" s="56" t="str">
        <f t="shared" si="10"/>
        <v>&lt;device&gt;
&lt;name&gt;SxxRyy&lt;/name&gt;
&lt;type&gt;FCA_DN_FANUC&lt;/type&gt;
&lt;deviceNetwork&gt;201&lt;/deviceNetwork&gt;
&lt;deviceNode&gt;56&lt;/deviceNode&gt;
&lt;/device&gt;</v>
      </c>
      <c r="AE34" s="56" t="str">
        <f t="shared" si="11"/>
        <v/>
      </c>
      <c r="AF34" s="56" t="str">
        <f t="shared" si="12"/>
        <v/>
      </c>
      <c r="AG34" s="56" t="str">
        <f t="shared" si="13"/>
        <v/>
      </c>
      <c r="AH34" s="56" t="str">
        <f t="shared" si="14"/>
        <v/>
      </c>
      <c r="AI34" s="56" t="str">
        <f t="shared" si="15"/>
        <v/>
      </c>
      <c r="AJ34" s="56" t="str">
        <f t="shared" si="16"/>
        <v/>
      </c>
      <c r="AK34" s="56" t="str">
        <f t="shared" si="17"/>
        <v/>
      </c>
      <c r="AL34" s="56" t="str">
        <f t="shared" si="18"/>
        <v/>
      </c>
      <c r="AM34" s="56" t="str">
        <f t="shared" si="19"/>
        <v/>
      </c>
      <c r="AN34" s="56" t="str">
        <f t="shared" si="47"/>
        <v/>
      </c>
      <c r="AO34" s="56" t="str">
        <f t="shared" si="48"/>
        <v/>
      </c>
      <c r="AP34" s="56" t="str">
        <f t="shared" si="49"/>
        <v>PLC</v>
      </c>
      <c r="AQ34" s="56" t="str">
        <f t="shared" si="50"/>
        <v>ENTRY</v>
      </c>
      <c r="AR34" s="39" t="s">
        <v>130</v>
      </c>
      <c r="AT34" s="44" t="str">
        <f t="shared" si="51"/>
        <v>BOOL</v>
      </c>
      <c r="AU34" s="23">
        <f t="shared" si="52"/>
        <v>0</v>
      </c>
      <c r="AV34" s="23" t="str">
        <f t="shared" si="53"/>
        <v>Q</v>
      </c>
      <c r="AW34" s="23" t="str">
        <f t="shared" si="54"/>
        <v xml:space="preserve">Q.: </v>
      </c>
      <c r="AX34" s="23" t="str">
        <f t="shared" si="55"/>
        <v>ENBT200:1:O.Data[82].31</v>
      </c>
      <c r="AY34" s="36" t="str">
        <f t="shared" si="56"/>
        <v xml:space="preserve">Controller: &lt;O0201N51.b32&gt; - </v>
      </c>
      <c r="BB34" s="42" t="s">
        <v>15</v>
      </c>
      <c r="BC34" t="s">
        <v>16</v>
      </c>
      <c r="BD34" t="str">
        <f t="shared" si="57"/>
        <v>AB_RACKx_SLOTa</v>
      </c>
      <c r="BV34" s="30" t="s">
        <v>459</v>
      </c>
      <c r="BW34" t="str">
        <f t="shared" si="58"/>
        <v>DI[32]</v>
      </c>
      <c r="BY34" s="42"/>
      <c r="CB34" s="42"/>
      <c r="CE34" s="30"/>
      <c r="CH34" s="42"/>
      <c r="CJ34" t="str">
        <f>Prep!$U$3&amp;":O.Data["&amp;Prep!$U$7&amp;"]."</f>
        <v>ENBT200:1:O.Data[82].</v>
      </c>
      <c r="CK34">
        <v>31</v>
      </c>
      <c r="CM34" t="s">
        <v>75</v>
      </c>
      <c r="CN34" s="30" t="str">
        <f>"O0"&amp;Header_Config03&amp;"N"&amp;TEXT(Prep!$U$6,"00")&amp;"."</f>
        <v>O0201N51.</v>
      </c>
      <c r="CO34" t="s">
        <v>280</v>
      </c>
      <c r="CP34" t="s">
        <v>12</v>
      </c>
      <c r="CQ34" s="40"/>
      <c r="CR34" s="30" t="s">
        <v>460</v>
      </c>
    </row>
    <row r="35" spans="2:96" x14ac:dyDescent="0.35">
      <c r="B35" s="4" t="str">
        <f t="shared" si="28"/>
        <v>FANUC_SxxRyy</v>
      </c>
      <c r="C35" s="4"/>
      <c r="D35" s="4" t="str">
        <f t="shared" si="29"/>
        <v>From_PLC_PickTool1</v>
      </c>
      <c r="E35" s="4" t="str">
        <f t="shared" si="30"/>
        <v>ENBT200:1:O.Data[84].12</v>
      </c>
      <c r="F35" s="4" t="str">
        <f t="shared" si="31"/>
        <v>Q</v>
      </c>
      <c r="G35" s="4" t="str">
        <f t="shared" si="32"/>
        <v/>
      </c>
      <c r="H35" s="4" t="str">
        <f t="shared" si="33"/>
        <v>Controller: &lt;O0201N51.b77&gt; - PICK TOOL BIT 1 DI77</v>
      </c>
      <c r="I35" s="4" t="str">
        <f t="shared" si="34"/>
        <v>AB_RACKx_SLOTa</v>
      </c>
      <c r="J35" s="4"/>
      <c r="K35" s="56" t="str">
        <f t="shared" si="35"/>
        <v>BOOL</v>
      </c>
      <c r="L35" s="56" t="str">
        <f t="shared" si="4"/>
        <v>ROBOTS\SxxRyy</v>
      </c>
      <c r="M35" s="56" t="str">
        <f t="shared" si="5"/>
        <v>STELLANTIS\Common\ToolPrototype\Robots</v>
      </c>
      <c r="N35" s="56" t="str">
        <f t="shared" si="6"/>
        <v>STELLANTIS_DN_FANUC_ROBOT_128_BIT_INTEGRATED_SAFETY_SxxRyy.v00</v>
      </c>
      <c r="O35" s="56" t="str">
        <f t="shared" si="36"/>
        <v/>
      </c>
      <c r="P35" s="56" t="str">
        <f t="shared" si="37"/>
        <v/>
      </c>
      <c r="Q35" s="56" t="str">
        <f t="shared" si="38"/>
        <v/>
      </c>
      <c r="R35" s="56" t="str">
        <f t="shared" si="39"/>
        <v/>
      </c>
      <c r="S35" s="56" t="str">
        <f t="shared" si="40"/>
        <v/>
      </c>
      <c r="T35" s="56" t="str">
        <f t="shared" si="41"/>
        <v/>
      </c>
      <c r="U35" s="56" t="str">
        <f t="shared" si="42"/>
        <v/>
      </c>
      <c r="V35" s="56" t="str">
        <f t="shared" si="43"/>
        <v/>
      </c>
      <c r="W35" s="56"/>
      <c r="X35" s="56"/>
      <c r="Y35" s="56"/>
      <c r="Z35" s="56" t="str">
        <f t="shared" si="44"/>
        <v/>
      </c>
      <c r="AA35" s="56" t="str">
        <f t="shared" si="45"/>
        <v/>
      </c>
      <c r="AB35" s="56" t="str">
        <f t="shared" si="9"/>
        <v>ToolPrototype</v>
      </c>
      <c r="AC35" s="56" t="str">
        <f t="shared" si="46"/>
        <v>Optional</v>
      </c>
      <c r="AD35" s="56" t="str">
        <f t="shared" si="10"/>
        <v>&lt;device&gt;
&lt;name&gt;SxxRyy&lt;/name&gt;
&lt;type&gt;FCA_DN_FANUC&lt;/type&gt;
&lt;deviceNetwork&gt;201&lt;/deviceNetwork&gt;
&lt;deviceNode&gt;56&lt;/deviceNode&gt;
&lt;/device&gt;</v>
      </c>
      <c r="AE35" s="56" t="str">
        <f t="shared" si="11"/>
        <v/>
      </c>
      <c r="AF35" s="56" t="str">
        <f t="shared" si="12"/>
        <v/>
      </c>
      <c r="AG35" s="56" t="str">
        <f t="shared" si="13"/>
        <v/>
      </c>
      <c r="AH35" s="56" t="str">
        <f t="shared" si="14"/>
        <v/>
      </c>
      <c r="AI35" s="56" t="str">
        <f t="shared" si="15"/>
        <v/>
      </c>
      <c r="AJ35" s="56" t="str">
        <f t="shared" si="16"/>
        <v/>
      </c>
      <c r="AK35" s="56" t="str">
        <f t="shared" si="17"/>
        <v/>
      </c>
      <c r="AL35" s="56" t="str">
        <f t="shared" si="18"/>
        <v/>
      </c>
      <c r="AM35" s="56" t="str">
        <f t="shared" si="19"/>
        <v/>
      </c>
      <c r="AN35" s="56" t="str">
        <f t="shared" si="47"/>
        <v/>
      </c>
      <c r="AO35" s="56" t="str">
        <f t="shared" si="48"/>
        <v/>
      </c>
      <c r="AP35" s="56" t="str">
        <f t="shared" si="49"/>
        <v>PLC</v>
      </c>
      <c r="AQ35" s="56" t="str">
        <f t="shared" si="50"/>
        <v>ENTRY</v>
      </c>
      <c r="AR35" s="39" t="s">
        <v>130</v>
      </c>
      <c r="AT35" s="44" t="str">
        <f t="shared" si="51"/>
        <v>BOOL</v>
      </c>
      <c r="AU35" s="23">
        <f t="shared" si="52"/>
        <v>0</v>
      </c>
      <c r="AV35" s="23" t="str">
        <f t="shared" si="53"/>
        <v>Q</v>
      </c>
      <c r="AW35" s="23" t="str">
        <f t="shared" si="54"/>
        <v xml:space="preserve">Q.: </v>
      </c>
      <c r="AX35" s="23" t="str">
        <f t="shared" si="55"/>
        <v>ENBT200:1:O.Data[84].12</v>
      </c>
      <c r="AY35" s="36" t="str">
        <f t="shared" si="56"/>
        <v xml:space="preserve">Controller: &lt;O0201N51.b77&gt; - </v>
      </c>
      <c r="BB35" s="42" t="s">
        <v>15</v>
      </c>
      <c r="BC35" t="s">
        <v>16</v>
      </c>
      <c r="BD35" t="str">
        <f t="shared" ref="BD35:BD57" si="60">Header_Config01</f>
        <v>AB_RACKx_SLOTa</v>
      </c>
      <c r="BT35" t="str">
        <f>Prep!$L$5</f>
        <v/>
      </c>
      <c r="BV35" s="30" t="s">
        <v>461</v>
      </c>
      <c r="BW35" t="str">
        <f t="shared" si="58"/>
        <v>DI[77]</v>
      </c>
      <c r="BX35" t="s">
        <v>412</v>
      </c>
      <c r="BY35" s="42"/>
      <c r="CB35" s="42"/>
      <c r="CE35" s="30"/>
      <c r="CH35" s="42"/>
      <c r="CJ35" t="str">
        <f>Prep!$U$3&amp;":O.Data["&amp;Prep!$U$7+2&amp;"]."</f>
        <v>ENBT200:1:O.Data[84].</v>
      </c>
      <c r="CK35">
        <v>12</v>
      </c>
      <c r="CM35" t="s">
        <v>75</v>
      </c>
      <c r="CN35" s="30" t="str">
        <f>"O0"&amp;Header_Config03&amp;"N"&amp;TEXT(Prep!$U$6,"00")&amp;"."</f>
        <v>O0201N51.</v>
      </c>
      <c r="CO35" t="s">
        <v>462</v>
      </c>
      <c r="CP35" t="s">
        <v>12</v>
      </c>
      <c r="CQ35" s="40"/>
      <c r="CR35" s="30" t="s">
        <v>463</v>
      </c>
    </row>
    <row r="36" spans="2:96" x14ac:dyDescent="0.35">
      <c r="B36" s="4" t="str">
        <f t="shared" si="28"/>
        <v>FANUC_SxxRyy</v>
      </c>
      <c r="C36" s="4"/>
      <c r="D36" s="4" t="str">
        <f t="shared" si="29"/>
        <v>From_PLC_PickTool2</v>
      </c>
      <c r="E36" s="4" t="str">
        <f t="shared" si="30"/>
        <v>ENBT200:1:O.Data[84].13</v>
      </c>
      <c r="F36" s="4" t="str">
        <f t="shared" si="31"/>
        <v>Q</v>
      </c>
      <c r="G36" s="4" t="str">
        <f t="shared" si="32"/>
        <v/>
      </c>
      <c r="H36" s="4" t="str">
        <f t="shared" si="33"/>
        <v>Controller: &lt;O0201N51.b78&gt; - PICK TOOL BIT 2 DI78</v>
      </c>
      <c r="I36" s="4" t="str">
        <f t="shared" si="34"/>
        <v>AB_RACKx_SLOTa</v>
      </c>
      <c r="J36" s="4"/>
      <c r="K36" s="56" t="str">
        <f t="shared" si="35"/>
        <v>BOOL</v>
      </c>
      <c r="L36" s="56" t="str">
        <f t="shared" si="4"/>
        <v>ROBOTS\SxxRyy</v>
      </c>
      <c r="M36" s="56" t="str">
        <f t="shared" si="5"/>
        <v>STELLANTIS\Common\ToolPrototype\Robots</v>
      </c>
      <c r="N36" s="56" t="str">
        <f t="shared" si="6"/>
        <v>STELLANTIS_DN_FANUC_ROBOT_128_BIT_INTEGRATED_SAFETY_SxxRyy.v00</v>
      </c>
      <c r="O36" s="56" t="str">
        <f t="shared" si="36"/>
        <v/>
      </c>
      <c r="P36" s="56" t="str">
        <f t="shared" si="37"/>
        <v/>
      </c>
      <c r="Q36" s="56" t="str">
        <f t="shared" si="38"/>
        <v/>
      </c>
      <c r="R36" s="56" t="str">
        <f t="shared" si="39"/>
        <v/>
      </c>
      <c r="S36" s="56" t="str">
        <f t="shared" si="40"/>
        <v/>
      </c>
      <c r="T36" s="56" t="str">
        <f t="shared" si="41"/>
        <v/>
      </c>
      <c r="U36" s="56" t="str">
        <f t="shared" si="42"/>
        <v/>
      </c>
      <c r="V36" s="56" t="str">
        <f t="shared" si="43"/>
        <v/>
      </c>
      <c r="W36" s="56"/>
      <c r="X36" s="56"/>
      <c r="Y36" s="56"/>
      <c r="Z36" s="56" t="str">
        <f t="shared" si="44"/>
        <v/>
      </c>
      <c r="AA36" s="56" t="str">
        <f t="shared" si="45"/>
        <v/>
      </c>
      <c r="AB36" s="56" t="str">
        <f t="shared" si="9"/>
        <v>ToolPrototype</v>
      </c>
      <c r="AC36" s="56" t="str">
        <f t="shared" si="46"/>
        <v>Optional</v>
      </c>
      <c r="AD36" s="56" t="str">
        <f t="shared" si="10"/>
        <v>&lt;device&gt;
&lt;name&gt;SxxRyy&lt;/name&gt;
&lt;type&gt;FCA_DN_FANUC&lt;/type&gt;
&lt;deviceNetwork&gt;201&lt;/deviceNetwork&gt;
&lt;deviceNode&gt;56&lt;/deviceNode&gt;
&lt;/device&gt;</v>
      </c>
      <c r="AE36" s="56" t="str">
        <f t="shared" si="11"/>
        <v/>
      </c>
      <c r="AF36" s="56" t="str">
        <f t="shared" si="12"/>
        <v/>
      </c>
      <c r="AG36" s="56" t="str">
        <f t="shared" si="13"/>
        <v/>
      </c>
      <c r="AH36" s="56" t="str">
        <f t="shared" si="14"/>
        <v/>
      </c>
      <c r="AI36" s="56" t="str">
        <f t="shared" si="15"/>
        <v/>
      </c>
      <c r="AJ36" s="56" t="str">
        <f t="shared" si="16"/>
        <v/>
      </c>
      <c r="AK36" s="56" t="str">
        <f t="shared" si="17"/>
        <v/>
      </c>
      <c r="AL36" s="56" t="str">
        <f t="shared" si="18"/>
        <v/>
      </c>
      <c r="AM36" s="56" t="str">
        <f t="shared" si="19"/>
        <v/>
      </c>
      <c r="AN36" s="56" t="str">
        <f t="shared" si="47"/>
        <v/>
      </c>
      <c r="AO36" s="56" t="str">
        <f t="shared" si="48"/>
        <v/>
      </c>
      <c r="AP36" s="56" t="str">
        <f t="shared" si="49"/>
        <v>PLC</v>
      </c>
      <c r="AQ36" s="56" t="str">
        <f t="shared" si="50"/>
        <v>ENTRY</v>
      </c>
      <c r="AR36" s="39" t="s">
        <v>130</v>
      </c>
      <c r="AT36" s="44" t="str">
        <f t="shared" si="51"/>
        <v>BOOL</v>
      </c>
      <c r="AU36" s="23">
        <f t="shared" si="52"/>
        <v>0</v>
      </c>
      <c r="AV36" s="23" t="str">
        <f t="shared" si="53"/>
        <v>Q</v>
      </c>
      <c r="AW36" s="23" t="str">
        <f t="shared" si="54"/>
        <v xml:space="preserve">Q.: </v>
      </c>
      <c r="AX36" s="23" t="str">
        <f t="shared" si="55"/>
        <v>ENBT200:1:O.Data[84].13</v>
      </c>
      <c r="AY36" s="36" t="str">
        <f t="shared" si="56"/>
        <v xml:space="preserve">Controller: &lt;O0201N51.b78&gt; - </v>
      </c>
      <c r="BB36" s="42" t="s">
        <v>15</v>
      </c>
      <c r="BC36" t="s">
        <v>16</v>
      </c>
      <c r="BD36" t="str">
        <f t="shared" si="60"/>
        <v>AB_RACKx_SLOTa</v>
      </c>
      <c r="BT36" t="str">
        <f>Prep!$L$5</f>
        <v/>
      </c>
      <c r="BV36" s="30" t="s">
        <v>464</v>
      </c>
      <c r="BW36" t="str">
        <f t="shared" si="58"/>
        <v>DI[78]</v>
      </c>
      <c r="BX36" t="s">
        <v>412</v>
      </c>
      <c r="BY36" s="42"/>
      <c r="CB36" s="42"/>
      <c r="CE36" s="30"/>
      <c r="CH36" s="42"/>
      <c r="CJ36" t="str">
        <f>Prep!$U$3&amp;":O.Data["&amp;Prep!$U$7+2&amp;"]."</f>
        <v>ENBT200:1:O.Data[84].</v>
      </c>
      <c r="CK36">
        <v>13</v>
      </c>
      <c r="CM36" t="s">
        <v>75</v>
      </c>
      <c r="CN36" s="30" t="str">
        <f>"O0"&amp;Header_Config03&amp;"N"&amp;TEXT(Prep!$U$6,"00")&amp;"."</f>
        <v>O0201N51.</v>
      </c>
      <c r="CO36" t="s">
        <v>465</v>
      </c>
      <c r="CP36" t="s">
        <v>12</v>
      </c>
      <c r="CQ36" s="40"/>
      <c r="CR36" s="30" t="s">
        <v>466</v>
      </c>
    </row>
    <row r="37" spans="2:96" x14ac:dyDescent="0.35">
      <c r="B37" s="4" t="str">
        <f t="shared" si="28"/>
        <v>FANUC_SxxRyy</v>
      </c>
      <c r="C37" s="4"/>
      <c r="D37" s="4" t="str">
        <f t="shared" si="29"/>
        <v>From_PLC_PickTool4</v>
      </c>
      <c r="E37" s="4" t="str">
        <f t="shared" si="30"/>
        <v>ENBT200:1:O.Data[84].14</v>
      </c>
      <c r="F37" s="4" t="str">
        <f t="shared" si="31"/>
        <v>Q</v>
      </c>
      <c r="G37" s="4" t="str">
        <f t="shared" si="32"/>
        <v/>
      </c>
      <c r="H37" s="4" t="str">
        <f t="shared" si="33"/>
        <v>Controller: &lt;O0201N51.b79&gt; - PICK TOOL BIT 4 DI79</v>
      </c>
      <c r="I37" s="4" t="str">
        <f t="shared" si="34"/>
        <v>AB_RACKx_SLOTa</v>
      </c>
      <c r="J37" s="4"/>
      <c r="K37" s="56" t="str">
        <f t="shared" si="35"/>
        <v>BOOL</v>
      </c>
      <c r="L37" s="56" t="str">
        <f t="shared" si="4"/>
        <v>ROBOTS\SxxRyy</v>
      </c>
      <c r="M37" s="56" t="str">
        <f t="shared" si="5"/>
        <v>STELLANTIS\Common\ToolPrototype\Robots</v>
      </c>
      <c r="N37" s="56" t="str">
        <f t="shared" si="6"/>
        <v>STELLANTIS_DN_FANUC_ROBOT_128_BIT_INTEGRATED_SAFETY_SxxRyy.v00</v>
      </c>
      <c r="O37" s="56" t="str">
        <f t="shared" si="36"/>
        <v/>
      </c>
      <c r="P37" s="56" t="str">
        <f t="shared" si="37"/>
        <v/>
      </c>
      <c r="Q37" s="56" t="str">
        <f t="shared" si="38"/>
        <v/>
      </c>
      <c r="R37" s="56" t="str">
        <f t="shared" si="39"/>
        <v/>
      </c>
      <c r="S37" s="56" t="str">
        <f t="shared" si="40"/>
        <v/>
      </c>
      <c r="T37" s="56" t="str">
        <f t="shared" si="41"/>
        <v/>
      </c>
      <c r="U37" s="56" t="str">
        <f t="shared" si="42"/>
        <v/>
      </c>
      <c r="V37" s="56" t="str">
        <f t="shared" si="43"/>
        <v/>
      </c>
      <c r="W37" s="56"/>
      <c r="X37" s="56"/>
      <c r="Y37" s="56"/>
      <c r="Z37" s="56" t="str">
        <f t="shared" si="44"/>
        <v/>
      </c>
      <c r="AA37" s="56" t="str">
        <f t="shared" si="45"/>
        <v/>
      </c>
      <c r="AB37" s="56" t="str">
        <f t="shared" si="9"/>
        <v>ToolPrototype</v>
      </c>
      <c r="AC37" s="56" t="str">
        <f t="shared" si="46"/>
        <v>Optional</v>
      </c>
      <c r="AD37" s="56" t="str">
        <f t="shared" si="10"/>
        <v>&lt;device&gt;
&lt;name&gt;SxxRyy&lt;/name&gt;
&lt;type&gt;FCA_DN_FANUC&lt;/type&gt;
&lt;deviceNetwork&gt;201&lt;/deviceNetwork&gt;
&lt;deviceNode&gt;56&lt;/deviceNode&gt;
&lt;/device&gt;</v>
      </c>
      <c r="AE37" s="56" t="str">
        <f t="shared" si="11"/>
        <v/>
      </c>
      <c r="AF37" s="56" t="str">
        <f t="shared" si="12"/>
        <v/>
      </c>
      <c r="AG37" s="56" t="str">
        <f t="shared" si="13"/>
        <v/>
      </c>
      <c r="AH37" s="56" t="str">
        <f t="shared" si="14"/>
        <v/>
      </c>
      <c r="AI37" s="56" t="str">
        <f t="shared" si="15"/>
        <v/>
      </c>
      <c r="AJ37" s="56" t="str">
        <f t="shared" si="16"/>
        <v/>
      </c>
      <c r="AK37" s="56" t="str">
        <f t="shared" si="17"/>
        <v/>
      </c>
      <c r="AL37" s="56" t="str">
        <f t="shared" si="18"/>
        <v/>
      </c>
      <c r="AM37" s="56" t="str">
        <f t="shared" si="19"/>
        <v/>
      </c>
      <c r="AN37" s="56" t="str">
        <f t="shared" si="47"/>
        <v/>
      </c>
      <c r="AO37" s="56" t="str">
        <f t="shared" si="48"/>
        <v/>
      </c>
      <c r="AP37" s="56" t="str">
        <f t="shared" si="49"/>
        <v>PLC</v>
      </c>
      <c r="AQ37" s="56" t="str">
        <f t="shared" si="50"/>
        <v>ENTRY</v>
      </c>
      <c r="AR37" s="39" t="s">
        <v>130</v>
      </c>
      <c r="AT37" s="44" t="str">
        <f t="shared" si="51"/>
        <v>BOOL</v>
      </c>
      <c r="AU37" s="23">
        <f t="shared" si="52"/>
        <v>0</v>
      </c>
      <c r="AV37" s="23" t="str">
        <f t="shared" si="53"/>
        <v>Q</v>
      </c>
      <c r="AW37" s="23" t="str">
        <f t="shared" si="54"/>
        <v xml:space="preserve">Q.: </v>
      </c>
      <c r="AX37" s="23" t="str">
        <f t="shared" si="55"/>
        <v>ENBT200:1:O.Data[84].14</v>
      </c>
      <c r="AY37" s="36" t="str">
        <f t="shared" si="56"/>
        <v xml:space="preserve">Controller: &lt;O0201N51.b79&gt; - </v>
      </c>
      <c r="BB37" s="42" t="s">
        <v>15</v>
      </c>
      <c r="BC37" t="s">
        <v>16</v>
      </c>
      <c r="BD37" t="str">
        <f t="shared" si="60"/>
        <v>AB_RACKx_SLOTa</v>
      </c>
      <c r="BT37" t="str">
        <f>Prep!$L$5</f>
        <v/>
      </c>
      <c r="BV37" s="30" t="s">
        <v>467</v>
      </c>
      <c r="BW37" t="str">
        <f t="shared" si="58"/>
        <v>DI[79]</v>
      </c>
      <c r="BX37" t="s">
        <v>412</v>
      </c>
      <c r="BY37" s="42"/>
      <c r="CB37" s="42"/>
      <c r="CE37" s="30"/>
      <c r="CH37" s="42"/>
      <c r="CJ37" t="str">
        <f>Prep!$U$3&amp;":O.Data["&amp;Prep!$U$7+2&amp;"]."</f>
        <v>ENBT200:1:O.Data[84].</v>
      </c>
      <c r="CK37">
        <v>14</v>
      </c>
      <c r="CM37" t="s">
        <v>75</v>
      </c>
      <c r="CN37" s="30" t="str">
        <f>"O0"&amp;Header_Config03&amp;"N"&amp;TEXT(Prep!$U$6,"00")&amp;"."</f>
        <v>O0201N51.</v>
      </c>
      <c r="CO37" t="s">
        <v>468</v>
      </c>
      <c r="CP37" t="s">
        <v>12</v>
      </c>
      <c r="CQ37" s="40"/>
      <c r="CR37" s="30" t="s">
        <v>469</v>
      </c>
    </row>
    <row r="38" spans="2:96" x14ac:dyDescent="0.35">
      <c r="B38" s="4" t="str">
        <f t="shared" si="28"/>
        <v>FANUC_SxxRyy</v>
      </c>
      <c r="C38" s="4"/>
      <c r="D38" s="4" t="str">
        <f t="shared" si="29"/>
        <v>From_PLC_PickTool8</v>
      </c>
      <c r="E38" s="4" t="str">
        <f t="shared" si="30"/>
        <v>ENBT200:1:O.Data[84].15</v>
      </c>
      <c r="F38" s="4" t="str">
        <f t="shared" si="31"/>
        <v>Q</v>
      </c>
      <c r="G38" s="4" t="str">
        <f t="shared" si="32"/>
        <v/>
      </c>
      <c r="H38" s="4" t="str">
        <f t="shared" si="33"/>
        <v>Controller: &lt;O0201N51.b80&gt; - PICK TOOL BIT 8 DI80</v>
      </c>
      <c r="I38" s="4" t="str">
        <f t="shared" si="34"/>
        <v>AB_RACKx_SLOTa</v>
      </c>
      <c r="J38" s="4"/>
      <c r="K38" s="56" t="str">
        <f t="shared" si="35"/>
        <v>BOOL</v>
      </c>
      <c r="L38" s="56" t="str">
        <f t="shared" si="4"/>
        <v>ROBOTS\SxxRyy</v>
      </c>
      <c r="M38" s="56" t="str">
        <f t="shared" si="5"/>
        <v>STELLANTIS\Common\ToolPrototype\Robots</v>
      </c>
      <c r="N38" s="56" t="str">
        <f t="shared" si="6"/>
        <v>STELLANTIS_DN_FANUC_ROBOT_128_BIT_INTEGRATED_SAFETY_SxxRyy.v00</v>
      </c>
      <c r="O38" s="56" t="str">
        <f t="shared" si="36"/>
        <v/>
      </c>
      <c r="P38" s="56" t="str">
        <f t="shared" si="37"/>
        <v/>
      </c>
      <c r="Q38" s="56" t="str">
        <f t="shared" si="38"/>
        <v/>
      </c>
      <c r="R38" s="56" t="str">
        <f t="shared" si="39"/>
        <v/>
      </c>
      <c r="S38" s="56" t="str">
        <f t="shared" si="40"/>
        <v/>
      </c>
      <c r="T38" s="56" t="str">
        <f t="shared" si="41"/>
        <v/>
      </c>
      <c r="U38" s="56" t="str">
        <f t="shared" si="42"/>
        <v/>
      </c>
      <c r="V38" s="56" t="str">
        <f t="shared" si="43"/>
        <v/>
      </c>
      <c r="W38" s="56"/>
      <c r="X38" s="56"/>
      <c r="Y38" s="56"/>
      <c r="Z38" s="56" t="str">
        <f t="shared" si="44"/>
        <v/>
      </c>
      <c r="AA38" s="56" t="str">
        <f t="shared" si="45"/>
        <v/>
      </c>
      <c r="AB38" s="56" t="str">
        <f t="shared" si="9"/>
        <v>ToolPrototype</v>
      </c>
      <c r="AC38" s="56" t="str">
        <f t="shared" si="46"/>
        <v>Optional</v>
      </c>
      <c r="AD38" s="56" t="str">
        <f t="shared" si="10"/>
        <v>&lt;device&gt;
&lt;name&gt;SxxRyy&lt;/name&gt;
&lt;type&gt;FCA_DN_FANUC&lt;/type&gt;
&lt;deviceNetwork&gt;201&lt;/deviceNetwork&gt;
&lt;deviceNode&gt;56&lt;/deviceNode&gt;
&lt;/device&gt;</v>
      </c>
      <c r="AE38" s="56" t="str">
        <f t="shared" si="11"/>
        <v/>
      </c>
      <c r="AF38" s="56" t="str">
        <f t="shared" si="12"/>
        <v/>
      </c>
      <c r="AG38" s="56" t="str">
        <f t="shared" si="13"/>
        <v/>
      </c>
      <c r="AH38" s="56" t="str">
        <f t="shared" si="14"/>
        <v/>
      </c>
      <c r="AI38" s="56" t="str">
        <f t="shared" si="15"/>
        <v/>
      </c>
      <c r="AJ38" s="56" t="str">
        <f t="shared" si="16"/>
        <v/>
      </c>
      <c r="AK38" s="56" t="str">
        <f t="shared" si="17"/>
        <v/>
      </c>
      <c r="AL38" s="56" t="str">
        <f t="shared" si="18"/>
        <v/>
      </c>
      <c r="AM38" s="56" t="str">
        <f t="shared" si="19"/>
        <v/>
      </c>
      <c r="AN38" s="56" t="str">
        <f t="shared" si="47"/>
        <v/>
      </c>
      <c r="AO38" s="56" t="str">
        <f t="shared" si="48"/>
        <v/>
      </c>
      <c r="AP38" s="56" t="str">
        <f t="shared" si="49"/>
        <v>PLC</v>
      </c>
      <c r="AQ38" s="56" t="str">
        <f t="shared" si="50"/>
        <v>ENTRY</v>
      </c>
      <c r="AR38" s="39" t="s">
        <v>130</v>
      </c>
      <c r="AT38" s="44" t="str">
        <f t="shared" si="51"/>
        <v>BOOL</v>
      </c>
      <c r="AU38" s="23">
        <f t="shared" si="52"/>
        <v>0</v>
      </c>
      <c r="AV38" s="23" t="str">
        <f t="shared" si="53"/>
        <v>Q</v>
      </c>
      <c r="AW38" s="23" t="str">
        <f t="shared" si="54"/>
        <v xml:space="preserve">Q.: </v>
      </c>
      <c r="AX38" s="23" t="str">
        <f t="shared" si="55"/>
        <v>ENBT200:1:O.Data[84].15</v>
      </c>
      <c r="AY38" s="36" t="str">
        <f t="shared" si="56"/>
        <v xml:space="preserve">Controller: &lt;O0201N51.b80&gt; - </v>
      </c>
      <c r="BB38" s="42" t="s">
        <v>15</v>
      </c>
      <c r="BC38" t="s">
        <v>16</v>
      </c>
      <c r="BD38" t="str">
        <f t="shared" si="60"/>
        <v>AB_RACKx_SLOTa</v>
      </c>
      <c r="BT38" t="str">
        <f>Prep!$L$5</f>
        <v/>
      </c>
      <c r="BV38" s="30" t="s">
        <v>470</v>
      </c>
      <c r="BW38" t="str">
        <f t="shared" si="58"/>
        <v>DI[80]</v>
      </c>
      <c r="BX38" t="s">
        <v>412</v>
      </c>
      <c r="BY38" s="42"/>
      <c r="CB38" s="42"/>
      <c r="CE38" s="30"/>
      <c r="CH38" s="42"/>
      <c r="CJ38" t="str">
        <f>Prep!$U$3&amp;":O.Data["&amp;Prep!$U$7+2&amp;"]."</f>
        <v>ENBT200:1:O.Data[84].</v>
      </c>
      <c r="CK38">
        <v>15</v>
      </c>
      <c r="CM38" t="s">
        <v>75</v>
      </c>
      <c r="CN38" s="30" t="str">
        <f>"O0"&amp;Header_Config03&amp;"N"&amp;TEXT(Prep!$U$6,"00")&amp;"."</f>
        <v>O0201N51.</v>
      </c>
      <c r="CO38" t="s">
        <v>471</v>
      </c>
      <c r="CP38" t="s">
        <v>12</v>
      </c>
      <c r="CQ38" s="40"/>
      <c r="CR38" s="30" t="s">
        <v>472</v>
      </c>
    </row>
    <row r="39" spans="2:96" x14ac:dyDescent="0.35">
      <c r="B39" s="4" t="str">
        <f t="shared" si="28"/>
        <v>FANUC_SxxRyy</v>
      </c>
      <c r="C39" s="4"/>
      <c r="D39" s="4" t="str">
        <f t="shared" si="29"/>
        <v>From_PLC_ToolingRepod1</v>
      </c>
      <c r="E39" s="4" t="str">
        <f t="shared" si="30"/>
        <v>ENBT200:1:O.Data[84].17</v>
      </c>
      <c r="F39" s="4" t="str">
        <f t="shared" si="31"/>
        <v>Q</v>
      </c>
      <c r="G39" s="4" t="str">
        <f t="shared" si="32"/>
        <v/>
      </c>
      <c r="H39" s="4" t="str">
        <f t="shared" si="33"/>
        <v>Controller: &lt;O0201N51.b82&gt; - TOOLING REPOSITIONED BIT 1 DI82</v>
      </c>
      <c r="I39" s="4" t="str">
        <f t="shared" si="34"/>
        <v>AB_RACKx_SLOTa</v>
      </c>
      <c r="J39" s="4"/>
      <c r="K39" s="56" t="str">
        <f t="shared" si="35"/>
        <v>BOOL</v>
      </c>
      <c r="L39" s="56" t="str">
        <f t="shared" si="4"/>
        <v>ROBOTS\SxxRyy</v>
      </c>
      <c r="M39" s="56" t="str">
        <f t="shared" si="5"/>
        <v>STELLANTIS\Common\ToolPrototype\Robots</v>
      </c>
      <c r="N39" s="56" t="str">
        <f t="shared" si="6"/>
        <v>STELLANTIS_DN_FANUC_ROBOT_128_BIT_INTEGRATED_SAFETY_SxxRyy.v00</v>
      </c>
      <c r="O39" s="56" t="str">
        <f t="shared" si="36"/>
        <v/>
      </c>
      <c r="P39" s="56" t="str">
        <f t="shared" si="37"/>
        <v/>
      </c>
      <c r="Q39" s="56" t="str">
        <f t="shared" si="38"/>
        <v/>
      </c>
      <c r="R39" s="56" t="str">
        <f t="shared" si="39"/>
        <v/>
      </c>
      <c r="S39" s="56" t="str">
        <f t="shared" si="40"/>
        <v/>
      </c>
      <c r="T39" s="56" t="str">
        <f t="shared" si="41"/>
        <v/>
      </c>
      <c r="U39" s="56" t="str">
        <f t="shared" si="42"/>
        <v/>
      </c>
      <c r="V39" s="56" t="str">
        <f t="shared" si="43"/>
        <v/>
      </c>
      <c r="W39" s="56"/>
      <c r="X39" s="56"/>
      <c r="Y39" s="56"/>
      <c r="Z39" s="56" t="str">
        <f t="shared" si="44"/>
        <v/>
      </c>
      <c r="AA39" s="56" t="str">
        <f t="shared" si="45"/>
        <v/>
      </c>
      <c r="AB39" s="56" t="str">
        <f t="shared" si="9"/>
        <v>ToolPrototype</v>
      </c>
      <c r="AC39" s="56" t="str">
        <f t="shared" si="46"/>
        <v/>
      </c>
      <c r="AD39" s="56" t="str">
        <f t="shared" si="10"/>
        <v>&lt;device&gt;
&lt;name&gt;SxxRyy&lt;/name&gt;
&lt;type&gt;FCA_DN_FANUC&lt;/type&gt;
&lt;deviceNetwork&gt;201&lt;/deviceNetwork&gt;
&lt;deviceNode&gt;56&lt;/deviceNode&gt;
&lt;/device&gt;</v>
      </c>
      <c r="AE39" s="56" t="str">
        <f t="shared" si="11"/>
        <v/>
      </c>
      <c r="AF39" s="56" t="str">
        <f t="shared" si="12"/>
        <v/>
      </c>
      <c r="AG39" s="56" t="str">
        <f t="shared" si="13"/>
        <v/>
      </c>
      <c r="AH39" s="56" t="str">
        <f t="shared" si="14"/>
        <v/>
      </c>
      <c r="AI39" s="56" t="str">
        <f t="shared" si="15"/>
        <v/>
      </c>
      <c r="AJ39" s="56" t="str">
        <f t="shared" si="16"/>
        <v/>
      </c>
      <c r="AK39" s="56" t="str">
        <f t="shared" si="17"/>
        <v/>
      </c>
      <c r="AL39" s="56" t="str">
        <f t="shared" si="18"/>
        <v/>
      </c>
      <c r="AM39" s="56" t="str">
        <f t="shared" si="19"/>
        <v/>
      </c>
      <c r="AN39" s="56" t="str">
        <f t="shared" si="47"/>
        <v/>
      </c>
      <c r="AO39" s="56" t="str">
        <f t="shared" si="48"/>
        <v/>
      </c>
      <c r="AP39" s="56" t="str">
        <f t="shared" si="49"/>
        <v>PLC</v>
      </c>
      <c r="AQ39" s="56" t="str">
        <f t="shared" si="50"/>
        <v>ENTRY</v>
      </c>
      <c r="AR39" s="39" t="s">
        <v>130</v>
      </c>
      <c r="AT39" s="44" t="str">
        <f t="shared" si="51"/>
        <v>BOOL</v>
      </c>
      <c r="AU39" s="23">
        <f t="shared" si="52"/>
        <v>0</v>
      </c>
      <c r="AV39" s="23" t="str">
        <f t="shared" si="53"/>
        <v>Q</v>
      </c>
      <c r="AW39" s="23" t="str">
        <f t="shared" si="54"/>
        <v xml:space="preserve">Q.: </v>
      </c>
      <c r="AX39" s="23" t="str">
        <f t="shared" si="55"/>
        <v>ENBT200:1:O.Data[84].17</v>
      </c>
      <c r="AY39" s="36" t="str">
        <f t="shared" si="56"/>
        <v xml:space="preserve">Controller: &lt;O0201N51.b82&gt; - </v>
      </c>
      <c r="BB39" s="42" t="s">
        <v>15</v>
      </c>
      <c r="BC39" t="s">
        <v>16</v>
      </c>
      <c r="BD39" t="str">
        <f t="shared" si="60"/>
        <v>AB_RACKx_SLOTa</v>
      </c>
      <c r="BV39" s="30" t="s">
        <v>473</v>
      </c>
      <c r="BW39" t="str">
        <f t="shared" si="58"/>
        <v>DI[82]</v>
      </c>
      <c r="BX39" t="s">
        <v>413</v>
      </c>
      <c r="BY39" s="42"/>
      <c r="CB39" s="42"/>
      <c r="CE39" s="30"/>
      <c r="CH39" s="42"/>
      <c r="CJ39" t="str">
        <f>Prep!$U$3&amp;":O.Data["&amp;Prep!$U$7+2&amp;"]."</f>
        <v>ENBT200:1:O.Data[84].</v>
      </c>
      <c r="CK39">
        <v>17</v>
      </c>
      <c r="CM39" t="s">
        <v>75</v>
      </c>
      <c r="CN39" s="30" t="str">
        <f>"O0"&amp;Header_Config03&amp;"N"&amp;TEXT(Prep!$U$6,"00")&amp;"."</f>
        <v>O0201N51.</v>
      </c>
      <c r="CO39" t="s">
        <v>474</v>
      </c>
      <c r="CP39" t="s">
        <v>12</v>
      </c>
      <c r="CQ39" s="40"/>
      <c r="CR39" s="30" t="s">
        <v>475</v>
      </c>
    </row>
    <row r="40" spans="2:96" x14ac:dyDescent="0.35">
      <c r="B40" s="4" t="str">
        <f t="shared" si="28"/>
        <v>FANUC_SxxRyy</v>
      </c>
      <c r="C40" s="4"/>
      <c r="D40" s="4" t="str">
        <f t="shared" si="29"/>
        <v>From_PLC_ToolingRepod2</v>
      </c>
      <c r="E40" s="4" t="str">
        <f t="shared" si="30"/>
        <v>ENBT200:1:O.Data[84].18</v>
      </c>
      <c r="F40" s="4" t="str">
        <f t="shared" si="31"/>
        <v>Q</v>
      </c>
      <c r="G40" s="4" t="str">
        <f t="shared" si="32"/>
        <v/>
      </c>
      <c r="H40" s="4" t="str">
        <f t="shared" si="33"/>
        <v>Controller: &lt;O0201N51.b83&gt; - TOOLING REPOSITIONED BIT 2 DI83</v>
      </c>
      <c r="I40" s="4" t="str">
        <f t="shared" si="34"/>
        <v>AB_RACKx_SLOTa</v>
      </c>
      <c r="J40" s="4"/>
      <c r="K40" s="56" t="str">
        <f t="shared" si="35"/>
        <v>BOOL</v>
      </c>
      <c r="L40" s="56" t="str">
        <f t="shared" si="4"/>
        <v>ROBOTS\SxxRyy</v>
      </c>
      <c r="M40" s="56" t="str">
        <f t="shared" si="5"/>
        <v>STELLANTIS\Common\ToolPrototype\Robots</v>
      </c>
      <c r="N40" s="56" t="str">
        <f t="shared" si="6"/>
        <v>STELLANTIS_DN_FANUC_ROBOT_128_BIT_INTEGRATED_SAFETY_SxxRyy.v00</v>
      </c>
      <c r="O40" s="56" t="str">
        <f t="shared" si="36"/>
        <v/>
      </c>
      <c r="P40" s="56" t="str">
        <f t="shared" si="37"/>
        <v/>
      </c>
      <c r="Q40" s="56" t="str">
        <f t="shared" si="38"/>
        <v/>
      </c>
      <c r="R40" s="56" t="str">
        <f t="shared" si="39"/>
        <v/>
      </c>
      <c r="S40" s="56" t="str">
        <f t="shared" si="40"/>
        <v/>
      </c>
      <c r="T40" s="56" t="str">
        <f t="shared" si="41"/>
        <v/>
      </c>
      <c r="U40" s="56" t="str">
        <f t="shared" si="42"/>
        <v/>
      </c>
      <c r="V40" s="56" t="str">
        <f t="shared" si="43"/>
        <v/>
      </c>
      <c r="W40" s="56"/>
      <c r="X40" s="56"/>
      <c r="Y40" s="56"/>
      <c r="Z40" s="56" t="str">
        <f t="shared" si="44"/>
        <v/>
      </c>
      <c r="AA40" s="56" t="str">
        <f t="shared" si="45"/>
        <v/>
      </c>
      <c r="AB40" s="56" t="str">
        <f t="shared" si="9"/>
        <v>ToolPrototype</v>
      </c>
      <c r="AC40" s="56" t="str">
        <f t="shared" si="46"/>
        <v/>
      </c>
      <c r="AD40" s="56" t="str">
        <f t="shared" si="10"/>
        <v>&lt;device&gt;
&lt;name&gt;SxxRyy&lt;/name&gt;
&lt;type&gt;FCA_DN_FANUC&lt;/type&gt;
&lt;deviceNetwork&gt;201&lt;/deviceNetwork&gt;
&lt;deviceNode&gt;56&lt;/deviceNode&gt;
&lt;/device&gt;</v>
      </c>
      <c r="AE40" s="56" t="str">
        <f t="shared" si="11"/>
        <v/>
      </c>
      <c r="AF40" s="56" t="str">
        <f t="shared" si="12"/>
        <v/>
      </c>
      <c r="AG40" s="56" t="str">
        <f t="shared" si="13"/>
        <v/>
      </c>
      <c r="AH40" s="56" t="str">
        <f t="shared" si="14"/>
        <v/>
      </c>
      <c r="AI40" s="56" t="str">
        <f t="shared" si="15"/>
        <v/>
      </c>
      <c r="AJ40" s="56" t="str">
        <f t="shared" si="16"/>
        <v/>
      </c>
      <c r="AK40" s="56" t="str">
        <f t="shared" si="17"/>
        <v/>
      </c>
      <c r="AL40" s="56" t="str">
        <f t="shared" si="18"/>
        <v/>
      </c>
      <c r="AM40" s="56" t="str">
        <f t="shared" si="19"/>
        <v/>
      </c>
      <c r="AN40" s="56" t="str">
        <f t="shared" si="47"/>
        <v/>
      </c>
      <c r="AO40" s="56" t="str">
        <f t="shared" si="48"/>
        <v/>
      </c>
      <c r="AP40" s="56" t="str">
        <f t="shared" si="49"/>
        <v>PLC</v>
      </c>
      <c r="AQ40" s="56" t="str">
        <f t="shared" si="50"/>
        <v>ENTRY</v>
      </c>
      <c r="AR40" s="39" t="s">
        <v>130</v>
      </c>
      <c r="AT40" s="44" t="str">
        <f t="shared" si="51"/>
        <v>BOOL</v>
      </c>
      <c r="AU40" s="23">
        <f t="shared" si="52"/>
        <v>0</v>
      </c>
      <c r="AV40" s="23" t="str">
        <f t="shared" si="53"/>
        <v>Q</v>
      </c>
      <c r="AW40" s="23" t="str">
        <f t="shared" si="54"/>
        <v xml:space="preserve">Q.: </v>
      </c>
      <c r="AX40" s="23" t="str">
        <f t="shared" si="55"/>
        <v>ENBT200:1:O.Data[84].18</v>
      </c>
      <c r="AY40" s="36" t="str">
        <f t="shared" si="56"/>
        <v xml:space="preserve">Controller: &lt;O0201N51.b83&gt; - </v>
      </c>
      <c r="BB40" s="42" t="s">
        <v>15</v>
      </c>
      <c r="BC40" t="s">
        <v>16</v>
      </c>
      <c r="BD40" t="str">
        <f t="shared" si="60"/>
        <v>AB_RACKx_SLOTa</v>
      </c>
      <c r="BV40" s="30" t="s">
        <v>476</v>
      </c>
      <c r="BW40" t="str">
        <f t="shared" si="58"/>
        <v>DI[83]</v>
      </c>
      <c r="BX40" t="s">
        <v>413</v>
      </c>
      <c r="BY40" s="42"/>
      <c r="CB40" s="42"/>
      <c r="CE40" s="30"/>
      <c r="CH40" s="42"/>
      <c r="CJ40" t="str">
        <f>Prep!$U$3&amp;":O.Data["&amp;Prep!$U$7+2&amp;"]."</f>
        <v>ENBT200:1:O.Data[84].</v>
      </c>
      <c r="CK40">
        <v>18</v>
      </c>
      <c r="CM40" t="s">
        <v>75</v>
      </c>
      <c r="CN40" s="30" t="str">
        <f>"O0"&amp;Header_Config03&amp;"N"&amp;TEXT(Prep!$U$6,"00")&amp;"."</f>
        <v>O0201N51.</v>
      </c>
      <c r="CO40" t="s">
        <v>477</v>
      </c>
      <c r="CP40" t="s">
        <v>12</v>
      </c>
      <c r="CQ40" s="40"/>
      <c r="CR40" s="30" t="s">
        <v>478</v>
      </c>
    </row>
    <row r="41" spans="2:96" x14ac:dyDescent="0.35">
      <c r="B41" s="4" t="str">
        <f t="shared" si="28"/>
        <v>FANUC_SxxRyy</v>
      </c>
      <c r="C41" s="4"/>
      <c r="D41" s="4" t="str">
        <f t="shared" si="29"/>
        <v>From_PLC_ToolingRepod4</v>
      </c>
      <c r="E41" s="4" t="str">
        <f t="shared" si="30"/>
        <v>ENBT200:1:O.Data[84].19</v>
      </c>
      <c r="F41" s="4" t="str">
        <f t="shared" si="31"/>
        <v>Q</v>
      </c>
      <c r="G41" s="4" t="str">
        <f t="shared" si="32"/>
        <v/>
      </c>
      <c r="H41" s="4" t="str">
        <f t="shared" si="33"/>
        <v>Controller: &lt;O0201N51.b84&gt; - TOOLING REPOSITIONED BIT 4 DI84</v>
      </c>
      <c r="I41" s="4" t="str">
        <f t="shared" si="34"/>
        <v>AB_RACKx_SLOTa</v>
      </c>
      <c r="J41" s="4"/>
      <c r="K41" s="56" t="str">
        <f t="shared" si="35"/>
        <v>BOOL</v>
      </c>
      <c r="L41" s="56" t="str">
        <f t="shared" si="4"/>
        <v>ROBOTS\SxxRyy</v>
      </c>
      <c r="M41" s="56" t="str">
        <f t="shared" si="5"/>
        <v>STELLANTIS\Common\ToolPrototype\Robots</v>
      </c>
      <c r="N41" s="56" t="str">
        <f t="shared" si="6"/>
        <v>STELLANTIS_DN_FANUC_ROBOT_128_BIT_INTEGRATED_SAFETY_SxxRyy.v00</v>
      </c>
      <c r="O41" s="56" t="str">
        <f t="shared" si="36"/>
        <v/>
      </c>
      <c r="P41" s="56" t="str">
        <f t="shared" si="37"/>
        <v/>
      </c>
      <c r="Q41" s="56" t="str">
        <f t="shared" si="38"/>
        <v/>
      </c>
      <c r="R41" s="56" t="str">
        <f t="shared" si="39"/>
        <v/>
      </c>
      <c r="S41" s="56" t="str">
        <f t="shared" si="40"/>
        <v/>
      </c>
      <c r="T41" s="56" t="str">
        <f t="shared" si="41"/>
        <v/>
      </c>
      <c r="U41" s="56" t="str">
        <f t="shared" si="42"/>
        <v/>
      </c>
      <c r="V41" s="56" t="str">
        <f t="shared" si="43"/>
        <v/>
      </c>
      <c r="W41" s="56"/>
      <c r="X41" s="56"/>
      <c r="Y41" s="56"/>
      <c r="Z41" s="56" t="str">
        <f t="shared" si="44"/>
        <v/>
      </c>
      <c r="AA41" s="56" t="str">
        <f t="shared" si="45"/>
        <v/>
      </c>
      <c r="AB41" s="56" t="str">
        <f t="shared" si="9"/>
        <v>ToolPrototype</v>
      </c>
      <c r="AC41" s="56" t="str">
        <f t="shared" si="46"/>
        <v/>
      </c>
      <c r="AD41" s="56" t="str">
        <f t="shared" si="10"/>
        <v>&lt;device&gt;
&lt;name&gt;SxxRyy&lt;/name&gt;
&lt;type&gt;FCA_DN_FANUC&lt;/type&gt;
&lt;deviceNetwork&gt;201&lt;/deviceNetwork&gt;
&lt;deviceNode&gt;56&lt;/deviceNode&gt;
&lt;/device&gt;</v>
      </c>
      <c r="AE41" s="56" t="str">
        <f t="shared" si="11"/>
        <v/>
      </c>
      <c r="AF41" s="56" t="str">
        <f t="shared" si="12"/>
        <v/>
      </c>
      <c r="AG41" s="56" t="str">
        <f t="shared" si="13"/>
        <v/>
      </c>
      <c r="AH41" s="56" t="str">
        <f t="shared" si="14"/>
        <v/>
      </c>
      <c r="AI41" s="56" t="str">
        <f t="shared" si="15"/>
        <v/>
      </c>
      <c r="AJ41" s="56" t="str">
        <f t="shared" si="16"/>
        <v/>
      </c>
      <c r="AK41" s="56" t="str">
        <f t="shared" si="17"/>
        <v/>
      </c>
      <c r="AL41" s="56" t="str">
        <f t="shared" si="18"/>
        <v/>
      </c>
      <c r="AM41" s="56" t="str">
        <f t="shared" si="19"/>
        <v/>
      </c>
      <c r="AN41" s="56" t="str">
        <f t="shared" si="47"/>
        <v/>
      </c>
      <c r="AO41" s="56" t="str">
        <f t="shared" si="48"/>
        <v/>
      </c>
      <c r="AP41" s="56" t="str">
        <f t="shared" si="49"/>
        <v>PLC</v>
      </c>
      <c r="AQ41" s="56" t="str">
        <f t="shared" si="50"/>
        <v>ENTRY</v>
      </c>
      <c r="AR41" s="39" t="s">
        <v>130</v>
      </c>
      <c r="AT41" s="44" t="str">
        <f t="shared" si="51"/>
        <v>BOOL</v>
      </c>
      <c r="AU41" s="23">
        <f t="shared" si="52"/>
        <v>0</v>
      </c>
      <c r="AV41" s="23" t="str">
        <f t="shared" si="53"/>
        <v>Q</v>
      </c>
      <c r="AW41" s="23" t="str">
        <f t="shared" si="54"/>
        <v xml:space="preserve">Q.: </v>
      </c>
      <c r="AX41" s="23" t="str">
        <f t="shared" si="55"/>
        <v>ENBT200:1:O.Data[84].19</v>
      </c>
      <c r="AY41" s="36" t="str">
        <f t="shared" si="56"/>
        <v xml:space="preserve">Controller: &lt;O0201N51.b84&gt; - </v>
      </c>
      <c r="BB41" s="42" t="s">
        <v>15</v>
      </c>
      <c r="BC41" t="s">
        <v>16</v>
      </c>
      <c r="BD41" t="str">
        <f t="shared" si="60"/>
        <v>AB_RACKx_SLOTa</v>
      </c>
      <c r="BV41" s="30" t="s">
        <v>479</v>
      </c>
      <c r="BW41" t="str">
        <f t="shared" si="58"/>
        <v>DI[84]</v>
      </c>
      <c r="BX41" t="s">
        <v>413</v>
      </c>
      <c r="BY41" s="42"/>
      <c r="CB41" s="42"/>
      <c r="CE41" s="30"/>
      <c r="CH41" s="42"/>
      <c r="CJ41" t="str">
        <f>Prep!$U$3&amp;":O.Data["&amp;Prep!$U$7+2&amp;"]."</f>
        <v>ENBT200:1:O.Data[84].</v>
      </c>
      <c r="CK41">
        <v>19</v>
      </c>
      <c r="CM41" t="s">
        <v>75</v>
      </c>
      <c r="CN41" s="30" t="str">
        <f>"O0"&amp;Header_Config03&amp;"N"&amp;TEXT(Prep!$U$6,"00")&amp;"."</f>
        <v>O0201N51.</v>
      </c>
      <c r="CO41" t="s">
        <v>480</v>
      </c>
      <c r="CP41" t="s">
        <v>12</v>
      </c>
      <c r="CQ41" s="40"/>
      <c r="CR41" s="30" t="s">
        <v>481</v>
      </c>
    </row>
    <row r="42" spans="2:96" x14ac:dyDescent="0.35">
      <c r="B42" s="4" t="str">
        <f t="shared" si="28"/>
        <v>FANUC_SxxRyy</v>
      </c>
      <c r="C42" s="4"/>
      <c r="D42" s="4" t="str">
        <f t="shared" si="29"/>
        <v>From_PLC_PalletPosBit1</v>
      </c>
      <c r="E42" s="4" t="str">
        <f t="shared" si="30"/>
        <v>ENBT200:1:O.Data[84].20</v>
      </c>
      <c r="F42" s="4" t="str">
        <f t="shared" si="31"/>
        <v>Q</v>
      </c>
      <c r="G42" s="4" t="str">
        <f t="shared" si="32"/>
        <v/>
      </c>
      <c r="H42" s="4" t="str">
        <f t="shared" si="33"/>
        <v>Controller: &lt;O0201N51.b85&gt; - PALLET IN POSITION 1 DI85</v>
      </c>
      <c r="I42" s="4" t="str">
        <f t="shared" si="34"/>
        <v>AB_RACKx_SLOTa</v>
      </c>
      <c r="J42" s="4"/>
      <c r="K42" s="56" t="str">
        <f t="shared" si="35"/>
        <v>BOOL</v>
      </c>
      <c r="L42" s="56" t="str">
        <f t="shared" si="4"/>
        <v>ROBOTS\SxxRyy</v>
      </c>
      <c r="M42" s="56" t="str">
        <f t="shared" si="5"/>
        <v>STELLANTIS\Common\ToolPrototype\Robots</v>
      </c>
      <c r="N42" s="56" t="str">
        <f t="shared" si="6"/>
        <v>STELLANTIS_DN_FANUC_ROBOT_128_BIT_INTEGRATED_SAFETY_SxxRyy.v00</v>
      </c>
      <c r="O42" s="56" t="str">
        <f t="shared" si="36"/>
        <v/>
      </c>
      <c r="P42" s="56" t="str">
        <f t="shared" si="37"/>
        <v/>
      </c>
      <c r="Q42" s="56" t="str">
        <f t="shared" si="38"/>
        <v/>
      </c>
      <c r="R42" s="56" t="str">
        <f t="shared" si="39"/>
        <v/>
      </c>
      <c r="S42" s="56" t="str">
        <f t="shared" si="40"/>
        <v/>
      </c>
      <c r="T42" s="56" t="str">
        <f t="shared" si="41"/>
        <v/>
      </c>
      <c r="U42" s="56" t="str">
        <f t="shared" si="42"/>
        <v/>
      </c>
      <c r="V42" s="56" t="str">
        <f t="shared" si="43"/>
        <v/>
      </c>
      <c r="W42" s="56"/>
      <c r="X42" s="56"/>
      <c r="Y42" s="56"/>
      <c r="Z42" s="56" t="str">
        <f t="shared" si="44"/>
        <v/>
      </c>
      <c r="AA42" s="56" t="str">
        <f t="shared" si="45"/>
        <v/>
      </c>
      <c r="AB42" s="56" t="str">
        <f t="shared" si="9"/>
        <v>ToolPrototype</v>
      </c>
      <c r="AC42" s="56" t="str">
        <f t="shared" si="46"/>
        <v>Optional</v>
      </c>
      <c r="AD42" s="56" t="str">
        <f t="shared" si="10"/>
        <v>&lt;device&gt;
&lt;name&gt;SxxRyy&lt;/name&gt;
&lt;type&gt;FCA_DN_FANUC&lt;/type&gt;
&lt;deviceNetwork&gt;201&lt;/deviceNetwork&gt;
&lt;deviceNode&gt;56&lt;/deviceNode&gt;
&lt;/device&gt;</v>
      </c>
      <c r="AE42" s="56" t="str">
        <f t="shared" si="11"/>
        <v/>
      </c>
      <c r="AF42" s="56" t="str">
        <f t="shared" si="12"/>
        <v/>
      </c>
      <c r="AG42" s="56" t="str">
        <f t="shared" si="13"/>
        <v/>
      </c>
      <c r="AH42" s="56" t="str">
        <f t="shared" si="14"/>
        <v/>
      </c>
      <c r="AI42" s="56" t="str">
        <f t="shared" si="15"/>
        <v/>
      </c>
      <c r="AJ42" s="56" t="str">
        <f t="shared" si="16"/>
        <v/>
      </c>
      <c r="AK42" s="56" t="str">
        <f t="shared" si="17"/>
        <v/>
      </c>
      <c r="AL42" s="56" t="str">
        <f t="shared" si="18"/>
        <v/>
      </c>
      <c r="AM42" s="56" t="str">
        <f t="shared" si="19"/>
        <v/>
      </c>
      <c r="AN42" s="56" t="str">
        <f t="shared" si="47"/>
        <v/>
      </c>
      <c r="AO42" s="56" t="str">
        <f t="shared" si="48"/>
        <v/>
      </c>
      <c r="AP42" s="56" t="str">
        <f t="shared" si="49"/>
        <v>PLC</v>
      </c>
      <c r="AQ42" s="56" t="str">
        <f t="shared" si="50"/>
        <v>ENTRY</v>
      </c>
      <c r="AR42" s="39" t="s">
        <v>130</v>
      </c>
      <c r="AT42" s="44" t="str">
        <f t="shared" si="51"/>
        <v>BOOL</v>
      </c>
      <c r="AU42" s="23">
        <f t="shared" si="52"/>
        <v>0</v>
      </c>
      <c r="AV42" s="23" t="str">
        <f t="shared" si="53"/>
        <v>Q</v>
      </c>
      <c r="AW42" s="23" t="str">
        <f t="shared" si="54"/>
        <v xml:space="preserve">Q.: </v>
      </c>
      <c r="AX42" s="23" t="str">
        <f t="shared" si="55"/>
        <v>ENBT200:1:O.Data[84].20</v>
      </c>
      <c r="AY42" s="36" t="str">
        <f t="shared" si="56"/>
        <v xml:space="preserve">Controller: &lt;O0201N51.b85&gt; - </v>
      </c>
      <c r="BB42" s="42" t="s">
        <v>15</v>
      </c>
      <c r="BC42" t="s">
        <v>16</v>
      </c>
      <c r="BD42" t="str">
        <f t="shared" si="60"/>
        <v>AB_RACKx_SLOTa</v>
      </c>
      <c r="BT42" t="str">
        <f>Prep!$L$6</f>
        <v/>
      </c>
      <c r="BV42" s="30" t="s">
        <v>482</v>
      </c>
      <c r="BW42" t="str">
        <f t="shared" si="58"/>
        <v>DI[85]</v>
      </c>
      <c r="BX42" t="s">
        <v>414</v>
      </c>
      <c r="BY42" s="42"/>
      <c r="CB42" s="42"/>
      <c r="CE42" s="30"/>
      <c r="CH42" s="42"/>
      <c r="CJ42" t="str">
        <f>Prep!$U$3&amp;":O.Data["&amp;Prep!$U$7+2&amp;"]."</f>
        <v>ENBT200:1:O.Data[84].</v>
      </c>
      <c r="CK42">
        <v>20</v>
      </c>
      <c r="CM42" t="s">
        <v>75</v>
      </c>
      <c r="CN42" s="30" t="str">
        <f>"O0"&amp;Header_Config03&amp;"N"&amp;TEXT(Prep!$U$6,"00")&amp;"."</f>
        <v>O0201N51.</v>
      </c>
      <c r="CO42" t="s">
        <v>483</v>
      </c>
      <c r="CP42" t="s">
        <v>12</v>
      </c>
      <c r="CQ42" s="40"/>
      <c r="CR42" s="30" t="s">
        <v>484</v>
      </c>
    </row>
    <row r="43" spans="2:96" x14ac:dyDescent="0.35">
      <c r="B43" s="4" t="str">
        <f t="shared" si="28"/>
        <v>FANUC_SxxRyy</v>
      </c>
      <c r="C43" s="4"/>
      <c r="D43" s="4" t="str">
        <f t="shared" si="29"/>
        <v>From_PLC_PalletPosBit2</v>
      </c>
      <c r="E43" s="4" t="str">
        <f t="shared" si="30"/>
        <v>ENBT200:1:O.Data[84].21</v>
      </c>
      <c r="F43" s="4" t="str">
        <f t="shared" si="31"/>
        <v>Q</v>
      </c>
      <c r="G43" s="4" t="str">
        <f t="shared" si="32"/>
        <v/>
      </c>
      <c r="H43" s="4" t="str">
        <f t="shared" si="33"/>
        <v>Controller: &lt;O0201N51.b86&gt; - PALLET IN POSITION 2 DI86</v>
      </c>
      <c r="I43" s="4" t="str">
        <f t="shared" si="34"/>
        <v>AB_RACKx_SLOTa</v>
      </c>
      <c r="J43" s="4"/>
      <c r="K43" s="56" t="str">
        <f t="shared" si="35"/>
        <v>BOOL</v>
      </c>
      <c r="L43" s="56" t="str">
        <f t="shared" si="4"/>
        <v>ROBOTS\SxxRyy</v>
      </c>
      <c r="M43" s="56" t="str">
        <f t="shared" si="5"/>
        <v>STELLANTIS\Common\ToolPrototype\Robots</v>
      </c>
      <c r="N43" s="56" t="str">
        <f t="shared" si="6"/>
        <v>STELLANTIS_DN_FANUC_ROBOT_128_BIT_INTEGRATED_SAFETY_SxxRyy.v00</v>
      </c>
      <c r="O43" s="56" t="str">
        <f t="shared" si="36"/>
        <v/>
      </c>
      <c r="P43" s="56" t="str">
        <f t="shared" si="37"/>
        <v/>
      </c>
      <c r="Q43" s="56" t="str">
        <f t="shared" si="38"/>
        <v/>
      </c>
      <c r="R43" s="56" t="str">
        <f t="shared" si="39"/>
        <v/>
      </c>
      <c r="S43" s="56" t="str">
        <f t="shared" si="40"/>
        <v/>
      </c>
      <c r="T43" s="56" t="str">
        <f t="shared" si="41"/>
        <v/>
      </c>
      <c r="U43" s="56" t="str">
        <f t="shared" si="42"/>
        <v/>
      </c>
      <c r="V43" s="56" t="str">
        <f t="shared" si="43"/>
        <v/>
      </c>
      <c r="W43" s="56"/>
      <c r="X43" s="56"/>
      <c r="Y43" s="56"/>
      <c r="Z43" s="56" t="str">
        <f t="shared" si="44"/>
        <v/>
      </c>
      <c r="AA43" s="56" t="str">
        <f t="shared" si="45"/>
        <v/>
      </c>
      <c r="AB43" s="56" t="str">
        <f t="shared" si="9"/>
        <v>ToolPrototype</v>
      </c>
      <c r="AC43" s="56" t="str">
        <f t="shared" si="46"/>
        <v>Optional</v>
      </c>
      <c r="AD43" s="56" t="str">
        <f t="shared" si="10"/>
        <v>&lt;device&gt;
&lt;name&gt;SxxRyy&lt;/name&gt;
&lt;type&gt;FCA_DN_FANUC&lt;/type&gt;
&lt;deviceNetwork&gt;201&lt;/deviceNetwork&gt;
&lt;deviceNode&gt;56&lt;/deviceNode&gt;
&lt;/device&gt;</v>
      </c>
      <c r="AE43" s="56" t="str">
        <f t="shared" si="11"/>
        <v/>
      </c>
      <c r="AF43" s="56" t="str">
        <f t="shared" si="12"/>
        <v/>
      </c>
      <c r="AG43" s="56" t="str">
        <f t="shared" si="13"/>
        <v/>
      </c>
      <c r="AH43" s="56" t="str">
        <f t="shared" si="14"/>
        <v/>
      </c>
      <c r="AI43" s="56" t="str">
        <f t="shared" si="15"/>
        <v/>
      </c>
      <c r="AJ43" s="56" t="str">
        <f t="shared" si="16"/>
        <v/>
      </c>
      <c r="AK43" s="56" t="str">
        <f t="shared" si="17"/>
        <v/>
      </c>
      <c r="AL43" s="56" t="str">
        <f t="shared" si="18"/>
        <v/>
      </c>
      <c r="AM43" s="56" t="str">
        <f t="shared" si="19"/>
        <v/>
      </c>
      <c r="AN43" s="56" t="str">
        <f t="shared" si="47"/>
        <v/>
      </c>
      <c r="AO43" s="56" t="str">
        <f t="shared" si="48"/>
        <v/>
      </c>
      <c r="AP43" s="56" t="str">
        <f t="shared" si="49"/>
        <v>PLC</v>
      </c>
      <c r="AQ43" s="56" t="str">
        <f t="shared" si="50"/>
        <v>ENTRY</v>
      </c>
      <c r="AR43" s="39" t="s">
        <v>130</v>
      </c>
      <c r="AT43" s="44" t="str">
        <f t="shared" si="51"/>
        <v>BOOL</v>
      </c>
      <c r="AU43" s="23">
        <f t="shared" si="52"/>
        <v>0</v>
      </c>
      <c r="AV43" s="23" t="str">
        <f t="shared" si="53"/>
        <v>Q</v>
      </c>
      <c r="AW43" s="23" t="str">
        <f t="shared" si="54"/>
        <v xml:space="preserve">Q.: </v>
      </c>
      <c r="AX43" s="23" t="str">
        <f t="shared" si="55"/>
        <v>ENBT200:1:O.Data[84].21</v>
      </c>
      <c r="AY43" s="36" t="str">
        <f t="shared" si="56"/>
        <v xml:space="preserve">Controller: &lt;O0201N51.b86&gt; - </v>
      </c>
      <c r="BB43" s="42" t="s">
        <v>15</v>
      </c>
      <c r="BC43" t="s">
        <v>16</v>
      </c>
      <c r="BD43" t="str">
        <f t="shared" si="60"/>
        <v>AB_RACKx_SLOTa</v>
      </c>
      <c r="BT43" t="str">
        <f>Prep!$L$6</f>
        <v/>
      </c>
      <c r="BV43" s="30" t="s">
        <v>485</v>
      </c>
      <c r="BW43" t="str">
        <f t="shared" si="58"/>
        <v>DI[86]</v>
      </c>
      <c r="BX43" t="s">
        <v>414</v>
      </c>
      <c r="BY43" s="42"/>
      <c r="CB43" s="42"/>
      <c r="CE43" s="30"/>
      <c r="CH43" s="42"/>
      <c r="CJ43" t="str">
        <f>Prep!$U$3&amp;":O.Data["&amp;Prep!$U$7+2&amp;"]."</f>
        <v>ENBT200:1:O.Data[84].</v>
      </c>
      <c r="CK43">
        <v>21</v>
      </c>
      <c r="CM43" t="s">
        <v>75</v>
      </c>
      <c r="CN43" s="30" t="str">
        <f>"O0"&amp;Header_Config03&amp;"N"&amp;TEXT(Prep!$U$6,"00")&amp;"."</f>
        <v>O0201N51.</v>
      </c>
      <c r="CO43" t="s">
        <v>486</v>
      </c>
      <c r="CP43" t="s">
        <v>12</v>
      </c>
      <c r="CQ43" s="40"/>
      <c r="CR43" s="30" t="s">
        <v>487</v>
      </c>
    </row>
    <row r="44" spans="2:96" x14ac:dyDescent="0.35">
      <c r="B44" s="4" t="str">
        <f t="shared" si="28"/>
        <v>FANUC_SxxRyy</v>
      </c>
      <c r="C44" s="4"/>
      <c r="D44" s="4" t="str">
        <f t="shared" si="29"/>
        <v>From_PLC_PalletPosBit4</v>
      </c>
      <c r="E44" s="4" t="str">
        <f t="shared" si="30"/>
        <v>ENBT200:1:O.Data[84].22</v>
      </c>
      <c r="F44" s="4" t="str">
        <f t="shared" si="31"/>
        <v>Q</v>
      </c>
      <c r="G44" s="4" t="str">
        <f t="shared" si="32"/>
        <v/>
      </c>
      <c r="H44" s="4" t="str">
        <f t="shared" si="33"/>
        <v>Controller: &lt;O0201N51.b87&gt; - PALLET IN POSITION 4 DI87</v>
      </c>
      <c r="I44" s="4" t="str">
        <f t="shared" si="34"/>
        <v>AB_RACKx_SLOTa</v>
      </c>
      <c r="J44" s="4"/>
      <c r="K44" s="56" t="str">
        <f t="shared" si="35"/>
        <v>BOOL</v>
      </c>
      <c r="L44" s="56" t="str">
        <f t="shared" si="4"/>
        <v>ROBOTS\SxxRyy</v>
      </c>
      <c r="M44" s="56" t="str">
        <f t="shared" si="5"/>
        <v>STELLANTIS\Common\ToolPrototype\Robots</v>
      </c>
      <c r="N44" s="56" t="str">
        <f t="shared" si="6"/>
        <v>STELLANTIS_DN_FANUC_ROBOT_128_BIT_INTEGRATED_SAFETY_SxxRyy.v00</v>
      </c>
      <c r="O44" s="56" t="str">
        <f t="shared" si="36"/>
        <v/>
      </c>
      <c r="P44" s="56" t="str">
        <f t="shared" si="37"/>
        <v/>
      </c>
      <c r="Q44" s="56" t="str">
        <f t="shared" si="38"/>
        <v/>
      </c>
      <c r="R44" s="56" t="str">
        <f t="shared" si="39"/>
        <v/>
      </c>
      <c r="S44" s="56" t="str">
        <f t="shared" si="40"/>
        <v/>
      </c>
      <c r="T44" s="56" t="str">
        <f t="shared" si="41"/>
        <v/>
      </c>
      <c r="U44" s="56" t="str">
        <f t="shared" si="42"/>
        <v/>
      </c>
      <c r="V44" s="56" t="str">
        <f t="shared" si="43"/>
        <v/>
      </c>
      <c r="W44" s="56"/>
      <c r="X44" s="56"/>
      <c r="Y44" s="56"/>
      <c r="Z44" s="56" t="str">
        <f t="shared" si="44"/>
        <v/>
      </c>
      <c r="AA44" s="56" t="str">
        <f t="shared" si="45"/>
        <v/>
      </c>
      <c r="AB44" s="56" t="str">
        <f t="shared" si="9"/>
        <v>ToolPrototype</v>
      </c>
      <c r="AC44" s="56" t="str">
        <f t="shared" si="46"/>
        <v>Optional</v>
      </c>
      <c r="AD44" s="56" t="str">
        <f t="shared" si="10"/>
        <v>&lt;device&gt;
&lt;name&gt;SxxRyy&lt;/name&gt;
&lt;type&gt;FCA_DN_FANUC&lt;/type&gt;
&lt;deviceNetwork&gt;201&lt;/deviceNetwork&gt;
&lt;deviceNode&gt;56&lt;/deviceNode&gt;
&lt;/device&gt;</v>
      </c>
      <c r="AE44" s="56" t="str">
        <f t="shared" si="11"/>
        <v/>
      </c>
      <c r="AF44" s="56" t="str">
        <f t="shared" si="12"/>
        <v/>
      </c>
      <c r="AG44" s="56" t="str">
        <f t="shared" si="13"/>
        <v/>
      </c>
      <c r="AH44" s="56" t="str">
        <f t="shared" si="14"/>
        <v/>
      </c>
      <c r="AI44" s="56" t="str">
        <f t="shared" si="15"/>
        <v/>
      </c>
      <c r="AJ44" s="56" t="str">
        <f t="shared" si="16"/>
        <v/>
      </c>
      <c r="AK44" s="56" t="str">
        <f t="shared" si="17"/>
        <v/>
      </c>
      <c r="AL44" s="56" t="str">
        <f t="shared" si="18"/>
        <v/>
      </c>
      <c r="AM44" s="56" t="str">
        <f t="shared" si="19"/>
        <v/>
      </c>
      <c r="AN44" s="56" t="str">
        <f t="shared" si="47"/>
        <v/>
      </c>
      <c r="AO44" s="56" t="str">
        <f t="shared" si="48"/>
        <v/>
      </c>
      <c r="AP44" s="56" t="str">
        <f t="shared" si="49"/>
        <v>PLC</v>
      </c>
      <c r="AQ44" s="56" t="str">
        <f t="shared" si="50"/>
        <v>ENTRY</v>
      </c>
      <c r="AR44" s="39" t="s">
        <v>130</v>
      </c>
      <c r="AT44" s="44" t="str">
        <f t="shared" si="51"/>
        <v>BOOL</v>
      </c>
      <c r="AU44" s="23">
        <f t="shared" si="52"/>
        <v>0</v>
      </c>
      <c r="AV44" s="23" t="str">
        <f t="shared" si="53"/>
        <v>Q</v>
      </c>
      <c r="AW44" s="23" t="str">
        <f t="shared" si="54"/>
        <v xml:space="preserve">Q.: </v>
      </c>
      <c r="AX44" s="23" t="str">
        <f t="shared" si="55"/>
        <v>ENBT200:1:O.Data[84].22</v>
      </c>
      <c r="AY44" s="36" t="str">
        <f t="shared" si="56"/>
        <v xml:space="preserve">Controller: &lt;O0201N51.b87&gt; - </v>
      </c>
      <c r="BB44" s="42" t="s">
        <v>15</v>
      </c>
      <c r="BC44" t="s">
        <v>16</v>
      </c>
      <c r="BD44" t="str">
        <f t="shared" si="60"/>
        <v>AB_RACKx_SLOTa</v>
      </c>
      <c r="BT44" t="str">
        <f>Prep!$L$6</f>
        <v/>
      </c>
      <c r="BV44" s="30" t="s">
        <v>488</v>
      </c>
      <c r="BW44" t="str">
        <f t="shared" si="58"/>
        <v>DI[87]</v>
      </c>
      <c r="BX44" t="s">
        <v>414</v>
      </c>
      <c r="BY44" s="42"/>
      <c r="CB44" s="42"/>
      <c r="CE44" s="30"/>
      <c r="CH44" s="42"/>
      <c r="CJ44" t="str">
        <f>Prep!$U$3&amp;":O.Data["&amp;Prep!$U$7+2&amp;"]."</f>
        <v>ENBT200:1:O.Data[84].</v>
      </c>
      <c r="CK44">
        <v>22</v>
      </c>
      <c r="CM44" t="s">
        <v>75</v>
      </c>
      <c r="CN44" s="30" t="str">
        <f>"O0"&amp;Header_Config03&amp;"N"&amp;TEXT(Prep!$U$6,"00")&amp;"."</f>
        <v>O0201N51.</v>
      </c>
      <c r="CO44" t="s">
        <v>489</v>
      </c>
      <c r="CP44" t="s">
        <v>12</v>
      </c>
      <c r="CQ44" s="40"/>
      <c r="CR44" s="30" t="s">
        <v>490</v>
      </c>
    </row>
    <row r="45" spans="2:96" x14ac:dyDescent="0.35">
      <c r="B45" s="4" t="str">
        <f t="shared" si="28"/>
        <v>FANUC_SxxRyy</v>
      </c>
      <c r="C45" s="4"/>
      <c r="D45" s="4" t="str">
        <f t="shared" si="29"/>
        <v>From_PLC_PalletPosBit8</v>
      </c>
      <c r="E45" s="4" t="str">
        <f t="shared" si="30"/>
        <v>ENBT200:1:O.Data[84].23</v>
      </c>
      <c r="F45" s="4" t="str">
        <f t="shared" si="31"/>
        <v>Q</v>
      </c>
      <c r="G45" s="4" t="str">
        <f t="shared" si="32"/>
        <v/>
      </c>
      <c r="H45" s="4" t="str">
        <f t="shared" si="33"/>
        <v>Controller: &lt;O0201N51.b88&gt; - PALLET IN POSITION 8 DI88</v>
      </c>
      <c r="I45" s="4" t="str">
        <f t="shared" si="34"/>
        <v>AB_RACKx_SLOTa</v>
      </c>
      <c r="J45" s="4"/>
      <c r="K45" s="56" t="str">
        <f t="shared" si="35"/>
        <v>BOOL</v>
      </c>
      <c r="L45" s="56" t="str">
        <f t="shared" si="4"/>
        <v>ROBOTS\SxxRyy</v>
      </c>
      <c r="M45" s="56" t="str">
        <f t="shared" si="5"/>
        <v>STELLANTIS\Common\ToolPrototype\Robots</v>
      </c>
      <c r="N45" s="56" t="str">
        <f t="shared" si="6"/>
        <v>STELLANTIS_DN_FANUC_ROBOT_128_BIT_INTEGRATED_SAFETY_SxxRyy.v00</v>
      </c>
      <c r="O45" s="56" t="str">
        <f t="shared" si="36"/>
        <v/>
      </c>
      <c r="P45" s="56" t="str">
        <f t="shared" si="37"/>
        <v/>
      </c>
      <c r="Q45" s="56" t="str">
        <f t="shared" si="38"/>
        <v/>
      </c>
      <c r="R45" s="56" t="str">
        <f t="shared" si="39"/>
        <v/>
      </c>
      <c r="S45" s="56" t="str">
        <f t="shared" si="40"/>
        <v/>
      </c>
      <c r="T45" s="56" t="str">
        <f t="shared" si="41"/>
        <v/>
      </c>
      <c r="U45" s="56" t="str">
        <f t="shared" si="42"/>
        <v/>
      </c>
      <c r="V45" s="56" t="str">
        <f t="shared" si="43"/>
        <v/>
      </c>
      <c r="W45" s="56"/>
      <c r="X45" s="56"/>
      <c r="Y45" s="56"/>
      <c r="Z45" s="56" t="str">
        <f t="shared" si="44"/>
        <v/>
      </c>
      <c r="AA45" s="56" t="str">
        <f t="shared" si="45"/>
        <v/>
      </c>
      <c r="AB45" s="56" t="str">
        <f t="shared" si="9"/>
        <v>ToolPrototype</v>
      </c>
      <c r="AC45" s="56" t="str">
        <f t="shared" si="46"/>
        <v>Optional</v>
      </c>
      <c r="AD45" s="56" t="str">
        <f t="shared" si="10"/>
        <v>&lt;device&gt;
&lt;name&gt;SxxRyy&lt;/name&gt;
&lt;type&gt;FCA_DN_FANUC&lt;/type&gt;
&lt;deviceNetwork&gt;201&lt;/deviceNetwork&gt;
&lt;deviceNode&gt;56&lt;/deviceNode&gt;
&lt;/device&gt;</v>
      </c>
      <c r="AE45" s="56" t="str">
        <f t="shared" si="11"/>
        <v/>
      </c>
      <c r="AF45" s="56" t="str">
        <f t="shared" si="12"/>
        <v/>
      </c>
      <c r="AG45" s="56" t="str">
        <f t="shared" si="13"/>
        <v/>
      </c>
      <c r="AH45" s="56" t="str">
        <f t="shared" si="14"/>
        <v/>
      </c>
      <c r="AI45" s="56" t="str">
        <f t="shared" si="15"/>
        <v/>
      </c>
      <c r="AJ45" s="56" t="str">
        <f t="shared" si="16"/>
        <v/>
      </c>
      <c r="AK45" s="56" t="str">
        <f t="shared" si="17"/>
        <v/>
      </c>
      <c r="AL45" s="56" t="str">
        <f t="shared" si="18"/>
        <v/>
      </c>
      <c r="AM45" s="56" t="str">
        <f t="shared" si="19"/>
        <v/>
      </c>
      <c r="AN45" s="56" t="str">
        <f t="shared" si="47"/>
        <v/>
      </c>
      <c r="AO45" s="56" t="str">
        <f t="shared" si="48"/>
        <v/>
      </c>
      <c r="AP45" s="56" t="str">
        <f t="shared" si="49"/>
        <v>PLC</v>
      </c>
      <c r="AQ45" s="56" t="str">
        <f t="shared" si="50"/>
        <v>ENTRY</v>
      </c>
      <c r="AR45" s="39" t="s">
        <v>130</v>
      </c>
      <c r="AT45" s="44" t="str">
        <f t="shared" si="51"/>
        <v>BOOL</v>
      </c>
      <c r="AU45" s="23">
        <f t="shared" si="52"/>
        <v>0</v>
      </c>
      <c r="AV45" s="23" t="str">
        <f t="shared" si="53"/>
        <v>Q</v>
      </c>
      <c r="AW45" s="23" t="str">
        <f t="shared" si="54"/>
        <v xml:space="preserve">Q.: </v>
      </c>
      <c r="AX45" s="23" t="str">
        <f t="shared" si="55"/>
        <v>ENBT200:1:O.Data[84].23</v>
      </c>
      <c r="AY45" s="36" t="str">
        <f t="shared" si="56"/>
        <v xml:space="preserve">Controller: &lt;O0201N51.b88&gt; - </v>
      </c>
      <c r="BB45" s="42" t="s">
        <v>15</v>
      </c>
      <c r="BC45" t="s">
        <v>16</v>
      </c>
      <c r="BD45" t="str">
        <f t="shared" si="60"/>
        <v>AB_RACKx_SLOTa</v>
      </c>
      <c r="BT45" t="str">
        <f>Prep!$L$6</f>
        <v/>
      </c>
      <c r="BV45" s="30" t="s">
        <v>491</v>
      </c>
      <c r="BW45" t="str">
        <f t="shared" si="58"/>
        <v>DI[88]</v>
      </c>
      <c r="BX45" t="s">
        <v>414</v>
      </c>
      <c r="BY45" s="42"/>
      <c r="CB45" s="42"/>
      <c r="CE45" s="30"/>
      <c r="CH45" s="42"/>
      <c r="CJ45" t="str">
        <f>Prep!$U$3&amp;":O.Data["&amp;Prep!$U$7+2&amp;"]."</f>
        <v>ENBT200:1:O.Data[84].</v>
      </c>
      <c r="CK45">
        <v>23</v>
      </c>
      <c r="CM45" t="s">
        <v>75</v>
      </c>
      <c r="CN45" s="30" t="str">
        <f>"O0"&amp;Header_Config03&amp;"N"&amp;TEXT(Prep!$U$6,"00")&amp;"."</f>
        <v>O0201N51.</v>
      </c>
      <c r="CO45" t="s">
        <v>492</v>
      </c>
      <c r="CP45" t="s">
        <v>12</v>
      </c>
      <c r="CQ45" s="40"/>
      <c r="CR45" s="30" t="s">
        <v>493</v>
      </c>
    </row>
    <row r="46" spans="2:96" x14ac:dyDescent="0.35">
      <c r="B46" s="4" t="str">
        <f t="shared" si="28"/>
        <v>FANUC_SxxRyy</v>
      </c>
      <c r="C46" s="4"/>
      <c r="D46" s="4" t="str">
        <f t="shared" si="29"/>
        <v>From_PLC_PalletPosBit16</v>
      </c>
      <c r="E46" s="4" t="str">
        <f t="shared" si="30"/>
        <v>ENBT200:1:O.Data[84].24</v>
      </c>
      <c r="F46" s="4" t="str">
        <f t="shared" si="31"/>
        <v>Q</v>
      </c>
      <c r="G46" s="4" t="str">
        <f t="shared" si="32"/>
        <v/>
      </c>
      <c r="H46" s="4" t="str">
        <f t="shared" si="33"/>
        <v>Controller: &lt;O0201N51.b89&gt; - PALLET IN POSITION 16 DI89</v>
      </c>
      <c r="I46" s="4" t="str">
        <f t="shared" si="34"/>
        <v>AB_RACKx_SLOTa</v>
      </c>
      <c r="J46" s="4"/>
      <c r="K46" s="56" t="str">
        <f t="shared" si="35"/>
        <v>BOOL</v>
      </c>
      <c r="L46" s="56" t="str">
        <f t="shared" si="4"/>
        <v>ROBOTS\SxxRyy</v>
      </c>
      <c r="M46" s="56" t="str">
        <f t="shared" si="5"/>
        <v>STELLANTIS\Common\ToolPrototype\Robots</v>
      </c>
      <c r="N46" s="56" t="str">
        <f t="shared" si="6"/>
        <v>STELLANTIS_DN_FANUC_ROBOT_128_BIT_INTEGRATED_SAFETY_SxxRyy.v00</v>
      </c>
      <c r="O46" s="56" t="str">
        <f t="shared" si="36"/>
        <v/>
      </c>
      <c r="P46" s="56" t="str">
        <f t="shared" si="37"/>
        <v/>
      </c>
      <c r="Q46" s="56" t="str">
        <f t="shared" si="38"/>
        <v/>
      </c>
      <c r="R46" s="56" t="str">
        <f t="shared" si="39"/>
        <v/>
      </c>
      <c r="S46" s="56" t="str">
        <f t="shared" si="40"/>
        <v/>
      </c>
      <c r="T46" s="56" t="str">
        <f t="shared" si="41"/>
        <v/>
      </c>
      <c r="U46" s="56" t="str">
        <f t="shared" si="42"/>
        <v/>
      </c>
      <c r="V46" s="56" t="str">
        <f t="shared" si="43"/>
        <v/>
      </c>
      <c r="W46" s="56"/>
      <c r="X46" s="56"/>
      <c r="Y46" s="56"/>
      <c r="Z46" s="56" t="str">
        <f t="shared" si="44"/>
        <v/>
      </c>
      <c r="AA46" s="56" t="str">
        <f t="shared" si="45"/>
        <v/>
      </c>
      <c r="AB46" s="56" t="str">
        <f t="shared" si="9"/>
        <v>ToolPrototype</v>
      </c>
      <c r="AC46" s="56" t="str">
        <f t="shared" si="46"/>
        <v>Optional</v>
      </c>
      <c r="AD46" s="56" t="str">
        <f t="shared" si="10"/>
        <v>&lt;device&gt;
&lt;name&gt;SxxRyy&lt;/name&gt;
&lt;type&gt;FCA_DN_FANUC&lt;/type&gt;
&lt;deviceNetwork&gt;201&lt;/deviceNetwork&gt;
&lt;deviceNode&gt;56&lt;/deviceNode&gt;
&lt;/device&gt;</v>
      </c>
      <c r="AE46" s="56" t="str">
        <f t="shared" si="11"/>
        <v/>
      </c>
      <c r="AF46" s="56" t="str">
        <f t="shared" si="12"/>
        <v/>
      </c>
      <c r="AG46" s="56" t="str">
        <f t="shared" si="13"/>
        <v/>
      </c>
      <c r="AH46" s="56" t="str">
        <f t="shared" si="14"/>
        <v/>
      </c>
      <c r="AI46" s="56" t="str">
        <f t="shared" si="15"/>
        <v/>
      </c>
      <c r="AJ46" s="56" t="str">
        <f t="shared" si="16"/>
        <v/>
      </c>
      <c r="AK46" s="56" t="str">
        <f t="shared" si="17"/>
        <v/>
      </c>
      <c r="AL46" s="56" t="str">
        <f t="shared" si="18"/>
        <v/>
      </c>
      <c r="AM46" s="56" t="str">
        <f t="shared" si="19"/>
        <v/>
      </c>
      <c r="AN46" s="56" t="str">
        <f t="shared" si="47"/>
        <v/>
      </c>
      <c r="AO46" s="56" t="str">
        <f t="shared" si="48"/>
        <v/>
      </c>
      <c r="AP46" s="56" t="str">
        <f t="shared" si="49"/>
        <v>PLC</v>
      </c>
      <c r="AQ46" s="56" t="str">
        <f t="shared" si="50"/>
        <v>ENTRY</v>
      </c>
      <c r="AR46" s="39" t="s">
        <v>130</v>
      </c>
      <c r="AT46" s="44" t="str">
        <f t="shared" si="51"/>
        <v>BOOL</v>
      </c>
      <c r="AU46" s="23">
        <f t="shared" si="52"/>
        <v>0</v>
      </c>
      <c r="AV46" s="23" t="str">
        <f t="shared" si="53"/>
        <v>Q</v>
      </c>
      <c r="AW46" s="23" t="str">
        <f t="shared" si="54"/>
        <v xml:space="preserve">Q.: </v>
      </c>
      <c r="AX46" s="23" t="str">
        <f t="shared" si="55"/>
        <v>ENBT200:1:O.Data[84].24</v>
      </c>
      <c r="AY46" s="36" t="str">
        <f t="shared" si="56"/>
        <v xml:space="preserve">Controller: &lt;O0201N51.b89&gt; - </v>
      </c>
      <c r="BB46" s="42" t="s">
        <v>15</v>
      </c>
      <c r="BC46" t="s">
        <v>16</v>
      </c>
      <c r="BD46" t="str">
        <f t="shared" si="60"/>
        <v>AB_RACKx_SLOTa</v>
      </c>
      <c r="BT46" t="str">
        <f>Prep!$L$6</f>
        <v/>
      </c>
      <c r="BV46" s="30" t="s">
        <v>494</v>
      </c>
      <c r="BW46" t="str">
        <f t="shared" si="58"/>
        <v>DI[89]</v>
      </c>
      <c r="BX46" t="s">
        <v>414</v>
      </c>
      <c r="BY46" s="42"/>
      <c r="CB46" s="42"/>
      <c r="CE46" s="30"/>
      <c r="CH46" s="42"/>
      <c r="CJ46" t="str">
        <f>Prep!$U$3&amp;":O.Data["&amp;Prep!$U$7+2&amp;"]."</f>
        <v>ENBT200:1:O.Data[84].</v>
      </c>
      <c r="CK46">
        <v>24</v>
      </c>
      <c r="CM46" t="s">
        <v>75</v>
      </c>
      <c r="CN46" s="30" t="str">
        <f>"O0"&amp;Header_Config03&amp;"N"&amp;TEXT(Prep!$U$6,"00")&amp;"."</f>
        <v>O0201N51.</v>
      </c>
      <c r="CO46" t="s">
        <v>495</v>
      </c>
      <c r="CP46" t="s">
        <v>12</v>
      </c>
      <c r="CQ46" s="40"/>
      <c r="CR46" s="30" t="s">
        <v>496</v>
      </c>
    </row>
    <row r="47" spans="2:96" x14ac:dyDescent="0.35">
      <c r="B47" s="4" t="str">
        <f t="shared" si="28"/>
        <v>FANUC_SxxRyy</v>
      </c>
      <c r="C47" s="4"/>
      <c r="D47" s="4" t="str">
        <f t="shared" si="29"/>
        <v>From_PLC_PalletPosBit32</v>
      </c>
      <c r="E47" s="4" t="str">
        <f t="shared" si="30"/>
        <v>ENBT200:1:O.Data[84].25</v>
      </c>
      <c r="F47" s="4" t="str">
        <f t="shared" si="31"/>
        <v>Q</v>
      </c>
      <c r="G47" s="4" t="str">
        <f t="shared" si="32"/>
        <v/>
      </c>
      <c r="H47" s="4" t="str">
        <f t="shared" si="33"/>
        <v>Controller: &lt;O0201N51.b90&gt; - PALLET IN POSITION 32 DI90</v>
      </c>
      <c r="I47" s="4" t="str">
        <f t="shared" si="34"/>
        <v>AB_RACKx_SLOTa</v>
      </c>
      <c r="J47" s="4"/>
      <c r="K47" s="56" t="str">
        <f t="shared" si="35"/>
        <v>BOOL</v>
      </c>
      <c r="L47" s="56" t="str">
        <f t="shared" si="4"/>
        <v>ROBOTS\SxxRyy</v>
      </c>
      <c r="M47" s="56" t="str">
        <f t="shared" si="5"/>
        <v>STELLANTIS\Common\ToolPrototype\Robots</v>
      </c>
      <c r="N47" s="56" t="str">
        <f t="shared" si="6"/>
        <v>STELLANTIS_DN_FANUC_ROBOT_128_BIT_INTEGRATED_SAFETY_SxxRyy.v00</v>
      </c>
      <c r="O47" s="56" t="str">
        <f t="shared" si="36"/>
        <v/>
      </c>
      <c r="P47" s="56" t="str">
        <f t="shared" si="37"/>
        <v/>
      </c>
      <c r="Q47" s="56" t="str">
        <f t="shared" si="38"/>
        <v/>
      </c>
      <c r="R47" s="56" t="str">
        <f t="shared" si="39"/>
        <v/>
      </c>
      <c r="S47" s="56" t="str">
        <f t="shared" si="40"/>
        <v/>
      </c>
      <c r="T47" s="56" t="str">
        <f t="shared" si="41"/>
        <v/>
      </c>
      <c r="U47" s="56" t="str">
        <f t="shared" si="42"/>
        <v/>
      </c>
      <c r="V47" s="56" t="str">
        <f t="shared" si="43"/>
        <v/>
      </c>
      <c r="W47" s="56"/>
      <c r="X47" s="56"/>
      <c r="Y47" s="56"/>
      <c r="Z47" s="56" t="str">
        <f t="shared" si="44"/>
        <v/>
      </c>
      <c r="AA47" s="56" t="str">
        <f t="shared" si="45"/>
        <v/>
      </c>
      <c r="AB47" s="56" t="str">
        <f t="shared" si="9"/>
        <v>ToolPrototype</v>
      </c>
      <c r="AC47" s="56" t="str">
        <f t="shared" si="46"/>
        <v>Optional</v>
      </c>
      <c r="AD47" s="56" t="str">
        <f t="shared" si="10"/>
        <v>&lt;device&gt;
&lt;name&gt;SxxRyy&lt;/name&gt;
&lt;type&gt;FCA_DN_FANUC&lt;/type&gt;
&lt;deviceNetwork&gt;201&lt;/deviceNetwork&gt;
&lt;deviceNode&gt;56&lt;/deviceNode&gt;
&lt;/device&gt;</v>
      </c>
      <c r="AE47" s="56" t="str">
        <f t="shared" si="11"/>
        <v/>
      </c>
      <c r="AF47" s="56" t="str">
        <f t="shared" si="12"/>
        <v/>
      </c>
      <c r="AG47" s="56" t="str">
        <f t="shared" si="13"/>
        <v/>
      </c>
      <c r="AH47" s="56" t="str">
        <f t="shared" si="14"/>
        <v/>
      </c>
      <c r="AI47" s="56" t="str">
        <f t="shared" si="15"/>
        <v/>
      </c>
      <c r="AJ47" s="56" t="str">
        <f t="shared" si="16"/>
        <v/>
      </c>
      <c r="AK47" s="56" t="str">
        <f t="shared" si="17"/>
        <v/>
      </c>
      <c r="AL47" s="56" t="str">
        <f t="shared" si="18"/>
        <v/>
      </c>
      <c r="AM47" s="56" t="str">
        <f t="shared" si="19"/>
        <v/>
      </c>
      <c r="AN47" s="56" t="str">
        <f t="shared" si="47"/>
        <v/>
      </c>
      <c r="AO47" s="56" t="str">
        <f t="shared" si="48"/>
        <v/>
      </c>
      <c r="AP47" s="56" t="str">
        <f t="shared" si="49"/>
        <v>PLC</v>
      </c>
      <c r="AQ47" s="56" t="str">
        <f t="shared" si="50"/>
        <v>ENTRY</v>
      </c>
      <c r="AR47" s="39" t="s">
        <v>130</v>
      </c>
      <c r="AT47" s="44" t="str">
        <f t="shared" si="51"/>
        <v>BOOL</v>
      </c>
      <c r="AU47" s="23">
        <f t="shared" si="52"/>
        <v>0</v>
      </c>
      <c r="AV47" s="23" t="str">
        <f t="shared" si="53"/>
        <v>Q</v>
      </c>
      <c r="AW47" s="23" t="str">
        <f t="shared" si="54"/>
        <v xml:space="preserve">Q.: </v>
      </c>
      <c r="AX47" s="23" t="str">
        <f t="shared" si="55"/>
        <v>ENBT200:1:O.Data[84].25</v>
      </c>
      <c r="AY47" s="36" t="str">
        <f t="shared" si="56"/>
        <v xml:space="preserve">Controller: &lt;O0201N51.b90&gt; - </v>
      </c>
      <c r="BB47" s="42" t="s">
        <v>15</v>
      </c>
      <c r="BC47" t="s">
        <v>16</v>
      </c>
      <c r="BD47" t="str">
        <f t="shared" si="60"/>
        <v>AB_RACKx_SLOTa</v>
      </c>
      <c r="BT47" t="str">
        <f>Prep!$L$6</f>
        <v/>
      </c>
      <c r="BV47" s="30" t="s">
        <v>497</v>
      </c>
      <c r="BW47" t="str">
        <f t="shared" si="58"/>
        <v>DI[90]</v>
      </c>
      <c r="BX47" t="s">
        <v>414</v>
      </c>
      <c r="BY47" s="42"/>
      <c r="CB47" s="42"/>
      <c r="CE47" s="30"/>
      <c r="CH47" s="42"/>
      <c r="CJ47" t="str">
        <f>Prep!$U$3&amp;":O.Data["&amp;Prep!$U$7+2&amp;"]."</f>
        <v>ENBT200:1:O.Data[84].</v>
      </c>
      <c r="CK47">
        <v>25</v>
      </c>
      <c r="CM47" t="s">
        <v>75</v>
      </c>
      <c r="CN47" s="30" t="str">
        <f>"O0"&amp;Header_Config03&amp;"N"&amp;TEXT(Prep!$U$6,"00")&amp;"."</f>
        <v>O0201N51.</v>
      </c>
      <c r="CO47" t="s">
        <v>498</v>
      </c>
      <c r="CP47" t="s">
        <v>12</v>
      </c>
      <c r="CQ47" s="40"/>
      <c r="CR47" s="30" t="s">
        <v>499</v>
      </c>
    </row>
    <row r="48" spans="2:96" x14ac:dyDescent="0.35">
      <c r="B48" s="4" t="str">
        <f t="shared" si="28"/>
        <v>FANUC_SxxRyy</v>
      </c>
      <c r="C48" s="4"/>
      <c r="D48" s="4" t="str">
        <f t="shared" si="29"/>
        <v>From_PLC_PalletPosBit64</v>
      </c>
      <c r="E48" s="4" t="str">
        <f t="shared" si="30"/>
        <v>ENBT200:1:O.Data[84].26</v>
      </c>
      <c r="F48" s="4" t="str">
        <f t="shared" si="31"/>
        <v>Q</v>
      </c>
      <c r="G48" s="4" t="str">
        <f t="shared" si="32"/>
        <v/>
      </c>
      <c r="H48" s="4" t="str">
        <f t="shared" si="33"/>
        <v>Controller: &lt;O0201N51.b91&gt; - PALLET IN POSITION 64 DI91</v>
      </c>
      <c r="I48" s="4" t="str">
        <f t="shared" si="34"/>
        <v>AB_RACKx_SLOTa</v>
      </c>
      <c r="J48" s="4"/>
      <c r="K48" s="56" t="str">
        <f t="shared" si="35"/>
        <v>BOOL</v>
      </c>
      <c r="L48" s="56" t="str">
        <f t="shared" si="4"/>
        <v>ROBOTS\SxxRyy</v>
      </c>
      <c r="M48" s="56" t="str">
        <f t="shared" si="5"/>
        <v>STELLANTIS\Common\ToolPrototype\Robots</v>
      </c>
      <c r="N48" s="56" t="str">
        <f t="shared" si="6"/>
        <v>STELLANTIS_DN_FANUC_ROBOT_128_BIT_INTEGRATED_SAFETY_SxxRyy.v00</v>
      </c>
      <c r="O48" s="56" t="str">
        <f t="shared" si="36"/>
        <v/>
      </c>
      <c r="P48" s="56" t="str">
        <f t="shared" si="37"/>
        <v/>
      </c>
      <c r="Q48" s="56" t="str">
        <f t="shared" si="38"/>
        <v/>
      </c>
      <c r="R48" s="56" t="str">
        <f t="shared" si="39"/>
        <v/>
      </c>
      <c r="S48" s="56" t="str">
        <f t="shared" si="40"/>
        <v/>
      </c>
      <c r="T48" s="56" t="str">
        <f t="shared" si="41"/>
        <v/>
      </c>
      <c r="U48" s="56" t="str">
        <f t="shared" si="42"/>
        <v/>
      </c>
      <c r="V48" s="56" t="str">
        <f t="shared" si="43"/>
        <v/>
      </c>
      <c r="W48" s="56"/>
      <c r="X48" s="56"/>
      <c r="Y48" s="56"/>
      <c r="Z48" s="56" t="str">
        <f t="shared" si="44"/>
        <v/>
      </c>
      <c r="AA48" s="56" t="str">
        <f t="shared" si="45"/>
        <v/>
      </c>
      <c r="AB48" s="56" t="str">
        <f t="shared" si="9"/>
        <v>ToolPrototype</v>
      </c>
      <c r="AC48" s="56" t="str">
        <f t="shared" si="46"/>
        <v>Optional</v>
      </c>
      <c r="AD48" s="56" t="str">
        <f t="shared" si="10"/>
        <v>&lt;device&gt;
&lt;name&gt;SxxRyy&lt;/name&gt;
&lt;type&gt;FCA_DN_FANUC&lt;/type&gt;
&lt;deviceNetwork&gt;201&lt;/deviceNetwork&gt;
&lt;deviceNode&gt;56&lt;/deviceNode&gt;
&lt;/device&gt;</v>
      </c>
      <c r="AE48" s="56" t="str">
        <f t="shared" si="11"/>
        <v/>
      </c>
      <c r="AF48" s="56" t="str">
        <f t="shared" si="12"/>
        <v/>
      </c>
      <c r="AG48" s="56" t="str">
        <f t="shared" si="13"/>
        <v/>
      </c>
      <c r="AH48" s="56" t="str">
        <f t="shared" si="14"/>
        <v/>
      </c>
      <c r="AI48" s="56" t="str">
        <f t="shared" si="15"/>
        <v/>
      </c>
      <c r="AJ48" s="56" t="str">
        <f t="shared" si="16"/>
        <v/>
      </c>
      <c r="AK48" s="56" t="str">
        <f t="shared" si="17"/>
        <v/>
      </c>
      <c r="AL48" s="56" t="str">
        <f t="shared" si="18"/>
        <v/>
      </c>
      <c r="AM48" s="56" t="str">
        <f t="shared" si="19"/>
        <v/>
      </c>
      <c r="AN48" s="56" t="str">
        <f t="shared" si="47"/>
        <v/>
      </c>
      <c r="AO48" s="56" t="str">
        <f t="shared" si="48"/>
        <v/>
      </c>
      <c r="AP48" s="56" t="str">
        <f t="shared" si="49"/>
        <v>PLC</v>
      </c>
      <c r="AQ48" s="56" t="str">
        <f t="shared" si="50"/>
        <v>ENTRY</v>
      </c>
      <c r="AR48" s="39" t="s">
        <v>130</v>
      </c>
      <c r="AT48" s="44" t="str">
        <f t="shared" si="51"/>
        <v>BOOL</v>
      </c>
      <c r="AU48" s="23">
        <f t="shared" si="52"/>
        <v>0</v>
      </c>
      <c r="AV48" s="23" t="str">
        <f t="shared" si="53"/>
        <v>Q</v>
      </c>
      <c r="AW48" s="23" t="str">
        <f t="shared" si="54"/>
        <v xml:space="preserve">Q.: </v>
      </c>
      <c r="AX48" s="23" t="str">
        <f t="shared" si="55"/>
        <v>ENBT200:1:O.Data[84].26</v>
      </c>
      <c r="AY48" s="36" t="str">
        <f t="shared" si="56"/>
        <v xml:space="preserve">Controller: &lt;O0201N51.b91&gt; - </v>
      </c>
      <c r="BB48" s="42" t="s">
        <v>15</v>
      </c>
      <c r="BC48" t="s">
        <v>16</v>
      </c>
      <c r="BD48" t="str">
        <f t="shared" si="60"/>
        <v>AB_RACKx_SLOTa</v>
      </c>
      <c r="BT48" t="str">
        <f>Prep!$L$6</f>
        <v/>
      </c>
      <c r="BV48" s="30" t="s">
        <v>500</v>
      </c>
      <c r="BW48" t="str">
        <f t="shared" si="58"/>
        <v>DI[91]</v>
      </c>
      <c r="BX48" t="s">
        <v>414</v>
      </c>
      <c r="BY48" s="42"/>
      <c r="CB48" s="42"/>
      <c r="CE48" s="30"/>
      <c r="CH48" s="42"/>
      <c r="CJ48" t="str">
        <f>Prep!$U$3&amp;":O.Data["&amp;Prep!$U$7+2&amp;"]."</f>
        <v>ENBT200:1:O.Data[84].</v>
      </c>
      <c r="CK48">
        <v>26</v>
      </c>
      <c r="CM48" t="s">
        <v>75</v>
      </c>
      <c r="CN48" s="30" t="str">
        <f>"O0"&amp;Header_Config03&amp;"N"&amp;TEXT(Prep!$U$6,"00")&amp;"."</f>
        <v>O0201N51.</v>
      </c>
      <c r="CO48" t="s">
        <v>501</v>
      </c>
      <c r="CP48" t="s">
        <v>12</v>
      </c>
      <c r="CQ48" s="40"/>
      <c r="CR48" s="30" t="s">
        <v>502</v>
      </c>
    </row>
    <row r="49" spans="2:96" x14ac:dyDescent="0.35">
      <c r="B49" s="4" t="str">
        <f t="shared" si="28"/>
        <v>FANUC_SxxRyy</v>
      </c>
      <c r="C49" s="4"/>
      <c r="D49" s="4" t="str">
        <f t="shared" si="29"/>
        <v>From_PLC_PalletPosBit128</v>
      </c>
      <c r="E49" s="4" t="str">
        <f t="shared" si="30"/>
        <v>ENBT200:1:O.Data[84].27</v>
      </c>
      <c r="F49" s="4" t="str">
        <f t="shared" si="31"/>
        <v>Q</v>
      </c>
      <c r="G49" s="4" t="str">
        <f t="shared" si="32"/>
        <v/>
      </c>
      <c r="H49" s="4" t="str">
        <f t="shared" si="33"/>
        <v>Controller: &lt;O0201N51.b92&gt; - PALLET IN POSITION 128 DI92</v>
      </c>
      <c r="I49" s="4" t="str">
        <f t="shared" si="34"/>
        <v>AB_RACKx_SLOTa</v>
      </c>
      <c r="J49" s="4"/>
      <c r="K49" s="56" t="str">
        <f t="shared" si="35"/>
        <v>BOOL</v>
      </c>
      <c r="L49" s="56" t="str">
        <f t="shared" si="4"/>
        <v>ROBOTS\SxxRyy</v>
      </c>
      <c r="M49" s="56" t="str">
        <f t="shared" si="5"/>
        <v>STELLANTIS\Common\ToolPrototype\Robots</v>
      </c>
      <c r="N49" s="56" t="str">
        <f t="shared" si="6"/>
        <v>STELLANTIS_DN_FANUC_ROBOT_128_BIT_INTEGRATED_SAFETY_SxxRyy.v00</v>
      </c>
      <c r="O49" s="56" t="str">
        <f t="shared" si="36"/>
        <v/>
      </c>
      <c r="P49" s="56" t="str">
        <f t="shared" si="37"/>
        <v/>
      </c>
      <c r="Q49" s="56" t="str">
        <f t="shared" si="38"/>
        <v/>
      </c>
      <c r="R49" s="56" t="str">
        <f t="shared" si="39"/>
        <v/>
      </c>
      <c r="S49" s="56" t="str">
        <f t="shared" si="40"/>
        <v/>
      </c>
      <c r="T49" s="56" t="str">
        <f t="shared" si="41"/>
        <v/>
      </c>
      <c r="U49" s="56" t="str">
        <f t="shared" si="42"/>
        <v/>
      </c>
      <c r="V49" s="56" t="str">
        <f t="shared" si="43"/>
        <v/>
      </c>
      <c r="W49" s="56"/>
      <c r="X49" s="56"/>
      <c r="Y49" s="56"/>
      <c r="Z49" s="56" t="str">
        <f t="shared" si="44"/>
        <v/>
      </c>
      <c r="AA49" s="56" t="str">
        <f t="shared" si="45"/>
        <v/>
      </c>
      <c r="AB49" s="56" t="str">
        <f t="shared" si="9"/>
        <v>ToolPrototype</v>
      </c>
      <c r="AC49" s="56" t="str">
        <f t="shared" si="46"/>
        <v>Optional</v>
      </c>
      <c r="AD49" s="56" t="str">
        <f t="shared" si="10"/>
        <v>&lt;device&gt;
&lt;name&gt;SxxRyy&lt;/name&gt;
&lt;type&gt;FCA_DN_FANUC&lt;/type&gt;
&lt;deviceNetwork&gt;201&lt;/deviceNetwork&gt;
&lt;deviceNode&gt;56&lt;/deviceNode&gt;
&lt;/device&gt;</v>
      </c>
      <c r="AE49" s="56" t="str">
        <f t="shared" si="11"/>
        <v/>
      </c>
      <c r="AF49" s="56" t="str">
        <f t="shared" si="12"/>
        <v/>
      </c>
      <c r="AG49" s="56" t="str">
        <f t="shared" si="13"/>
        <v/>
      </c>
      <c r="AH49" s="56" t="str">
        <f t="shared" si="14"/>
        <v/>
      </c>
      <c r="AI49" s="56" t="str">
        <f t="shared" si="15"/>
        <v/>
      </c>
      <c r="AJ49" s="56" t="str">
        <f t="shared" si="16"/>
        <v/>
      </c>
      <c r="AK49" s="56" t="str">
        <f t="shared" si="17"/>
        <v/>
      </c>
      <c r="AL49" s="56" t="str">
        <f t="shared" si="18"/>
        <v/>
      </c>
      <c r="AM49" s="56" t="str">
        <f t="shared" si="19"/>
        <v/>
      </c>
      <c r="AN49" s="56" t="str">
        <f t="shared" si="47"/>
        <v/>
      </c>
      <c r="AO49" s="56" t="str">
        <f t="shared" si="48"/>
        <v/>
      </c>
      <c r="AP49" s="56" t="str">
        <f t="shared" si="49"/>
        <v>PLC</v>
      </c>
      <c r="AQ49" s="56" t="str">
        <f t="shared" si="50"/>
        <v>ENTRY</v>
      </c>
      <c r="AR49" s="39" t="s">
        <v>130</v>
      </c>
      <c r="AT49" s="44" t="str">
        <f t="shared" si="51"/>
        <v>BOOL</v>
      </c>
      <c r="AU49" s="23">
        <f t="shared" si="52"/>
        <v>0</v>
      </c>
      <c r="AV49" s="23" t="str">
        <f t="shared" si="53"/>
        <v>Q</v>
      </c>
      <c r="AW49" s="23" t="str">
        <f t="shared" si="54"/>
        <v xml:space="preserve">Q.: </v>
      </c>
      <c r="AX49" s="23" t="str">
        <f t="shared" si="55"/>
        <v>ENBT200:1:O.Data[84].27</v>
      </c>
      <c r="AY49" s="36" t="str">
        <f t="shared" si="56"/>
        <v xml:space="preserve">Controller: &lt;O0201N51.b92&gt; - </v>
      </c>
      <c r="BB49" s="42" t="s">
        <v>15</v>
      </c>
      <c r="BC49" t="s">
        <v>16</v>
      </c>
      <c r="BD49" t="str">
        <f t="shared" si="60"/>
        <v>AB_RACKx_SLOTa</v>
      </c>
      <c r="BT49" t="str">
        <f>Prep!$L$6</f>
        <v/>
      </c>
      <c r="BV49" s="30" t="s">
        <v>503</v>
      </c>
      <c r="BW49" t="str">
        <f t="shared" si="58"/>
        <v>DI[92]</v>
      </c>
      <c r="BX49" t="s">
        <v>414</v>
      </c>
      <c r="BY49" s="42"/>
      <c r="CB49" s="42"/>
      <c r="CE49" s="30"/>
      <c r="CH49" s="42"/>
      <c r="CJ49" t="str">
        <f>Prep!$U$3&amp;":O.Data["&amp;Prep!$U$7+2&amp;"]."</f>
        <v>ENBT200:1:O.Data[84].</v>
      </c>
      <c r="CK49">
        <v>27</v>
      </c>
      <c r="CM49" t="s">
        <v>75</v>
      </c>
      <c r="CN49" s="30" t="str">
        <f>"O0"&amp;Header_Config03&amp;"N"&amp;TEXT(Prep!$U$6,"00")&amp;"."</f>
        <v>O0201N51.</v>
      </c>
      <c r="CO49" t="s">
        <v>504</v>
      </c>
      <c r="CP49" t="s">
        <v>12</v>
      </c>
      <c r="CQ49" s="40"/>
      <c r="CR49" s="30" t="s">
        <v>505</v>
      </c>
    </row>
    <row r="50" spans="2:96" x14ac:dyDescent="0.35">
      <c r="B50" s="4" t="str">
        <f t="shared" si="28"/>
        <v>&lt;BLANK&gt;</v>
      </c>
      <c r="C50" s="4"/>
      <c r="D50" s="4" t="str">
        <f t="shared" si="29"/>
        <v>From_PLC_WetDryMode</v>
      </c>
      <c r="E50" s="4" t="str">
        <f t="shared" si="30"/>
        <v>ENBT200:1:O.Data[84].28</v>
      </c>
      <c r="F50" s="4" t="str">
        <f t="shared" si="31"/>
        <v>Q</v>
      </c>
      <c r="G50" s="4" t="str">
        <f t="shared" si="32"/>
        <v/>
      </c>
      <c r="H50" s="4" t="str">
        <f t="shared" si="33"/>
        <v>Controller: &lt;O0201N51.b93&gt; - SEALER WET MODE DI93</v>
      </c>
      <c r="I50" s="4" t="str">
        <f t="shared" si="34"/>
        <v>AB_RACKx_SLOTa</v>
      </c>
      <c r="J50" s="4"/>
      <c r="K50" s="56" t="str">
        <f t="shared" si="35"/>
        <v>BOOL</v>
      </c>
      <c r="L50" s="56" t="str">
        <f t="shared" si="4"/>
        <v>ROBOTS\SxxRyy</v>
      </c>
      <c r="M50" s="56" t="str">
        <f t="shared" si="5"/>
        <v>STELLANTIS\Common\ToolPrototype\Robots</v>
      </c>
      <c r="N50" s="56" t="str">
        <f t="shared" si="6"/>
        <v>STELLANTIS_DN_FANUC_ROBOT_128_BIT_INTEGRATED_SAFETY_SxxRyy.v00</v>
      </c>
      <c r="O50" s="56" t="str">
        <f t="shared" si="36"/>
        <v/>
      </c>
      <c r="P50" s="56" t="str">
        <f t="shared" si="37"/>
        <v/>
      </c>
      <c r="Q50" s="56" t="str">
        <f t="shared" si="38"/>
        <v/>
      </c>
      <c r="R50" s="56" t="str">
        <f t="shared" si="39"/>
        <v/>
      </c>
      <c r="S50" s="56" t="str">
        <f t="shared" si="40"/>
        <v/>
      </c>
      <c r="T50" s="56" t="str">
        <f t="shared" si="41"/>
        <v/>
      </c>
      <c r="U50" s="56" t="str">
        <f t="shared" si="42"/>
        <v/>
      </c>
      <c r="V50" s="56" t="str">
        <f t="shared" si="43"/>
        <v/>
      </c>
      <c r="W50" s="56"/>
      <c r="X50" s="56"/>
      <c r="Y50" s="56"/>
      <c r="Z50" s="56" t="str">
        <f t="shared" si="44"/>
        <v/>
      </c>
      <c r="AA50" s="56" t="str">
        <f t="shared" si="45"/>
        <v/>
      </c>
      <c r="AB50" s="56" t="str">
        <f t="shared" si="9"/>
        <v>ToolPrototype</v>
      </c>
      <c r="AC50" s="56" t="str">
        <f t="shared" si="46"/>
        <v>Optional</v>
      </c>
      <c r="AD50" s="56" t="str">
        <f t="shared" si="10"/>
        <v>&lt;device&gt;
&lt;name&gt;SxxRyy&lt;/name&gt;
&lt;type&gt;FCA_DN_FANUC&lt;/type&gt;
&lt;deviceNetwork&gt;201&lt;/deviceNetwork&gt;
&lt;deviceNode&gt;56&lt;/deviceNode&gt;
&lt;/device&gt;</v>
      </c>
      <c r="AE50" s="56" t="str">
        <f t="shared" si="11"/>
        <v/>
      </c>
      <c r="AF50" s="56" t="str">
        <f t="shared" si="12"/>
        <v/>
      </c>
      <c r="AG50" s="56" t="str">
        <f t="shared" si="13"/>
        <v/>
      </c>
      <c r="AH50" s="56" t="str">
        <f t="shared" si="14"/>
        <v/>
      </c>
      <c r="AI50" s="56" t="str">
        <f t="shared" si="15"/>
        <v/>
      </c>
      <c r="AJ50" s="56" t="str">
        <f t="shared" si="16"/>
        <v/>
      </c>
      <c r="AK50" s="56" t="str">
        <f t="shared" si="17"/>
        <v/>
      </c>
      <c r="AL50" s="56" t="str">
        <f t="shared" si="18"/>
        <v/>
      </c>
      <c r="AM50" s="56" t="str">
        <f t="shared" si="19"/>
        <v/>
      </c>
      <c r="AN50" s="56" t="str">
        <f t="shared" si="47"/>
        <v/>
      </c>
      <c r="AO50" s="56" t="str">
        <f t="shared" si="48"/>
        <v/>
      </c>
      <c r="AP50" s="56" t="str">
        <f t="shared" si="49"/>
        <v>PLC</v>
      </c>
      <c r="AQ50" s="56" t="str">
        <f t="shared" si="50"/>
        <v>ENTRY</v>
      </c>
      <c r="AR50" s="39" t="s">
        <v>130</v>
      </c>
      <c r="AT50" s="44" t="str">
        <f t="shared" si="51"/>
        <v>BOOL</v>
      </c>
      <c r="AU50" s="23">
        <f t="shared" si="52"/>
        <v>0</v>
      </c>
      <c r="AV50" s="23" t="str">
        <f t="shared" si="53"/>
        <v>Q</v>
      </c>
      <c r="AW50" s="23" t="str">
        <f t="shared" si="54"/>
        <v xml:space="preserve">Q.: </v>
      </c>
      <c r="AX50" s="23" t="str">
        <f t="shared" si="55"/>
        <v>ENBT200:1:O.Data[84].28</v>
      </c>
      <c r="AY50" s="36" t="str">
        <f t="shared" si="56"/>
        <v xml:space="preserve">Controller: &lt;O0201N51.b93&gt; - </v>
      </c>
      <c r="BB50" s="42" t="s">
        <v>15</v>
      </c>
      <c r="BC50" t="s">
        <v>16</v>
      </c>
      <c r="BD50" t="str">
        <f t="shared" si="60"/>
        <v>AB_RACKx_SLOTa</v>
      </c>
      <c r="BT50" t="str">
        <f>Prep!$G$6</f>
        <v>X</v>
      </c>
      <c r="BV50" s="30" t="s">
        <v>506</v>
      </c>
      <c r="BW50" t="str">
        <f t="shared" si="58"/>
        <v>DI[93]</v>
      </c>
      <c r="BY50" s="42"/>
      <c r="CB50" s="42"/>
      <c r="CE50" s="30"/>
      <c r="CH50" s="42"/>
      <c r="CJ50" t="str">
        <f>Prep!$U$3&amp;":O.Data["&amp;Prep!$U$7+2&amp;"]."</f>
        <v>ENBT200:1:O.Data[84].</v>
      </c>
      <c r="CK50">
        <v>28</v>
      </c>
      <c r="CM50" t="s">
        <v>75</v>
      </c>
      <c r="CN50" s="30" t="str">
        <f>"O0"&amp;Header_Config03&amp;"N"&amp;TEXT(Prep!$U$6,"00")&amp;"."</f>
        <v>O0201N51.</v>
      </c>
      <c r="CO50" t="s">
        <v>507</v>
      </c>
      <c r="CP50" t="s">
        <v>12</v>
      </c>
      <c r="CQ50" s="40"/>
      <c r="CR50" s="30" t="s">
        <v>508</v>
      </c>
    </row>
    <row r="51" spans="2:96" x14ac:dyDescent="0.35">
      <c r="B51" s="4" t="str">
        <f t="shared" si="28"/>
        <v>FANUC_SxxRyy</v>
      </c>
      <c r="C51" s="4"/>
      <c r="D51" s="4" t="str">
        <f t="shared" si="29"/>
        <v>From_PLC_AbortReq</v>
      </c>
      <c r="E51" s="4" t="str">
        <f t="shared" si="30"/>
        <v>ENBT200:1:O.Data[84].29</v>
      </c>
      <c r="F51" s="4" t="str">
        <f t="shared" si="31"/>
        <v>Q</v>
      </c>
      <c r="G51" s="4" t="str">
        <f t="shared" si="32"/>
        <v/>
      </c>
      <c r="H51" s="4" t="str">
        <f t="shared" si="33"/>
        <v>Controller: &lt;O0201N51.b94&gt; - ABORT REQUEST DI94</v>
      </c>
      <c r="I51" s="4" t="str">
        <f t="shared" si="34"/>
        <v>AB_RACKx_SLOTa</v>
      </c>
      <c r="J51" s="4"/>
      <c r="K51" s="56" t="str">
        <f t="shared" si="35"/>
        <v>BOOL</v>
      </c>
      <c r="L51" s="56" t="str">
        <f t="shared" si="4"/>
        <v>ROBOTS\SxxRyy</v>
      </c>
      <c r="M51" s="56" t="str">
        <f t="shared" si="5"/>
        <v>STELLANTIS\Common\ToolPrototype\Robots</v>
      </c>
      <c r="N51" s="56" t="str">
        <f t="shared" si="6"/>
        <v>STELLANTIS_DN_FANUC_ROBOT_128_BIT_INTEGRATED_SAFETY_SxxRyy.v00</v>
      </c>
      <c r="O51" s="56" t="str">
        <f t="shared" si="36"/>
        <v/>
      </c>
      <c r="P51" s="56" t="str">
        <f t="shared" si="37"/>
        <v/>
      </c>
      <c r="Q51" s="56" t="str">
        <f t="shared" si="38"/>
        <v/>
      </c>
      <c r="R51" s="56" t="str">
        <f t="shared" si="39"/>
        <v/>
      </c>
      <c r="S51" s="56" t="str">
        <f t="shared" si="40"/>
        <v/>
      </c>
      <c r="T51" s="56" t="str">
        <f t="shared" si="41"/>
        <v/>
      </c>
      <c r="U51" s="56" t="str">
        <f t="shared" si="42"/>
        <v/>
      </c>
      <c r="V51" s="56" t="str">
        <f t="shared" si="43"/>
        <v/>
      </c>
      <c r="W51" s="56"/>
      <c r="X51" s="56"/>
      <c r="Y51" s="56"/>
      <c r="Z51" s="56" t="str">
        <f t="shared" si="44"/>
        <v/>
      </c>
      <c r="AA51" s="56" t="str">
        <f t="shared" si="45"/>
        <v/>
      </c>
      <c r="AB51" s="56" t="str">
        <f t="shared" si="9"/>
        <v>ToolPrototype</v>
      </c>
      <c r="AC51" s="56" t="str">
        <f t="shared" si="46"/>
        <v/>
      </c>
      <c r="AD51" s="56" t="str">
        <f t="shared" si="10"/>
        <v>&lt;device&gt;
&lt;name&gt;SxxRyy&lt;/name&gt;
&lt;type&gt;FCA_DN_FANUC&lt;/type&gt;
&lt;deviceNetwork&gt;201&lt;/deviceNetwork&gt;
&lt;deviceNode&gt;56&lt;/deviceNode&gt;
&lt;/device&gt;</v>
      </c>
      <c r="AE51" s="56" t="str">
        <f t="shared" si="11"/>
        <v/>
      </c>
      <c r="AF51" s="56" t="str">
        <f t="shared" si="12"/>
        <v/>
      </c>
      <c r="AG51" s="56" t="str">
        <f t="shared" si="13"/>
        <v/>
      </c>
      <c r="AH51" s="56" t="str">
        <f t="shared" si="14"/>
        <v/>
      </c>
      <c r="AI51" s="56" t="str">
        <f t="shared" si="15"/>
        <v/>
      </c>
      <c r="AJ51" s="56" t="str">
        <f t="shared" si="16"/>
        <v/>
      </c>
      <c r="AK51" s="56" t="str">
        <f t="shared" si="17"/>
        <v/>
      </c>
      <c r="AL51" s="56" t="str">
        <f t="shared" si="18"/>
        <v/>
      </c>
      <c r="AM51" s="56" t="str">
        <f t="shared" si="19"/>
        <v/>
      </c>
      <c r="AN51" s="56" t="str">
        <f t="shared" si="47"/>
        <v/>
      </c>
      <c r="AO51" s="56" t="str">
        <f t="shared" si="48"/>
        <v/>
      </c>
      <c r="AP51" s="56" t="str">
        <f t="shared" si="49"/>
        <v>PLC</v>
      </c>
      <c r="AQ51" s="56" t="str">
        <f t="shared" si="50"/>
        <v>ENTRY</v>
      </c>
      <c r="AR51" s="39" t="s">
        <v>130</v>
      </c>
      <c r="AT51" s="44" t="str">
        <f t="shared" si="51"/>
        <v>BOOL</v>
      </c>
      <c r="AU51" s="23">
        <f t="shared" si="52"/>
        <v>0</v>
      </c>
      <c r="AV51" s="23" t="str">
        <f t="shared" si="53"/>
        <v>Q</v>
      </c>
      <c r="AW51" s="23" t="str">
        <f t="shared" si="54"/>
        <v xml:space="preserve">Q.: </v>
      </c>
      <c r="AX51" s="23" t="str">
        <f t="shared" si="55"/>
        <v>ENBT200:1:O.Data[84].29</v>
      </c>
      <c r="AY51" s="36" t="str">
        <f t="shared" si="56"/>
        <v xml:space="preserve">Controller: &lt;O0201N51.b94&gt; - </v>
      </c>
      <c r="BB51" s="42" t="s">
        <v>15</v>
      </c>
      <c r="BC51" t="s">
        <v>16</v>
      </c>
      <c r="BD51" t="str">
        <f t="shared" si="60"/>
        <v>AB_RACKx_SLOTa</v>
      </c>
      <c r="BV51" s="30" t="s">
        <v>509</v>
      </c>
      <c r="BW51" t="str">
        <f t="shared" si="58"/>
        <v>DI[94]</v>
      </c>
      <c r="BY51" s="42"/>
      <c r="CB51" s="42"/>
      <c r="CE51" s="30"/>
      <c r="CH51" s="42"/>
      <c r="CJ51" t="str">
        <f>Prep!$U$3&amp;":O.Data["&amp;Prep!$U$7+2&amp;"]."</f>
        <v>ENBT200:1:O.Data[84].</v>
      </c>
      <c r="CK51">
        <v>29</v>
      </c>
      <c r="CM51" t="s">
        <v>75</v>
      </c>
      <c r="CN51" s="30" t="str">
        <f>"O0"&amp;Header_Config03&amp;"N"&amp;TEXT(Prep!$U$6,"00")&amp;"."</f>
        <v>O0201N51.</v>
      </c>
      <c r="CO51" t="s">
        <v>510</v>
      </c>
      <c r="CP51" t="s">
        <v>12</v>
      </c>
      <c r="CQ51" s="40"/>
      <c r="CR51" s="30" t="s">
        <v>511</v>
      </c>
    </row>
    <row r="52" spans="2:96" x14ac:dyDescent="0.35">
      <c r="B52" s="4" t="str">
        <f t="shared" si="28"/>
        <v>&lt;BLANK&gt;</v>
      </c>
      <c r="C52" s="4"/>
      <c r="D52" s="4" t="str">
        <f t="shared" si="29"/>
        <v>From_PLC_RemoteWaterSaverReset</v>
      </c>
      <c r="E52" s="4" t="str">
        <f t="shared" si="30"/>
        <v>ENBT200:1:O.Data[85].0</v>
      </c>
      <c r="F52" s="4" t="str">
        <f t="shared" si="31"/>
        <v>Q</v>
      </c>
      <c r="G52" s="4" t="str">
        <f t="shared" si="32"/>
        <v/>
      </c>
      <c r="H52" s="4" t="str">
        <f t="shared" si="33"/>
        <v>Controller: &lt;O0201N51.b97&gt; - REMOTE WATER SAVER RESET DI97</v>
      </c>
      <c r="I52" s="4" t="str">
        <f t="shared" si="34"/>
        <v>AB_RACKx_SLOTa</v>
      </c>
      <c r="J52" s="4"/>
      <c r="K52" s="56" t="str">
        <f t="shared" si="35"/>
        <v>BOOL</v>
      </c>
      <c r="L52" s="56" t="str">
        <f t="shared" si="4"/>
        <v>ROBOTS\SxxRyy</v>
      </c>
      <c r="M52" s="56" t="str">
        <f t="shared" si="5"/>
        <v>STELLANTIS\Common\ToolPrototype\Robots</v>
      </c>
      <c r="N52" s="56" t="str">
        <f t="shared" si="6"/>
        <v>STELLANTIS_DN_FANUC_ROBOT_128_BIT_INTEGRATED_SAFETY_SxxRyy.v00</v>
      </c>
      <c r="O52" s="56" t="str">
        <f t="shared" si="36"/>
        <v/>
      </c>
      <c r="P52" s="56" t="str">
        <f t="shared" si="37"/>
        <v/>
      </c>
      <c r="Q52" s="56" t="str">
        <f t="shared" si="38"/>
        <v/>
      </c>
      <c r="R52" s="56" t="str">
        <f t="shared" si="39"/>
        <v/>
      </c>
      <c r="S52" s="56" t="str">
        <f t="shared" si="40"/>
        <v/>
      </c>
      <c r="T52" s="56" t="str">
        <f t="shared" si="41"/>
        <v/>
      </c>
      <c r="U52" s="56" t="str">
        <f t="shared" si="42"/>
        <v/>
      </c>
      <c r="V52" s="56" t="str">
        <f t="shared" si="43"/>
        <v/>
      </c>
      <c r="W52" s="56"/>
      <c r="X52" s="56"/>
      <c r="Y52" s="56"/>
      <c r="Z52" s="56" t="str">
        <f t="shared" si="44"/>
        <v/>
      </c>
      <c r="AA52" s="56" t="str">
        <f t="shared" si="45"/>
        <v/>
      </c>
      <c r="AB52" s="56" t="str">
        <f t="shared" si="9"/>
        <v>ToolPrototype</v>
      </c>
      <c r="AC52" s="56" t="str">
        <f t="shared" si="46"/>
        <v>Optional</v>
      </c>
      <c r="AD52" s="56" t="str">
        <f t="shared" si="10"/>
        <v>&lt;device&gt;
&lt;name&gt;SxxRyy&lt;/name&gt;
&lt;type&gt;FCA_DN_FANUC&lt;/type&gt;
&lt;deviceNetwork&gt;201&lt;/deviceNetwork&gt;
&lt;deviceNode&gt;56&lt;/deviceNode&gt;
&lt;/device&gt;</v>
      </c>
      <c r="AE52" s="56" t="str">
        <f t="shared" si="11"/>
        <v/>
      </c>
      <c r="AF52" s="56" t="str">
        <f t="shared" si="12"/>
        <v/>
      </c>
      <c r="AG52" s="56" t="str">
        <f t="shared" si="13"/>
        <v/>
      </c>
      <c r="AH52" s="56" t="str">
        <f t="shared" si="14"/>
        <v/>
      </c>
      <c r="AI52" s="56" t="str">
        <f t="shared" si="15"/>
        <v/>
      </c>
      <c r="AJ52" s="56" t="str">
        <f t="shared" si="16"/>
        <v/>
      </c>
      <c r="AK52" s="56" t="str">
        <f t="shared" si="17"/>
        <v/>
      </c>
      <c r="AL52" s="56" t="str">
        <f t="shared" si="18"/>
        <v/>
      </c>
      <c r="AM52" s="56" t="str">
        <f t="shared" si="19"/>
        <v/>
      </c>
      <c r="AN52" s="56" t="str">
        <f t="shared" si="47"/>
        <v/>
      </c>
      <c r="AO52" s="56" t="str">
        <f t="shared" si="48"/>
        <v/>
      </c>
      <c r="AP52" s="56" t="str">
        <f t="shared" si="49"/>
        <v>PLC</v>
      </c>
      <c r="AQ52" s="56" t="str">
        <f t="shared" si="50"/>
        <v>ENTRY</v>
      </c>
      <c r="AR52" s="39" t="s">
        <v>130</v>
      </c>
      <c r="AT52" s="44" t="str">
        <f t="shared" si="51"/>
        <v>BOOL</v>
      </c>
      <c r="AU52" s="23">
        <f t="shared" si="52"/>
        <v>0</v>
      </c>
      <c r="AV52" s="23" t="str">
        <f t="shared" si="53"/>
        <v>Q</v>
      </c>
      <c r="AW52" s="23" t="str">
        <f t="shared" si="54"/>
        <v xml:space="preserve">Q.: </v>
      </c>
      <c r="AX52" s="23" t="str">
        <f t="shared" si="55"/>
        <v>ENBT200:1:O.Data[85].0</v>
      </c>
      <c r="AY52" s="36" t="str">
        <f t="shared" si="56"/>
        <v xml:space="preserve">Controller: &lt;O0201N51.b97&gt; - </v>
      </c>
      <c r="BB52" s="42" t="s">
        <v>15</v>
      </c>
      <c r="BC52" t="s">
        <v>16</v>
      </c>
      <c r="BD52" t="str">
        <f t="shared" si="60"/>
        <v>AB_RACKx_SLOTa</v>
      </c>
      <c r="BT52" t="str">
        <f>Prep!$G$4</f>
        <v>X</v>
      </c>
      <c r="BV52" s="30" t="s">
        <v>512</v>
      </c>
      <c r="BW52" t="str">
        <f t="shared" si="58"/>
        <v>DI[97]</v>
      </c>
      <c r="BY52" s="42"/>
      <c r="CB52" s="42"/>
      <c r="CE52" s="30"/>
      <c r="CH52" s="42"/>
      <c r="CJ52" t="str">
        <f>Prep!$U$3&amp;":O.Data["&amp;Prep!$U$7+3&amp;"]."</f>
        <v>ENBT200:1:O.Data[85].</v>
      </c>
      <c r="CK52">
        <v>0</v>
      </c>
      <c r="CM52" t="s">
        <v>75</v>
      </c>
      <c r="CN52" s="30" t="str">
        <f>"O0"&amp;Header_Config03&amp;"N"&amp;TEXT(Prep!$U$6,"00")&amp;"."</f>
        <v>O0201N51.</v>
      </c>
      <c r="CO52" t="s">
        <v>513</v>
      </c>
      <c r="CP52" t="s">
        <v>12</v>
      </c>
      <c r="CQ52" s="40"/>
      <c r="CR52" s="30" t="s">
        <v>514</v>
      </c>
    </row>
    <row r="53" spans="2:96" x14ac:dyDescent="0.35">
      <c r="B53" s="4" t="str">
        <f t="shared" si="28"/>
        <v>&lt;BLANK&gt;</v>
      </c>
      <c r="C53" s="4"/>
      <c r="D53" s="4" t="str">
        <f t="shared" si="29"/>
        <v>From_PLC_ExtWaterOffReset</v>
      </c>
      <c r="E53" s="4" t="str">
        <f t="shared" si="30"/>
        <v>ENBT200:1:O.Data[85].1</v>
      </c>
      <c r="F53" s="4" t="str">
        <f t="shared" si="31"/>
        <v>Q</v>
      </c>
      <c r="G53" s="4" t="str">
        <f t="shared" si="32"/>
        <v/>
      </c>
      <c r="H53" s="4" t="str">
        <f t="shared" si="33"/>
        <v>Controller: &lt;O0201N51.b98&gt; - EXTERNAL WATER OFF REQUEST DI98</v>
      </c>
      <c r="I53" s="4" t="str">
        <f t="shared" si="34"/>
        <v>AB_RACKx_SLOTa</v>
      </c>
      <c r="J53" s="4"/>
      <c r="K53" s="56" t="str">
        <f t="shared" si="35"/>
        <v>BOOL</v>
      </c>
      <c r="L53" s="56" t="str">
        <f t="shared" si="4"/>
        <v>ROBOTS\SxxRyy</v>
      </c>
      <c r="M53" s="56" t="str">
        <f t="shared" si="5"/>
        <v>STELLANTIS\Common\ToolPrototype\Robots</v>
      </c>
      <c r="N53" s="56" t="str">
        <f t="shared" si="6"/>
        <v>STELLANTIS_DN_FANUC_ROBOT_128_BIT_INTEGRATED_SAFETY_SxxRyy.v00</v>
      </c>
      <c r="O53" s="56" t="str">
        <f t="shared" si="36"/>
        <v/>
      </c>
      <c r="P53" s="56" t="str">
        <f t="shared" si="37"/>
        <v/>
      </c>
      <c r="Q53" s="56" t="str">
        <f t="shared" si="38"/>
        <v/>
      </c>
      <c r="R53" s="56" t="str">
        <f t="shared" si="39"/>
        <v/>
      </c>
      <c r="S53" s="56" t="str">
        <f t="shared" si="40"/>
        <v/>
      </c>
      <c r="T53" s="56" t="str">
        <f t="shared" si="41"/>
        <v/>
      </c>
      <c r="U53" s="56" t="str">
        <f t="shared" si="42"/>
        <v/>
      </c>
      <c r="V53" s="56" t="str">
        <f t="shared" si="43"/>
        <v/>
      </c>
      <c r="W53" s="56"/>
      <c r="X53" s="56"/>
      <c r="Y53" s="56"/>
      <c r="Z53" s="56" t="str">
        <f t="shared" si="44"/>
        <v/>
      </c>
      <c r="AA53" s="56" t="str">
        <f t="shared" si="45"/>
        <v/>
      </c>
      <c r="AB53" s="56" t="str">
        <f t="shared" si="9"/>
        <v>ToolPrototype</v>
      </c>
      <c r="AC53" s="56" t="str">
        <f t="shared" si="46"/>
        <v>Optional</v>
      </c>
      <c r="AD53" s="56" t="str">
        <f t="shared" si="10"/>
        <v>&lt;device&gt;
&lt;name&gt;SxxRyy&lt;/name&gt;
&lt;type&gt;FCA_DN_FANUC&lt;/type&gt;
&lt;deviceNetwork&gt;201&lt;/deviceNetwork&gt;
&lt;deviceNode&gt;56&lt;/deviceNode&gt;
&lt;/device&gt;</v>
      </c>
      <c r="AE53" s="56" t="str">
        <f t="shared" si="11"/>
        <v/>
      </c>
      <c r="AF53" s="56" t="str">
        <f t="shared" si="12"/>
        <v/>
      </c>
      <c r="AG53" s="56" t="str">
        <f t="shared" si="13"/>
        <v/>
      </c>
      <c r="AH53" s="56" t="str">
        <f t="shared" si="14"/>
        <v/>
      </c>
      <c r="AI53" s="56" t="str">
        <f t="shared" si="15"/>
        <v/>
      </c>
      <c r="AJ53" s="56" t="str">
        <f t="shared" si="16"/>
        <v/>
      </c>
      <c r="AK53" s="56" t="str">
        <f t="shared" si="17"/>
        <v/>
      </c>
      <c r="AL53" s="56" t="str">
        <f t="shared" si="18"/>
        <v/>
      </c>
      <c r="AM53" s="56" t="str">
        <f t="shared" si="19"/>
        <v/>
      </c>
      <c r="AN53" s="56" t="str">
        <f t="shared" si="47"/>
        <v/>
      </c>
      <c r="AO53" s="56" t="str">
        <f t="shared" si="48"/>
        <v/>
      </c>
      <c r="AP53" s="56" t="str">
        <f t="shared" si="49"/>
        <v>PLC</v>
      </c>
      <c r="AQ53" s="56" t="str">
        <f t="shared" si="50"/>
        <v>ENTRY</v>
      </c>
      <c r="AR53" s="39" t="s">
        <v>130</v>
      </c>
      <c r="AT53" s="44" t="str">
        <f t="shared" si="51"/>
        <v>BOOL</v>
      </c>
      <c r="AU53" s="23">
        <f t="shared" si="52"/>
        <v>0</v>
      </c>
      <c r="AV53" s="23" t="str">
        <f t="shared" si="53"/>
        <v>Q</v>
      </c>
      <c r="AW53" s="23" t="str">
        <f t="shared" si="54"/>
        <v xml:space="preserve">Q.: </v>
      </c>
      <c r="AX53" s="23" t="str">
        <f t="shared" si="55"/>
        <v>ENBT200:1:O.Data[85].1</v>
      </c>
      <c r="AY53" s="36" t="str">
        <f t="shared" si="56"/>
        <v xml:space="preserve">Controller: &lt;O0201N51.b98&gt; - </v>
      </c>
      <c r="BB53" s="42" t="s">
        <v>15</v>
      </c>
      <c r="BC53" t="s">
        <v>16</v>
      </c>
      <c r="BD53" t="str">
        <f t="shared" si="60"/>
        <v>AB_RACKx_SLOTa</v>
      </c>
      <c r="BT53" t="str">
        <f>Prep!$G$4</f>
        <v>X</v>
      </c>
      <c r="BV53" s="30" t="s">
        <v>515</v>
      </c>
      <c r="BW53" t="str">
        <f t="shared" si="58"/>
        <v>DI[98]</v>
      </c>
      <c r="BY53" s="42"/>
      <c r="CB53" s="42"/>
      <c r="CE53" s="30"/>
      <c r="CH53" s="42"/>
      <c r="CJ53" t="str">
        <f>Prep!$U$3&amp;":O.Data["&amp;Prep!$U$7+3&amp;"]."</f>
        <v>ENBT200:1:O.Data[85].</v>
      </c>
      <c r="CK53">
        <v>1</v>
      </c>
      <c r="CM53" t="s">
        <v>75</v>
      </c>
      <c r="CN53" s="30" t="str">
        <f>"O0"&amp;Header_Config03&amp;"N"&amp;TEXT(Prep!$U$6,"00")&amp;"."</f>
        <v>O0201N51.</v>
      </c>
      <c r="CO53" t="s">
        <v>516</v>
      </c>
      <c r="CP53" t="s">
        <v>12</v>
      </c>
      <c r="CQ53" s="40"/>
      <c r="CR53" s="30" t="s">
        <v>517</v>
      </c>
    </row>
    <row r="54" spans="2:96" x14ac:dyDescent="0.35">
      <c r="B54" s="4" t="str">
        <f t="shared" si="28"/>
        <v>&lt;BLANK&gt;</v>
      </c>
      <c r="C54" s="4"/>
      <c r="D54" s="4" t="str">
        <f t="shared" si="29"/>
        <v>From_PLC_ExtApp1StartReq</v>
      </c>
      <c r="E54" s="4" t="str">
        <f t="shared" si="30"/>
        <v>ENBT200:1:O.Data[85].16</v>
      </c>
      <c r="F54" s="4" t="str">
        <f t="shared" si="31"/>
        <v>Q</v>
      </c>
      <c r="G54" s="4" t="str">
        <f t="shared" si="32"/>
        <v/>
      </c>
      <c r="H54" s="4" t="str">
        <f t="shared" si="33"/>
        <v>Controller: &lt;O0201N51.b113&gt; - EXTERNAL APPLICATION 1 START REQUEST DI113</v>
      </c>
      <c r="I54" s="4" t="str">
        <f t="shared" si="34"/>
        <v>AB_RACKx_SLOTa</v>
      </c>
      <c r="J54" s="4"/>
      <c r="K54" s="56" t="str">
        <f t="shared" si="35"/>
        <v>BOOL</v>
      </c>
      <c r="L54" s="56" t="str">
        <f t="shared" si="4"/>
        <v>ROBOTS\SxxRyy</v>
      </c>
      <c r="M54" s="56" t="str">
        <f t="shared" si="5"/>
        <v>STELLANTIS\Common\ToolPrototype\Robots</v>
      </c>
      <c r="N54" s="56" t="str">
        <f t="shared" si="6"/>
        <v>STELLANTIS_DN_FANUC_ROBOT_128_BIT_INTEGRATED_SAFETY_SxxRyy.v00</v>
      </c>
      <c r="O54" s="56" t="str">
        <f t="shared" si="36"/>
        <v/>
      </c>
      <c r="P54" s="56" t="str">
        <f t="shared" si="37"/>
        <v/>
      </c>
      <c r="Q54" s="56" t="str">
        <f t="shared" si="38"/>
        <v/>
      </c>
      <c r="R54" s="56" t="str">
        <f t="shared" si="39"/>
        <v/>
      </c>
      <c r="S54" s="56" t="str">
        <f t="shared" si="40"/>
        <v/>
      </c>
      <c r="T54" s="56" t="str">
        <f t="shared" si="41"/>
        <v/>
      </c>
      <c r="U54" s="56" t="str">
        <f t="shared" si="42"/>
        <v/>
      </c>
      <c r="V54" s="56" t="str">
        <f t="shared" si="43"/>
        <v/>
      </c>
      <c r="W54" s="56"/>
      <c r="X54" s="56"/>
      <c r="Y54" s="56"/>
      <c r="Z54" s="56" t="str">
        <f t="shared" si="44"/>
        <v/>
      </c>
      <c r="AA54" s="56" t="str">
        <f t="shared" si="45"/>
        <v/>
      </c>
      <c r="AB54" s="56" t="str">
        <f t="shared" si="9"/>
        <v>ToolPrototype</v>
      </c>
      <c r="AC54" s="56" t="str">
        <f t="shared" si="46"/>
        <v>Optional</v>
      </c>
      <c r="AD54" s="56" t="str">
        <f t="shared" si="10"/>
        <v>&lt;device&gt;
&lt;name&gt;SxxRyy&lt;/name&gt;
&lt;type&gt;FCA_DN_FANUC&lt;/type&gt;
&lt;deviceNetwork&gt;201&lt;/deviceNetwork&gt;
&lt;deviceNode&gt;56&lt;/deviceNode&gt;
&lt;/device&gt;</v>
      </c>
      <c r="AE54" s="56" t="str">
        <f t="shared" si="11"/>
        <v/>
      </c>
      <c r="AF54" s="56" t="str">
        <f t="shared" si="12"/>
        <v/>
      </c>
      <c r="AG54" s="56" t="str">
        <f t="shared" si="13"/>
        <v/>
      </c>
      <c r="AH54" s="56" t="str">
        <f t="shared" si="14"/>
        <v/>
      </c>
      <c r="AI54" s="56" t="str">
        <f t="shared" si="15"/>
        <v/>
      </c>
      <c r="AJ54" s="56" t="str">
        <f t="shared" si="16"/>
        <v/>
      </c>
      <c r="AK54" s="56" t="str">
        <f t="shared" si="17"/>
        <v/>
      </c>
      <c r="AL54" s="56" t="str">
        <f t="shared" si="18"/>
        <v/>
      </c>
      <c r="AM54" s="56" t="str">
        <f t="shared" si="19"/>
        <v/>
      </c>
      <c r="AN54" s="56" t="str">
        <f t="shared" si="47"/>
        <v/>
      </c>
      <c r="AO54" s="56" t="str">
        <f t="shared" si="48"/>
        <v/>
      </c>
      <c r="AP54" s="56" t="str">
        <f t="shared" si="49"/>
        <v>PLC</v>
      </c>
      <c r="AQ54" s="56" t="str">
        <f t="shared" si="50"/>
        <v>ENTRY</v>
      </c>
      <c r="AR54" s="39" t="s">
        <v>130</v>
      </c>
      <c r="AT54" s="44" t="str">
        <f t="shared" si="51"/>
        <v>BOOL</v>
      </c>
      <c r="AU54" s="23">
        <f t="shared" si="52"/>
        <v>0</v>
      </c>
      <c r="AV54" s="23" t="str">
        <f t="shared" si="53"/>
        <v>Q</v>
      </c>
      <c r="AW54" s="23" t="str">
        <f t="shared" si="54"/>
        <v xml:space="preserve">Q.: </v>
      </c>
      <c r="AX54" s="23" t="str">
        <f t="shared" si="55"/>
        <v>ENBT200:1:O.Data[85].16</v>
      </c>
      <c r="AY54" s="36" t="str">
        <f t="shared" si="56"/>
        <v xml:space="preserve">Controller: &lt;O0201N51.b113&gt; - </v>
      </c>
      <c r="BB54" s="42" t="s">
        <v>15</v>
      </c>
      <c r="BC54" t="s">
        <v>16</v>
      </c>
      <c r="BD54" t="str">
        <f t="shared" si="60"/>
        <v>AB_RACKx_SLOTa</v>
      </c>
      <c r="BT54" t="str">
        <f>Prep!$G$6</f>
        <v>X</v>
      </c>
      <c r="BV54" s="30" t="s">
        <v>518</v>
      </c>
      <c r="BW54" t="str">
        <f t="shared" si="58"/>
        <v>DI[113]</v>
      </c>
      <c r="BY54" s="42"/>
      <c r="CB54" s="42"/>
      <c r="CE54" s="30"/>
      <c r="CH54" s="42"/>
      <c r="CJ54" t="str">
        <f>Prep!$U$3&amp;":O.Data["&amp;Prep!$U$7+3&amp;"]."</f>
        <v>ENBT200:1:O.Data[85].</v>
      </c>
      <c r="CK54">
        <v>16</v>
      </c>
      <c r="CM54" t="s">
        <v>75</v>
      </c>
      <c r="CN54" s="30" t="str">
        <f>"O0"&amp;Header_Config03&amp;"N"&amp;TEXT(Prep!$U$6,"00")&amp;"."</f>
        <v>O0201N51.</v>
      </c>
      <c r="CO54" t="s">
        <v>519</v>
      </c>
      <c r="CP54" t="s">
        <v>12</v>
      </c>
      <c r="CQ54" s="40"/>
      <c r="CR54" s="30" t="s">
        <v>520</v>
      </c>
    </row>
    <row r="55" spans="2:96" x14ac:dyDescent="0.35">
      <c r="B55" s="4" t="str">
        <f t="shared" si="28"/>
        <v>&lt;BLANK&gt;</v>
      </c>
      <c r="C55" s="4"/>
      <c r="D55" s="4" t="str">
        <f t="shared" si="29"/>
        <v>From_PLC_ExtApp1Complete</v>
      </c>
      <c r="E55" s="4" t="str">
        <f t="shared" si="30"/>
        <v>ENBT200:1:O.Data[85].17</v>
      </c>
      <c r="F55" s="4" t="str">
        <f t="shared" si="31"/>
        <v>Q</v>
      </c>
      <c r="G55" s="4" t="str">
        <f t="shared" si="32"/>
        <v/>
      </c>
      <c r="H55" s="4" t="str">
        <f t="shared" si="33"/>
        <v>Controller: &lt;O0201N51.b114&gt; - EXTERNAL APPLICATION 1 COMPLETE DI114</v>
      </c>
      <c r="I55" s="4" t="str">
        <f t="shared" si="34"/>
        <v>AB_RACKx_SLOTa</v>
      </c>
      <c r="J55" s="4"/>
      <c r="K55" s="56" t="str">
        <f t="shared" si="35"/>
        <v>BOOL</v>
      </c>
      <c r="L55" s="56" t="str">
        <f t="shared" si="4"/>
        <v>ROBOTS\SxxRyy</v>
      </c>
      <c r="M55" s="56" t="str">
        <f t="shared" si="5"/>
        <v>STELLANTIS\Common\ToolPrototype\Robots</v>
      </c>
      <c r="N55" s="56" t="str">
        <f t="shared" si="6"/>
        <v>STELLANTIS_DN_FANUC_ROBOT_128_BIT_INTEGRATED_SAFETY_SxxRyy.v00</v>
      </c>
      <c r="O55" s="56" t="str">
        <f t="shared" si="36"/>
        <v/>
      </c>
      <c r="P55" s="56" t="str">
        <f t="shared" si="37"/>
        <v/>
      </c>
      <c r="Q55" s="56" t="str">
        <f t="shared" si="38"/>
        <v/>
      </c>
      <c r="R55" s="56" t="str">
        <f t="shared" si="39"/>
        <v/>
      </c>
      <c r="S55" s="56" t="str">
        <f t="shared" si="40"/>
        <v/>
      </c>
      <c r="T55" s="56" t="str">
        <f t="shared" si="41"/>
        <v/>
      </c>
      <c r="U55" s="56" t="str">
        <f t="shared" si="42"/>
        <v/>
      </c>
      <c r="V55" s="56" t="str">
        <f t="shared" si="43"/>
        <v/>
      </c>
      <c r="W55" s="56"/>
      <c r="X55" s="56"/>
      <c r="Y55" s="56"/>
      <c r="Z55" s="56" t="str">
        <f t="shared" si="44"/>
        <v/>
      </c>
      <c r="AA55" s="56" t="str">
        <f t="shared" si="45"/>
        <v/>
      </c>
      <c r="AB55" s="56" t="str">
        <f t="shared" si="9"/>
        <v>ToolPrototype</v>
      </c>
      <c r="AC55" s="56" t="str">
        <f t="shared" si="46"/>
        <v>Optional</v>
      </c>
      <c r="AD55" s="56" t="str">
        <f t="shared" si="10"/>
        <v>&lt;device&gt;
&lt;name&gt;SxxRyy&lt;/name&gt;
&lt;type&gt;FCA_DN_FANUC&lt;/type&gt;
&lt;deviceNetwork&gt;201&lt;/deviceNetwork&gt;
&lt;deviceNode&gt;56&lt;/deviceNode&gt;
&lt;/device&gt;</v>
      </c>
      <c r="AE55" s="56" t="str">
        <f t="shared" si="11"/>
        <v/>
      </c>
      <c r="AF55" s="56" t="str">
        <f t="shared" si="12"/>
        <v/>
      </c>
      <c r="AG55" s="56" t="str">
        <f t="shared" si="13"/>
        <v/>
      </c>
      <c r="AH55" s="56" t="str">
        <f t="shared" si="14"/>
        <v/>
      </c>
      <c r="AI55" s="56" t="str">
        <f t="shared" si="15"/>
        <v/>
      </c>
      <c r="AJ55" s="56" t="str">
        <f t="shared" si="16"/>
        <v/>
      </c>
      <c r="AK55" s="56" t="str">
        <f t="shared" si="17"/>
        <v/>
      </c>
      <c r="AL55" s="56" t="str">
        <f t="shared" si="18"/>
        <v/>
      </c>
      <c r="AM55" s="56" t="str">
        <f t="shared" si="19"/>
        <v/>
      </c>
      <c r="AN55" s="56" t="str">
        <f t="shared" si="47"/>
        <v/>
      </c>
      <c r="AO55" s="56" t="str">
        <f t="shared" si="48"/>
        <v/>
      </c>
      <c r="AP55" s="56" t="str">
        <f t="shared" si="49"/>
        <v>PLC</v>
      </c>
      <c r="AQ55" s="56" t="str">
        <f t="shared" si="50"/>
        <v>ENTRY</v>
      </c>
      <c r="AR55" s="39" t="s">
        <v>130</v>
      </c>
      <c r="AT55" s="44" t="str">
        <f t="shared" si="51"/>
        <v>BOOL</v>
      </c>
      <c r="AU55" s="23">
        <f t="shared" si="52"/>
        <v>0</v>
      </c>
      <c r="AV55" s="23" t="str">
        <f t="shared" si="53"/>
        <v>Q</v>
      </c>
      <c r="AW55" s="23" t="str">
        <f t="shared" si="54"/>
        <v xml:space="preserve">Q.: </v>
      </c>
      <c r="AX55" s="23" t="str">
        <f t="shared" si="55"/>
        <v>ENBT200:1:O.Data[85].17</v>
      </c>
      <c r="AY55" s="36" t="str">
        <f t="shared" si="56"/>
        <v xml:space="preserve">Controller: &lt;O0201N51.b114&gt; - </v>
      </c>
      <c r="BB55" s="42" t="s">
        <v>15</v>
      </c>
      <c r="BC55" t="s">
        <v>16</v>
      </c>
      <c r="BD55" t="str">
        <f t="shared" si="60"/>
        <v>AB_RACKx_SLOTa</v>
      </c>
      <c r="BT55" t="str">
        <f>Prep!$G$6</f>
        <v>X</v>
      </c>
      <c r="BV55" s="30" t="s">
        <v>521</v>
      </c>
      <c r="BW55" t="str">
        <f t="shared" si="58"/>
        <v>DI[114]</v>
      </c>
      <c r="BY55" s="42"/>
      <c r="CB55" s="42"/>
      <c r="CE55" s="30"/>
      <c r="CH55" s="42"/>
      <c r="CJ55" t="str">
        <f>Prep!$U$3&amp;":O.Data["&amp;Prep!$U$7+3&amp;"]."</f>
        <v>ENBT200:1:O.Data[85].</v>
      </c>
      <c r="CK55">
        <v>17</v>
      </c>
      <c r="CM55" t="s">
        <v>75</v>
      </c>
      <c r="CN55" s="30" t="str">
        <f>"O0"&amp;Header_Config03&amp;"N"&amp;TEXT(Prep!$U$6,"00")&amp;"."</f>
        <v>O0201N51.</v>
      </c>
      <c r="CO55" t="s">
        <v>522</v>
      </c>
      <c r="CP55" t="s">
        <v>12</v>
      </c>
      <c r="CQ55" s="40"/>
      <c r="CR55" s="30" t="s">
        <v>523</v>
      </c>
    </row>
    <row r="56" spans="2:96" x14ac:dyDescent="0.35">
      <c r="B56" s="4" t="str">
        <f t="shared" si="28"/>
        <v>&lt;BLANK&gt;</v>
      </c>
      <c r="C56" s="4"/>
      <c r="D56" s="4" t="str">
        <f t="shared" si="29"/>
        <v>From_PLC_ExtApp2StartReq</v>
      </c>
      <c r="E56" s="4" t="str">
        <f t="shared" si="30"/>
        <v>ENBT200:1:O.Data[85].18</v>
      </c>
      <c r="F56" s="4" t="str">
        <f t="shared" si="31"/>
        <v>Q</v>
      </c>
      <c r="G56" s="4" t="str">
        <f t="shared" si="32"/>
        <v/>
      </c>
      <c r="H56" s="4" t="str">
        <f t="shared" si="33"/>
        <v>Controller: &lt;O0201N51.b115&gt; - EXTERNAL APPLICATION 2 START REQUEST DI115</v>
      </c>
      <c r="I56" s="4" t="str">
        <f t="shared" si="34"/>
        <v>AB_RACKx_SLOTa</v>
      </c>
      <c r="J56" s="4"/>
      <c r="K56" s="56" t="str">
        <f t="shared" si="35"/>
        <v>BOOL</v>
      </c>
      <c r="L56" s="56" t="str">
        <f t="shared" si="4"/>
        <v>ROBOTS\SxxRyy</v>
      </c>
      <c r="M56" s="56" t="str">
        <f t="shared" si="5"/>
        <v>STELLANTIS\Common\ToolPrototype\Robots</v>
      </c>
      <c r="N56" s="56" t="str">
        <f t="shared" si="6"/>
        <v>STELLANTIS_DN_FANUC_ROBOT_128_BIT_INTEGRATED_SAFETY_SxxRyy.v00</v>
      </c>
      <c r="O56" s="56" t="str">
        <f t="shared" si="36"/>
        <v/>
      </c>
      <c r="P56" s="56" t="str">
        <f t="shared" si="37"/>
        <v/>
      </c>
      <c r="Q56" s="56" t="str">
        <f t="shared" si="38"/>
        <v/>
      </c>
      <c r="R56" s="56" t="str">
        <f t="shared" si="39"/>
        <v/>
      </c>
      <c r="S56" s="56" t="str">
        <f t="shared" si="40"/>
        <v/>
      </c>
      <c r="T56" s="56" t="str">
        <f t="shared" si="41"/>
        <v/>
      </c>
      <c r="U56" s="56" t="str">
        <f t="shared" si="42"/>
        <v/>
      </c>
      <c r="V56" s="56" t="str">
        <f t="shared" si="43"/>
        <v/>
      </c>
      <c r="W56" s="56"/>
      <c r="X56" s="56"/>
      <c r="Y56" s="56"/>
      <c r="Z56" s="56" t="str">
        <f t="shared" si="44"/>
        <v/>
      </c>
      <c r="AA56" s="56" t="str">
        <f t="shared" si="45"/>
        <v/>
      </c>
      <c r="AB56" s="56" t="str">
        <f t="shared" si="9"/>
        <v>ToolPrototype</v>
      </c>
      <c r="AC56" s="56" t="str">
        <f t="shared" si="46"/>
        <v>Optional</v>
      </c>
      <c r="AD56" s="56" t="str">
        <f t="shared" si="10"/>
        <v>&lt;device&gt;
&lt;name&gt;SxxRyy&lt;/name&gt;
&lt;type&gt;FCA_DN_FANUC&lt;/type&gt;
&lt;deviceNetwork&gt;201&lt;/deviceNetwork&gt;
&lt;deviceNode&gt;56&lt;/deviceNode&gt;
&lt;/device&gt;</v>
      </c>
      <c r="AE56" s="56" t="str">
        <f t="shared" si="11"/>
        <v/>
      </c>
      <c r="AF56" s="56" t="str">
        <f t="shared" si="12"/>
        <v/>
      </c>
      <c r="AG56" s="56" t="str">
        <f t="shared" si="13"/>
        <v/>
      </c>
      <c r="AH56" s="56" t="str">
        <f t="shared" si="14"/>
        <v/>
      </c>
      <c r="AI56" s="56" t="str">
        <f t="shared" si="15"/>
        <v/>
      </c>
      <c r="AJ56" s="56" t="str">
        <f t="shared" si="16"/>
        <v/>
      </c>
      <c r="AK56" s="56" t="str">
        <f t="shared" si="17"/>
        <v/>
      </c>
      <c r="AL56" s="56" t="str">
        <f t="shared" si="18"/>
        <v/>
      </c>
      <c r="AM56" s="56" t="str">
        <f t="shared" si="19"/>
        <v/>
      </c>
      <c r="AN56" s="56" t="str">
        <f t="shared" si="47"/>
        <v/>
      </c>
      <c r="AO56" s="56" t="str">
        <f t="shared" si="48"/>
        <v/>
      </c>
      <c r="AP56" s="56" t="str">
        <f t="shared" si="49"/>
        <v>PLC</v>
      </c>
      <c r="AQ56" s="56" t="str">
        <f t="shared" si="50"/>
        <v>ENTRY</v>
      </c>
      <c r="AR56" s="39" t="s">
        <v>130</v>
      </c>
      <c r="AT56" s="44" t="str">
        <f t="shared" si="51"/>
        <v>BOOL</v>
      </c>
      <c r="AU56" s="23">
        <f t="shared" si="52"/>
        <v>0</v>
      </c>
      <c r="AV56" s="23" t="str">
        <f t="shared" si="53"/>
        <v>Q</v>
      </c>
      <c r="AW56" s="23" t="str">
        <f t="shared" si="54"/>
        <v xml:space="preserve">Q.: </v>
      </c>
      <c r="AX56" s="23" t="str">
        <f t="shared" si="55"/>
        <v>ENBT200:1:O.Data[85].18</v>
      </c>
      <c r="AY56" s="36" t="str">
        <f t="shared" si="56"/>
        <v xml:space="preserve">Controller: &lt;O0201N51.b115&gt; - </v>
      </c>
      <c r="BB56" s="42" t="s">
        <v>15</v>
      </c>
      <c r="BC56" t="s">
        <v>16</v>
      </c>
      <c r="BD56" t="str">
        <f t="shared" si="60"/>
        <v>AB_RACKx_SLOTa</v>
      </c>
      <c r="BT56" t="str">
        <f>Prep!$G$6</f>
        <v>X</v>
      </c>
      <c r="BV56" s="30" t="s">
        <v>524</v>
      </c>
      <c r="BW56" t="str">
        <f t="shared" si="58"/>
        <v>DI[115]</v>
      </c>
      <c r="BY56" s="42"/>
      <c r="CB56" s="42"/>
      <c r="CE56" s="30"/>
      <c r="CH56" s="42"/>
      <c r="CJ56" t="str">
        <f>Prep!$U$3&amp;":O.Data["&amp;Prep!$U$7+3&amp;"]."</f>
        <v>ENBT200:1:O.Data[85].</v>
      </c>
      <c r="CK56">
        <v>18</v>
      </c>
      <c r="CM56" t="s">
        <v>75</v>
      </c>
      <c r="CN56" s="30" t="str">
        <f>"O0"&amp;Header_Config03&amp;"N"&amp;TEXT(Prep!$U$6,"00")&amp;"."</f>
        <v>O0201N51.</v>
      </c>
      <c r="CO56" t="s">
        <v>525</v>
      </c>
      <c r="CP56" t="s">
        <v>12</v>
      </c>
      <c r="CQ56" s="40"/>
      <c r="CR56" s="30" t="s">
        <v>526</v>
      </c>
    </row>
    <row r="57" spans="2:96" x14ac:dyDescent="0.35">
      <c r="B57" s="4" t="str">
        <f t="shared" si="28"/>
        <v>&lt;BLANK&gt;</v>
      </c>
      <c r="C57" s="4"/>
      <c r="D57" s="4" t="str">
        <f t="shared" si="29"/>
        <v>From_PLC_ExtApp2Complete</v>
      </c>
      <c r="E57" s="4" t="str">
        <f t="shared" si="30"/>
        <v>ENBT200:1:O.Data[85].19</v>
      </c>
      <c r="F57" s="4" t="str">
        <f t="shared" si="31"/>
        <v>Q</v>
      </c>
      <c r="G57" s="4" t="str">
        <f t="shared" si="32"/>
        <v/>
      </c>
      <c r="H57" s="4" t="str">
        <f t="shared" si="33"/>
        <v>Controller: &lt;O0201N51.b116&gt; - EXTERNAL APPLICATION 2 COMPLETE DI116</v>
      </c>
      <c r="I57" s="4" t="str">
        <f t="shared" si="34"/>
        <v>AB_RACKx_SLOTa</v>
      </c>
      <c r="J57" s="4"/>
      <c r="K57" s="56" t="str">
        <f t="shared" si="35"/>
        <v>BOOL</v>
      </c>
      <c r="L57" s="56" t="str">
        <f t="shared" si="4"/>
        <v>ROBOTS\SxxRyy</v>
      </c>
      <c r="M57" s="56" t="str">
        <f t="shared" si="5"/>
        <v>STELLANTIS\Common\ToolPrototype\Robots</v>
      </c>
      <c r="N57" s="56" t="str">
        <f t="shared" si="6"/>
        <v>STELLANTIS_DN_FANUC_ROBOT_128_BIT_INTEGRATED_SAFETY_SxxRyy.v00</v>
      </c>
      <c r="O57" s="56" t="str">
        <f t="shared" si="36"/>
        <v/>
      </c>
      <c r="P57" s="56" t="str">
        <f t="shared" si="37"/>
        <v/>
      </c>
      <c r="Q57" s="56" t="str">
        <f t="shared" si="38"/>
        <v/>
      </c>
      <c r="R57" s="56" t="str">
        <f t="shared" si="39"/>
        <v/>
      </c>
      <c r="S57" s="56" t="str">
        <f t="shared" si="40"/>
        <v/>
      </c>
      <c r="T57" s="56" t="str">
        <f t="shared" si="41"/>
        <v/>
      </c>
      <c r="U57" s="56" t="str">
        <f t="shared" si="42"/>
        <v/>
      </c>
      <c r="V57" s="56" t="str">
        <f t="shared" si="43"/>
        <v/>
      </c>
      <c r="W57" s="56"/>
      <c r="X57" s="56"/>
      <c r="Y57" s="56"/>
      <c r="Z57" s="56" t="str">
        <f t="shared" si="44"/>
        <v/>
      </c>
      <c r="AA57" s="56" t="str">
        <f t="shared" si="45"/>
        <v/>
      </c>
      <c r="AB57" s="56" t="str">
        <f t="shared" si="9"/>
        <v>ToolPrototype</v>
      </c>
      <c r="AC57" s="56" t="str">
        <f t="shared" si="46"/>
        <v>Optional</v>
      </c>
      <c r="AD57" s="56" t="str">
        <f t="shared" si="10"/>
        <v>&lt;device&gt;
&lt;name&gt;SxxRyy&lt;/name&gt;
&lt;type&gt;FCA_DN_FANUC&lt;/type&gt;
&lt;deviceNetwork&gt;201&lt;/deviceNetwork&gt;
&lt;deviceNode&gt;56&lt;/deviceNode&gt;
&lt;/device&gt;</v>
      </c>
      <c r="AE57" s="56" t="str">
        <f t="shared" si="11"/>
        <v/>
      </c>
      <c r="AF57" s="56" t="str">
        <f t="shared" si="12"/>
        <v/>
      </c>
      <c r="AG57" s="56" t="str">
        <f t="shared" si="13"/>
        <v/>
      </c>
      <c r="AH57" s="56" t="str">
        <f t="shared" si="14"/>
        <v/>
      </c>
      <c r="AI57" s="56" t="str">
        <f t="shared" si="15"/>
        <v/>
      </c>
      <c r="AJ57" s="56" t="str">
        <f t="shared" si="16"/>
        <v/>
      </c>
      <c r="AK57" s="56" t="str">
        <f t="shared" si="17"/>
        <v/>
      </c>
      <c r="AL57" s="56" t="str">
        <f t="shared" si="18"/>
        <v/>
      </c>
      <c r="AM57" s="56" t="str">
        <f t="shared" si="19"/>
        <v/>
      </c>
      <c r="AN57" s="56" t="str">
        <f t="shared" si="47"/>
        <v/>
      </c>
      <c r="AO57" s="56" t="str">
        <f t="shared" si="48"/>
        <v/>
      </c>
      <c r="AP57" s="56" t="str">
        <f t="shared" si="49"/>
        <v>PLC</v>
      </c>
      <c r="AQ57" s="56" t="str">
        <f t="shared" si="50"/>
        <v>ENTRY</v>
      </c>
      <c r="AR57" s="39" t="s">
        <v>130</v>
      </c>
      <c r="AT57" s="44" t="str">
        <f t="shared" si="51"/>
        <v>BOOL</v>
      </c>
      <c r="AU57" s="23">
        <f t="shared" si="52"/>
        <v>0</v>
      </c>
      <c r="AV57" s="23" t="str">
        <f t="shared" si="53"/>
        <v>Q</v>
      </c>
      <c r="AW57" s="23" t="str">
        <f t="shared" si="54"/>
        <v xml:space="preserve">Q.: </v>
      </c>
      <c r="AX57" s="23" t="str">
        <f t="shared" si="55"/>
        <v>ENBT200:1:O.Data[85].19</v>
      </c>
      <c r="AY57" s="36" t="str">
        <f t="shared" si="56"/>
        <v xml:space="preserve">Controller: &lt;O0201N51.b116&gt; - </v>
      </c>
      <c r="BB57" s="42" t="s">
        <v>15</v>
      </c>
      <c r="BC57" t="s">
        <v>16</v>
      </c>
      <c r="BD57" t="str">
        <f t="shared" si="60"/>
        <v>AB_RACKx_SLOTa</v>
      </c>
      <c r="BT57" t="str">
        <f>Prep!$G$6</f>
        <v>X</v>
      </c>
      <c r="BV57" s="30" t="s">
        <v>527</v>
      </c>
      <c r="BW57" t="str">
        <f t="shared" si="58"/>
        <v>DI[116]</v>
      </c>
      <c r="BY57" s="42"/>
      <c r="CB57" s="42"/>
      <c r="CE57" s="30"/>
      <c r="CH57" s="42"/>
      <c r="CJ57" t="str">
        <f>Prep!$U$3&amp;":O.Data["&amp;Prep!$U$7+3&amp;"]."</f>
        <v>ENBT200:1:O.Data[85].</v>
      </c>
      <c r="CK57">
        <v>19</v>
      </c>
      <c r="CM57" t="s">
        <v>75</v>
      </c>
      <c r="CN57" s="30" t="str">
        <f>"O0"&amp;Header_Config03&amp;"N"&amp;TEXT(Prep!$U$6,"00")&amp;"."</f>
        <v>O0201N51.</v>
      </c>
      <c r="CO57" t="s">
        <v>528</v>
      </c>
      <c r="CP57" t="s">
        <v>12</v>
      </c>
      <c r="CQ57" s="40"/>
      <c r="CR57" s="30" t="s">
        <v>529</v>
      </c>
    </row>
    <row r="58" spans="2:96" x14ac:dyDescent="0.35">
      <c r="B58" s="4" t="str">
        <f t="shared" si="28"/>
        <v>FANUC_SxxRyy</v>
      </c>
      <c r="C58" s="4"/>
      <c r="D58" s="4" t="str">
        <f t="shared" si="29"/>
        <v>From_RBT_programEnded</v>
      </c>
      <c r="E58" s="4" t="str">
        <f t="shared" si="30"/>
        <v>SxxRyy_programEnded</v>
      </c>
      <c r="F58" s="4" t="str">
        <f t="shared" si="31"/>
        <v>I</v>
      </c>
      <c r="G58" s="4" t="str">
        <f t="shared" si="32"/>
        <v/>
      </c>
      <c r="H58" s="4" t="str">
        <f t="shared" si="33"/>
        <v>(Ending Program)</v>
      </c>
      <c r="I58" s="4" t="str">
        <f t="shared" si="34"/>
        <v/>
      </c>
      <c r="J58" s="4"/>
      <c r="K58" s="56" t="str">
        <f t="shared" si="35"/>
        <v>BOOL</v>
      </c>
      <c r="L58" s="56" t="str">
        <f t="shared" si="4"/>
        <v>ROBOTS\SxxRyy</v>
      </c>
      <c r="M58" s="56" t="str">
        <f t="shared" si="5"/>
        <v>STELLANTIS\Common\ToolPrototype\Robots</v>
      </c>
      <c r="N58" s="56" t="str">
        <f t="shared" si="6"/>
        <v>STELLANTIS_DN_FANUC_ROBOT_128_BIT_INTEGRATED_SAFETY_SxxRyy.v00</v>
      </c>
      <c r="O58" s="56" t="str">
        <f t="shared" si="36"/>
        <v/>
      </c>
      <c r="P58" s="56" t="str">
        <f t="shared" si="37"/>
        <v>SxxRyy</v>
      </c>
      <c r="Q58" s="56" t="str">
        <f t="shared" si="38"/>
        <v/>
      </c>
      <c r="R58" s="56" t="str">
        <f t="shared" si="39"/>
        <v/>
      </c>
      <c r="S58" s="56" t="str">
        <f t="shared" si="40"/>
        <v/>
      </c>
      <c r="T58" s="56" t="str">
        <f t="shared" si="41"/>
        <v/>
      </c>
      <c r="U58" s="56" t="str">
        <f t="shared" si="42"/>
        <v/>
      </c>
      <c r="V58" s="56" t="str">
        <f t="shared" si="43"/>
        <v/>
      </c>
      <c r="W58" s="56"/>
      <c r="X58" s="56"/>
      <c r="Y58" s="56"/>
      <c r="Z58" s="56" t="str">
        <f t="shared" si="44"/>
        <v/>
      </c>
      <c r="AA58" s="56" t="str">
        <f t="shared" si="45"/>
        <v/>
      </c>
      <c r="AB58" s="56" t="str">
        <f t="shared" si="9"/>
        <v>ToolPrototype</v>
      </c>
      <c r="AC58" s="56" t="str">
        <f t="shared" si="46"/>
        <v/>
      </c>
      <c r="AD58" s="56" t="str">
        <f t="shared" si="10"/>
        <v>&lt;device&gt;
&lt;name&gt;SxxRyy&lt;/name&gt;
&lt;type&gt;FCA_DN_FANUC&lt;/type&gt;
&lt;deviceNetwork&gt;201&lt;/deviceNetwork&gt;
&lt;deviceNode&gt;56&lt;/deviceNode&gt;
&lt;/device&gt;</v>
      </c>
      <c r="AE58" s="56" t="str">
        <f t="shared" si="11"/>
        <v/>
      </c>
      <c r="AF58" s="56" t="str">
        <f t="shared" si="12"/>
        <v/>
      </c>
      <c r="AG58" s="56" t="str">
        <f t="shared" si="13"/>
        <v/>
      </c>
      <c r="AH58" s="56" t="str">
        <f t="shared" si="14"/>
        <v/>
      </c>
      <c r="AI58" s="56" t="str">
        <f t="shared" si="15"/>
        <v/>
      </c>
      <c r="AJ58" s="56" t="str">
        <f t="shared" si="16"/>
        <v/>
      </c>
      <c r="AK58" s="56" t="str">
        <f t="shared" si="17"/>
        <v/>
      </c>
      <c r="AL58" s="56" t="str">
        <f t="shared" si="18"/>
        <v/>
      </c>
      <c r="AM58" s="56" t="str">
        <f t="shared" si="19"/>
        <v/>
      </c>
      <c r="AN58" s="56">
        <f t="shared" si="47"/>
        <v>1</v>
      </c>
      <c r="AO58" s="56" t="str">
        <f t="shared" si="48"/>
        <v>ROBOTS:SxxRyy\000_COMMON|ROBOTS_NOPLC:SxxRyy\000_COMMON</v>
      </c>
      <c r="AP58" s="56" t="str">
        <f t="shared" si="49"/>
        <v>RBT</v>
      </c>
      <c r="AQ58" s="56" t="str">
        <f t="shared" si="50"/>
        <v>ENTRY</v>
      </c>
      <c r="AR58" s="39" t="s">
        <v>130</v>
      </c>
      <c r="AT58" s="44" t="str">
        <f t="shared" si="51"/>
        <v>BOOL</v>
      </c>
      <c r="AU58" s="23" t="str">
        <f t="shared" si="52"/>
        <v/>
      </c>
      <c r="AV58" s="23" t="str">
        <f t="shared" si="53"/>
        <v/>
      </c>
      <c r="AW58" s="23" t="str">
        <f t="shared" si="54"/>
        <v/>
      </c>
      <c r="AX58" s="23" t="str">
        <f t="shared" si="55"/>
        <v/>
      </c>
      <c r="AY58" s="36" t="str">
        <f t="shared" si="56"/>
        <v/>
      </c>
      <c r="BB58" s="42" t="s">
        <v>15</v>
      </c>
      <c r="BC58" t="s">
        <v>62</v>
      </c>
      <c r="BD58" t="str">
        <f t="shared" ref="BD58:BD118" si="61">Header_LB_Unique_ID</f>
        <v>SxxRyy</v>
      </c>
      <c r="BR58">
        <v>1</v>
      </c>
      <c r="BS58" t="str">
        <f>"ROBOTS:"&amp;Header_Config02&amp;"\000_COMMON|ROBOTS_NOPLC:"&amp;Header_Config02&amp;"\000_COMMON"</f>
        <v>ROBOTS:SxxRyy\000_COMMON|ROBOTS_NOPLC:SxxRyy\000_COMMON</v>
      </c>
      <c r="BV58" s="30" t="s">
        <v>530</v>
      </c>
      <c r="BY58" s="42"/>
      <c r="CB58" s="42"/>
      <c r="CE58" s="30"/>
      <c r="CH58" s="42"/>
      <c r="CN58" s="30"/>
      <c r="CP58" t="s">
        <v>12</v>
      </c>
      <c r="CQ58" s="40"/>
      <c r="CR58" s="30" t="s">
        <v>531</v>
      </c>
    </row>
    <row r="59" spans="2:96" x14ac:dyDescent="0.35">
      <c r="B59" s="4" t="str">
        <f t="shared" si="28"/>
        <v>FANUC_SxxRyy</v>
      </c>
      <c r="C59" s="4"/>
      <c r="D59" s="4" t="str">
        <f t="shared" si="29"/>
        <v>From_RBT_mirrorProgramNumber</v>
      </c>
      <c r="E59" s="4" t="str">
        <f t="shared" si="30"/>
        <v>SxxRyy_mirrorProgramNumber</v>
      </c>
      <c r="F59" s="4" t="str">
        <f t="shared" si="31"/>
        <v>I</v>
      </c>
      <c r="G59" s="4" t="str">
        <f t="shared" si="32"/>
        <v/>
      </c>
      <c r="H59" s="4" t="str">
        <f t="shared" si="33"/>
        <v>(Mirror Program Number)</v>
      </c>
      <c r="I59" s="4" t="str">
        <f t="shared" si="34"/>
        <v/>
      </c>
      <c r="J59" s="4"/>
      <c r="K59" s="56" t="str">
        <f t="shared" si="35"/>
        <v>BYTE</v>
      </c>
      <c r="L59" s="56" t="str">
        <f t="shared" si="4"/>
        <v>ROBOTS\SxxRyy</v>
      </c>
      <c r="M59" s="56" t="str">
        <f t="shared" si="5"/>
        <v>STELLANTIS\Common\ToolPrototype\Robots</v>
      </c>
      <c r="N59" s="56" t="str">
        <f t="shared" si="6"/>
        <v>STELLANTIS_DN_FANUC_ROBOT_128_BIT_INTEGRATED_SAFETY_SxxRyy.v00</v>
      </c>
      <c r="O59" s="56" t="str">
        <f t="shared" si="36"/>
        <v/>
      </c>
      <c r="P59" s="56" t="str">
        <f t="shared" si="37"/>
        <v>SxxRyy</v>
      </c>
      <c r="Q59" s="56" t="str">
        <f t="shared" si="38"/>
        <v/>
      </c>
      <c r="R59" s="56" t="str">
        <f t="shared" si="39"/>
        <v/>
      </c>
      <c r="S59" s="56" t="str">
        <f t="shared" si="40"/>
        <v/>
      </c>
      <c r="T59" s="56" t="str">
        <f t="shared" si="41"/>
        <v/>
      </c>
      <c r="U59" s="56" t="str">
        <f t="shared" si="42"/>
        <v/>
      </c>
      <c r="V59" s="56" t="str">
        <f t="shared" si="43"/>
        <v/>
      </c>
      <c r="W59" s="56"/>
      <c r="X59" s="56"/>
      <c r="Y59" s="56"/>
      <c r="Z59" s="56" t="str">
        <f t="shared" si="44"/>
        <v/>
      </c>
      <c r="AA59" s="56" t="str">
        <f t="shared" si="45"/>
        <v/>
      </c>
      <c r="AB59" s="56" t="str">
        <f t="shared" si="9"/>
        <v>ToolPrototype</v>
      </c>
      <c r="AC59" s="56" t="str">
        <f t="shared" si="46"/>
        <v/>
      </c>
      <c r="AD59" s="56" t="str">
        <f t="shared" si="10"/>
        <v>&lt;device&gt;
&lt;name&gt;SxxRyy&lt;/name&gt;
&lt;type&gt;FCA_DN_FANUC&lt;/type&gt;
&lt;deviceNetwork&gt;201&lt;/deviceNetwork&gt;
&lt;deviceNode&gt;56&lt;/deviceNode&gt;
&lt;/device&gt;</v>
      </c>
      <c r="AE59" s="56" t="str">
        <f t="shared" si="11"/>
        <v/>
      </c>
      <c r="AF59" s="56" t="str">
        <f t="shared" si="12"/>
        <v/>
      </c>
      <c r="AG59" s="56" t="str">
        <f t="shared" si="13"/>
        <v/>
      </c>
      <c r="AH59" s="56" t="str">
        <f t="shared" si="14"/>
        <v/>
      </c>
      <c r="AI59" s="56" t="str">
        <f t="shared" si="15"/>
        <v/>
      </c>
      <c r="AJ59" s="56" t="str">
        <f t="shared" si="16"/>
        <v/>
      </c>
      <c r="AK59" s="56" t="str">
        <f t="shared" si="17"/>
        <v/>
      </c>
      <c r="AL59" s="56" t="str">
        <f t="shared" si="18"/>
        <v/>
      </c>
      <c r="AM59" s="56" t="str">
        <f t="shared" si="19"/>
        <v/>
      </c>
      <c r="AN59" s="56">
        <f t="shared" si="47"/>
        <v>1</v>
      </c>
      <c r="AO59" s="56" t="str">
        <f t="shared" si="48"/>
        <v>ROBOTS:SxxRyy\000_COMMON|ROBOTS_NOPLC:SxxRyy\000_COMMON</v>
      </c>
      <c r="AP59" s="56" t="str">
        <f t="shared" si="49"/>
        <v>RBT</v>
      </c>
      <c r="AQ59" s="56" t="str">
        <f t="shared" si="50"/>
        <v>ENTRY</v>
      </c>
      <c r="AR59" s="39" t="s">
        <v>130</v>
      </c>
      <c r="AT59" s="44" t="str">
        <f t="shared" si="51"/>
        <v>BYTE</v>
      </c>
      <c r="AU59" s="23" t="str">
        <f t="shared" si="52"/>
        <v/>
      </c>
      <c r="AV59" s="23" t="str">
        <f t="shared" si="53"/>
        <v/>
      </c>
      <c r="AW59" s="23" t="str">
        <f t="shared" si="54"/>
        <v/>
      </c>
      <c r="AX59" s="23" t="str">
        <f t="shared" si="55"/>
        <v/>
      </c>
      <c r="AY59" s="36" t="str">
        <f t="shared" si="56"/>
        <v/>
      </c>
      <c r="BB59" s="42" t="s">
        <v>15</v>
      </c>
      <c r="BC59" t="s">
        <v>62</v>
      </c>
      <c r="BD59" t="str">
        <f t="shared" si="61"/>
        <v>SxxRyy</v>
      </c>
      <c r="BR59">
        <v>1</v>
      </c>
      <c r="BS59" t="str">
        <f>"ROBOTS:"&amp;Header_Config02&amp;"\000_COMMON|ROBOTS_NOPLC:"&amp;Header_Config02&amp;"\000_COMMON"</f>
        <v>ROBOTS:SxxRyy\000_COMMON|ROBOTS_NOPLC:SxxRyy\000_COMMON</v>
      </c>
      <c r="BV59" s="30" t="s">
        <v>532</v>
      </c>
      <c r="BY59" s="42"/>
      <c r="CB59" s="42"/>
      <c r="CE59" s="30"/>
      <c r="CH59" s="42"/>
      <c r="CN59" s="30"/>
      <c r="CP59" t="s">
        <v>86</v>
      </c>
      <c r="CQ59" s="40"/>
      <c r="CR59" s="30" t="s">
        <v>533</v>
      </c>
    </row>
    <row r="60" spans="2:96" x14ac:dyDescent="0.35">
      <c r="B60" s="4" t="str">
        <f t="shared" si="28"/>
        <v>FANUC_SxxRyy</v>
      </c>
      <c r="C60" s="4"/>
      <c r="D60" s="4" t="str">
        <f t="shared" si="29"/>
        <v>From_RBT_errorProgramNumber</v>
      </c>
      <c r="E60" s="4" t="str">
        <f t="shared" si="30"/>
        <v>SxxRyy_errorProgramNumber</v>
      </c>
      <c r="F60" s="4" t="str">
        <f t="shared" si="31"/>
        <v>I</v>
      </c>
      <c r="G60" s="4" t="str">
        <f t="shared" si="32"/>
        <v/>
      </c>
      <c r="H60" s="4" t="str">
        <f t="shared" si="33"/>
        <v>(Error Program Number)</v>
      </c>
      <c r="I60" s="4" t="str">
        <f t="shared" si="34"/>
        <v/>
      </c>
      <c r="J60" s="4"/>
      <c r="K60" s="56" t="str">
        <f t="shared" si="35"/>
        <v>BOOL</v>
      </c>
      <c r="L60" s="56" t="str">
        <f t="shared" si="4"/>
        <v>ROBOTS\SxxRyy</v>
      </c>
      <c r="M60" s="56" t="str">
        <f t="shared" si="5"/>
        <v>STELLANTIS\Common\ToolPrototype\Robots</v>
      </c>
      <c r="N60" s="56" t="str">
        <f t="shared" si="6"/>
        <v>STELLANTIS_DN_FANUC_ROBOT_128_BIT_INTEGRATED_SAFETY_SxxRyy.v00</v>
      </c>
      <c r="O60" s="56" t="str">
        <f t="shared" si="36"/>
        <v/>
      </c>
      <c r="P60" s="56" t="str">
        <f t="shared" si="37"/>
        <v>SxxRyy</v>
      </c>
      <c r="Q60" s="56" t="str">
        <f t="shared" si="38"/>
        <v/>
      </c>
      <c r="R60" s="56" t="str">
        <f t="shared" si="39"/>
        <v/>
      </c>
      <c r="S60" s="56" t="str">
        <f t="shared" si="40"/>
        <v/>
      </c>
      <c r="T60" s="56" t="str">
        <f t="shared" si="41"/>
        <v/>
      </c>
      <c r="U60" s="56" t="str">
        <f t="shared" si="42"/>
        <v/>
      </c>
      <c r="V60" s="56" t="str">
        <f t="shared" si="43"/>
        <v/>
      </c>
      <c r="W60" s="56"/>
      <c r="X60" s="56"/>
      <c r="Y60" s="56"/>
      <c r="Z60" s="56" t="str">
        <f t="shared" si="44"/>
        <v/>
      </c>
      <c r="AA60" s="56" t="str">
        <f t="shared" si="45"/>
        <v/>
      </c>
      <c r="AB60" s="56" t="str">
        <f t="shared" si="9"/>
        <v>ToolPrototype</v>
      </c>
      <c r="AC60" s="56" t="str">
        <f t="shared" si="46"/>
        <v/>
      </c>
      <c r="AD60" s="56" t="str">
        <f t="shared" si="10"/>
        <v>&lt;device&gt;
&lt;name&gt;SxxRyy&lt;/name&gt;
&lt;type&gt;FCA_DN_FANUC&lt;/type&gt;
&lt;deviceNetwork&gt;201&lt;/deviceNetwork&gt;
&lt;deviceNode&gt;56&lt;/deviceNode&gt;
&lt;/device&gt;</v>
      </c>
      <c r="AE60" s="56" t="str">
        <f t="shared" si="11"/>
        <v/>
      </c>
      <c r="AF60" s="56" t="str">
        <f t="shared" si="12"/>
        <v/>
      </c>
      <c r="AG60" s="56" t="str">
        <f t="shared" si="13"/>
        <v/>
      </c>
      <c r="AH60" s="56" t="str">
        <f t="shared" si="14"/>
        <v/>
      </c>
      <c r="AI60" s="56" t="str">
        <f t="shared" si="15"/>
        <v/>
      </c>
      <c r="AJ60" s="56" t="str">
        <f t="shared" si="16"/>
        <v/>
      </c>
      <c r="AK60" s="56" t="str">
        <f t="shared" si="17"/>
        <v/>
      </c>
      <c r="AL60" s="56" t="str">
        <f t="shared" si="18"/>
        <v/>
      </c>
      <c r="AM60" s="56" t="str">
        <f t="shared" si="19"/>
        <v/>
      </c>
      <c r="AN60" s="56" t="str">
        <f t="shared" si="47"/>
        <v/>
      </c>
      <c r="AO60" s="56" t="str">
        <f t="shared" si="48"/>
        <v/>
      </c>
      <c r="AP60" s="56" t="str">
        <f t="shared" si="49"/>
        <v>RBT</v>
      </c>
      <c r="AQ60" s="56" t="str">
        <f t="shared" si="50"/>
        <v>ENTRY</v>
      </c>
      <c r="AR60" s="39" t="s">
        <v>130</v>
      </c>
      <c r="AT60" s="44" t="str">
        <f t="shared" si="51"/>
        <v>BOOL</v>
      </c>
      <c r="AU60" s="23" t="str">
        <f t="shared" si="52"/>
        <v/>
      </c>
      <c r="AV60" s="23" t="str">
        <f t="shared" si="53"/>
        <v/>
      </c>
      <c r="AW60" s="23" t="str">
        <f t="shared" si="54"/>
        <v/>
      </c>
      <c r="AX60" s="23" t="str">
        <f t="shared" si="55"/>
        <v/>
      </c>
      <c r="AY60" s="36" t="str">
        <f t="shared" si="56"/>
        <v/>
      </c>
      <c r="BB60" s="42" t="s">
        <v>15</v>
      </c>
      <c r="BC60" t="s">
        <v>62</v>
      </c>
      <c r="BD60" t="str">
        <f t="shared" si="61"/>
        <v>SxxRyy</v>
      </c>
      <c r="BV60" s="30" t="s">
        <v>534</v>
      </c>
      <c r="BY60" s="42"/>
      <c r="CB60" s="42"/>
      <c r="CE60" s="30"/>
      <c r="CH60" s="42"/>
      <c r="CN60" s="30"/>
      <c r="CP60" t="s">
        <v>12</v>
      </c>
      <c r="CQ60" s="40"/>
      <c r="CR60" s="30" t="s">
        <v>535</v>
      </c>
    </row>
    <row r="61" spans="2:96" x14ac:dyDescent="0.35">
      <c r="B61" s="4" t="str">
        <f t="shared" si="28"/>
        <v>FANUC_SxxRyy</v>
      </c>
      <c r="C61" s="4"/>
      <c r="D61" s="4" t="str">
        <f t="shared" si="29"/>
        <v>From_RBT_robotReady</v>
      </c>
      <c r="E61" s="4" t="str">
        <f t="shared" si="30"/>
        <v>SxxRyy_robotReady</v>
      </c>
      <c r="F61" s="4" t="str">
        <f t="shared" si="31"/>
        <v>I</v>
      </c>
      <c r="G61" s="4" t="str">
        <f t="shared" si="32"/>
        <v/>
      </c>
      <c r="H61" s="4" t="str">
        <f t="shared" si="33"/>
        <v>(Robot Ready)</v>
      </c>
      <c r="I61" s="4" t="str">
        <f t="shared" si="34"/>
        <v/>
      </c>
      <c r="J61" s="4"/>
      <c r="K61" s="56" t="str">
        <f t="shared" si="35"/>
        <v>BOOL</v>
      </c>
      <c r="L61" s="56" t="str">
        <f t="shared" si="4"/>
        <v>ROBOTS\SxxRyy</v>
      </c>
      <c r="M61" s="56" t="str">
        <f t="shared" si="5"/>
        <v>STELLANTIS\Common\ToolPrototype\Robots</v>
      </c>
      <c r="N61" s="56" t="str">
        <f t="shared" si="6"/>
        <v>STELLANTIS_DN_FANUC_ROBOT_128_BIT_INTEGRATED_SAFETY_SxxRyy.v00</v>
      </c>
      <c r="O61" s="56" t="str">
        <f t="shared" si="36"/>
        <v/>
      </c>
      <c r="P61" s="56" t="str">
        <f t="shared" si="37"/>
        <v>SxxRyy</v>
      </c>
      <c r="Q61" s="56" t="str">
        <f t="shared" si="38"/>
        <v/>
      </c>
      <c r="R61" s="56" t="str">
        <f t="shared" si="39"/>
        <v/>
      </c>
      <c r="S61" s="56" t="str">
        <f t="shared" si="40"/>
        <v/>
      </c>
      <c r="T61" s="56" t="str">
        <f t="shared" si="41"/>
        <v/>
      </c>
      <c r="U61" s="56" t="str">
        <f t="shared" si="42"/>
        <v/>
      </c>
      <c r="V61" s="56" t="str">
        <f t="shared" si="43"/>
        <v/>
      </c>
      <c r="W61" s="56"/>
      <c r="X61" s="56"/>
      <c r="Y61" s="56"/>
      <c r="Z61" s="56" t="str">
        <f t="shared" si="44"/>
        <v/>
      </c>
      <c r="AA61" s="56" t="str">
        <f t="shared" si="45"/>
        <v/>
      </c>
      <c r="AB61" s="56" t="str">
        <f t="shared" si="9"/>
        <v>ToolPrototype</v>
      </c>
      <c r="AC61" s="56" t="str">
        <f t="shared" si="46"/>
        <v/>
      </c>
      <c r="AD61" s="56" t="str">
        <f t="shared" si="10"/>
        <v>&lt;device&gt;
&lt;name&gt;SxxRyy&lt;/name&gt;
&lt;type&gt;FCA_DN_FANUC&lt;/type&gt;
&lt;deviceNetwork&gt;201&lt;/deviceNetwork&gt;
&lt;deviceNode&gt;56&lt;/deviceNode&gt;
&lt;/device&gt;</v>
      </c>
      <c r="AE61" s="56" t="str">
        <f t="shared" si="11"/>
        <v/>
      </c>
      <c r="AF61" s="56" t="str">
        <f t="shared" si="12"/>
        <v/>
      </c>
      <c r="AG61" s="56" t="str">
        <f t="shared" si="13"/>
        <v/>
      </c>
      <c r="AH61" s="56" t="str">
        <f t="shared" si="14"/>
        <v/>
      </c>
      <c r="AI61" s="56" t="str">
        <f t="shared" si="15"/>
        <v/>
      </c>
      <c r="AJ61" s="56" t="str">
        <f t="shared" si="16"/>
        <v/>
      </c>
      <c r="AK61" s="56" t="str">
        <f t="shared" si="17"/>
        <v/>
      </c>
      <c r="AL61" s="56" t="str">
        <f t="shared" si="18"/>
        <v/>
      </c>
      <c r="AM61" s="56" t="str">
        <f t="shared" si="19"/>
        <v/>
      </c>
      <c r="AN61" s="56" t="str">
        <f t="shared" si="47"/>
        <v/>
      </c>
      <c r="AO61" s="56" t="str">
        <f t="shared" si="48"/>
        <v/>
      </c>
      <c r="AP61" s="56" t="str">
        <f t="shared" si="49"/>
        <v>RBT</v>
      </c>
      <c r="AQ61" s="56" t="str">
        <f t="shared" si="50"/>
        <v>ENTRY</v>
      </c>
      <c r="AR61" s="39" t="s">
        <v>130</v>
      </c>
      <c r="AT61" s="44" t="str">
        <f t="shared" si="51"/>
        <v>BOOL</v>
      </c>
      <c r="AU61" s="23" t="str">
        <f t="shared" si="52"/>
        <v/>
      </c>
      <c r="AV61" s="23" t="str">
        <f t="shared" si="53"/>
        <v/>
      </c>
      <c r="AW61" s="23" t="str">
        <f t="shared" si="54"/>
        <v/>
      </c>
      <c r="AX61" s="23" t="str">
        <f t="shared" si="55"/>
        <v/>
      </c>
      <c r="AY61" s="36" t="str">
        <f t="shared" si="56"/>
        <v/>
      </c>
      <c r="BB61" s="42" t="s">
        <v>15</v>
      </c>
      <c r="BC61" t="s">
        <v>62</v>
      </c>
      <c r="BD61" t="str">
        <f t="shared" si="61"/>
        <v>SxxRyy</v>
      </c>
      <c r="BV61" s="30" t="s">
        <v>536</v>
      </c>
      <c r="BY61" s="42"/>
      <c r="CB61" s="42"/>
      <c r="CE61" s="30"/>
      <c r="CH61" s="42"/>
      <c r="CN61" s="30"/>
      <c r="CP61" t="s">
        <v>12</v>
      </c>
      <c r="CQ61" s="40"/>
      <c r="CR61" s="30" t="s">
        <v>537</v>
      </c>
    </row>
    <row r="62" spans="2:96" x14ac:dyDescent="0.35">
      <c r="B62" s="4" t="str">
        <f t="shared" si="28"/>
        <v>FANUC_SxxRyy</v>
      </c>
      <c r="C62" s="4"/>
      <c r="D62" s="4" t="str">
        <f t="shared" si="29"/>
        <v>From_RBT_VCInitialized</v>
      </c>
      <c r="E62" s="4" t="str">
        <f t="shared" si="30"/>
        <v>SxxRyy_VCInitialized</v>
      </c>
      <c r="F62" s="4" t="str">
        <f t="shared" si="31"/>
        <v>I</v>
      </c>
      <c r="G62" s="4" t="str">
        <f t="shared" si="32"/>
        <v/>
      </c>
      <c r="H62" s="4" t="str">
        <f t="shared" si="33"/>
        <v/>
      </c>
      <c r="I62" s="4" t="str">
        <f t="shared" si="34"/>
        <v/>
      </c>
      <c r="J62" s="4"/>
      <c r="K62" s="56" t="str">
        <f t="shared" si="35"/>
        <v>BOOL</v>
      </c>
      <c r="L62" s="56" t="str">
        <f t="shared" si="4"/>
        <v>ROBOTS\SxxRyy</v>
      </c>
      <c r="M62" s="56" t="str">
        <f t="shared" si="5"/>
        <v>STELLANTIS\Common\ToolPrototype\Robots</v>
      </c>
      <c r="N62" s="56" t="str">
        <f t="shared" si="6"/>
        <v>STELLANTIS_DN_FANUC_ROBOT_128_BIT_INTEGRATED_SAFETY_SxxRyy.v00</v>
      </c>
      <c r="O62" s="56" t="str">
        <f t="shared" si="36"/>
        <v>VCInitialized</v>
      </c>
      <c r="P62" s="56" t="str">
        <f t="shared" si="37"/>
        <v>SxxRyy</v>
      </c>
      <c r="Q62" s="56" t="str">
        <f t="shared" si="38"/>
        <v/>
      </c>
      <c r="R62" s="56" t="str">
        <f t="shared" si="39"/>
        <v/>
      </c>
      <c r="S62" s="56" t="str">
        <f t="shared" si="40"/>
        <v/>
      </c>
      <c r="T62" s="56" t="str">
        <f t="shared" si="41"/>
        <v/>
      </c>
      <c r="U62" s="56" t="str">
        <f t="shared" si="42"/>
        <v/>
      </c>
      <c r="V62" s="56" t="str">
        <f t="shared" si="43"/>
        <v/>
      </c>
      <c r="W62" s="56"/>
      <c r="X62" s="56"/>
      <c r="Y62" s="56"/>
      <c r="Z62" s="56" t="str">
        <f t="shared" si="44"/>
        <v/>
      </c>
      <c r="AA62" s="56" t="str">
        <f t="shared" si="45"/>
        <v/>
      </c>
      <c r="AB62" s="56" t="str">
        <f t="shared" si="9"/>
        <v>ToolPrototype</v>
      </c>
      <c r="AC62" s="56" t="str">
        <f t="shared" si="46"/>
        <v/>
      </c>
      <c r="AD62" s="56" t="str">
        <f t="shared" si="10"/>
        <v>&lt;device&gt;
&lt;name&gt;SxxRyy&lt;/name&gt;
&lt;type&gt;FCA_DN_FANUC&lt;/type&gt;
&lt;deviceNetwork&gt;201&lt;/deviceNetwork&gt;
&lt;deviceNode&gt;56&lt;/deviceNode&gt;
&lt;/device&gt;</v>
      </c>
      <c r="AE62" s="56" t="str">
        <f t="shared" si="11"/>
        <v/>
      </c>
      <c r="AF62" s="56" t="str">
        <f t="shared" si="12"/>
        <v/>
      </c>
      <c r="AG62" s="56" t="str">
        <f t="shared" si="13"/>
        <v/>
      </c>
      <c r="AH62" s="56" t="str">
        <f t="shared" si="14"/>
        <v/>
      </c>
      <c r="AI62" s="56" t="str">
        <f t="shared" si="15"/>
        <v/>
      </c>
      <c r="AJ62" s="56" t="str">
        <f t="shared" si="16"/>
        <v/>
      </c>
      <c r="AK62" s="56" t="str">
        <f t="shared" si="17"/>
        <v/>
      </c>
      <c r="AL62" s="56" t="str">
        <f t="shared" si="18"/>
        <v/>
      </c>
      <c r="AM62" s="56" t="str">
        <f t="shared" si="19"/>
        <v/>
      </c>
      <c r="AN62" s="56">
        <f t="shared" si="47"/>
        <v>1</v>
      </c>
      <c r="AO62" s="56" t="str">
        <f t="shared" si="48"/>
        <v>ROBOTS:SxxRyy\000_COMMON|ROBOTS_NOPLC:SxxRyy\000_COMMON</v>
      </c>
      <c r="AP62" s="56" t="str">
        <f t="shared" si="49"/>
        <v>RBT</v>
      </c>
      <c r="AQ62" s="56" t="str">
        <f t="shared" si="50"/>
        <v>ENTRY</v>
      </c>
      <c r="AR62" s="39" t="s">
        <v>130</v>
      </c>
      <c r="AT62" s="44" t="str">
        <f t="shared" si="51"/>
        <v>BOOL</v>
      </c>
      <c r="AU62" s="23" t="str">
        <f t="shared" si="52"/>
        <v/>
      </c>
      <c r="AV62" s="23" t="str">
        <f t="shared" si="53"/>
        <v/>
      </c>
      <c r="AW62" s="23" t="str">
        <f t="shared" si="54"/>
        <v/>
      </c>
      <c r="AX62" s="23" t="str">
        <f t="shared" si="55"/>
        <v/>
      </c>
      <c r="AY62" s="36" t="str">
        <f t="shared" si="56"/>
        <v/>
      </c>
      <c r="BB62" s="42" t="s">
        <v>15</v>
      </c>
      <c r="BC62" t="s">
        <v>62</v>
      </c>
      <c r="BD62" t="str">
        <f t="shared" si="61"/>
        <v>SxxRyy</v>
      </c>
      <c r="BF62" t="s">
        <v>379</v>
      </c>
      <c r="BR62">
        <v>1</v>
      </c>
      <c r="BS62" t="str">
        <f>"ROBOTS:"&amp;Header_Config02&amp;"\000_COMMON|ROBOTS_NOPLC:"&amp;Header_Config02&amp;"\000_COMMON"</f>
        <v>ROBOTS:SxxRyy\000_COMMON|ROBOTS_NOPLC:SxxRyy\000_COMMON</v>
      </c>
      <c r="BV62" s="30" t="s">
        <v>379</v>
      </c>
      <c r="BY62" s="42"/>
      <c r="CB62" s="42"/>
      <c r="CE62" s="30"/>
      <c r="CH62" s="42"/>
      <c r="CN62" s="30"/>
      <c r="CP62" t="s">
        <v>12</v>
      </c>
      <c r="CQ62" s="40"/>
      <c r="CR62" s="30"/>
    </row>
    <row r="63" spans="2:96" x14ac:dyDescent="0.35">
      <c r="B63" s="4" t="str">
        <f t="shared" si="28"/>
        <v>&lt;BLANK&gt;</v>
      </c>
      <c r="C63" s="4"/>
      <c r="D63" s="4" t="str">
        <f t="shared" si="29"/>
        <v>From_RBT_InJoint1Zone1Pos</v>
      </c>
      <c r="E63" s="4" t="str">
        <f t="shared" si="30"/>
        <v>SxxRyy_InJoint1Zone1Pos</v>
      </c>
      <c r="F63" s="4" t="str">
        <f t="shared" si="31"/>
        <v>I</v>
      </c>
      <c r="G63" s="4" t="str">
        <f t="shared" si="32"/>
        <v/>
      </c>
      <c r="H63" s="4" t="str">
        <f t="shared" si="33"/>
        <v/>
      </c>
      <c r="I63" s="4" t="str">
        <f t="shared" si="34"/>
        <v/>
      </c>
      <c r="J63" s="4"/>
      <c r="K63" s="56" t="str">
        <f t="shared" si="35"/>
        <v>BOOL</v>
      </c>
      <c r="L63" s="56" t="str">
        <f t="shared" si="4"/>
        <v>ROBOTS\SxxRyy</v>
      </c>
      <c r="M63" s="56" t="str">
        <f t="shared" si="5"/>
        <v>STELLANTIS\Common\ToolPrototype\Robots</v>
      </c>
      <c r="N63" s="56" t="str">
        <f t="shared" si="6"/>
        <v>STELLANTIS_DN_FANUC_ROBOT_128_BIT_INTEGRATED_SAFETY_SxxRyy.v00</v>
      </c>
      <c r="O63" s="56" t="str">
        <f t="shared" si="36"/>
        <v>InJoint1Zone1Pos</v>
      </c>
      <c r="P63" s="56" t="str">
        <f t="shared" si="37"/>
        <v>SxxRyy</v>
      </c>
      <c r="Q63" s="56" t="str">
        <f t="shared" si="38"/>
        <v/>
      </c>
      <c r="R63" s="56" t="str">
        <f t="shared" si="39"/>
        <v/>
      </c>
      <c r="S63" s="56" t="str">
        <f t="shared" si="40"/>
        <v/>
      </c>
      <c r="T63" s="56" t="str">
        <f t="shared" si="41"/>
        <v/>
      </c>
      <c r="U63" s="56" t="str">
        <f t="shared" si="42"/>
        <v/>
      </c>
      <c r="V63" s="56" t="str">
        <f t="shared" si="43"/>
        <v/>
      </c>
      <c r="W63" s="56"/>
      <c r="X63" s="56"/>
      <c r="Y63" s="56"/>
      <c r="Z63" s="56" t="str">
        <f t="shared" si="44"/>
        <v/>
      </c>
      <c r="AA63" s="56" t="str">
        <f t="shared" si="45"/>
        <v/>
      </c>
      <c r="AB63" s="56" t="str">
        <f t="shared" si="9"/>
        <v>ToolPrototype</v>
      </c>
      <c r="AC63" s="56" t="str">
        <f t="shared" si="46"/>
        <v>Optional</v>
      </c>
      <c r="AD63" s="56" t="str">
        <f t="shared" si="10"/>
        <v>&lt;device&gt;
&lt;name&gt;SxxRyy&lt;/name&gt;
&lt;type&gt;FCA_DN_FANUC&lt;/type&gt;
&lt;deviceNetwork&gt;201&lt;/deviceNetwork&gt;
&lt;deviceNode&gt;56&lt;/deviceNode&gt;
&lt;/device&gt;</v>
      </c>
      <c r="AE63" s="56" t="str">
        <f t="shared" si="11"/>
        <v/>
      </c>
      <c r="AF63" s="56" t="str">
        <f t="shared" si="12"/>
        <v/>
      </c>
      <c r="AG63" s="56" t="str">
        <f t="shared" si="13"/>
        <v/>
      </c>
      <c r="AH63" s="56" t="str">
        <f t="shared" si="14"/>
        <v/>
      </c>
      <c r="AI63" s="56" t="str">
        <f t="shared" si="15"/>
        <v/>
      </c>
      <c r="AJ63" s="56" t="str">
        <f t="shared" si="16"/>
        <v/>
      </c>
      <c r="AK63" s="56" t="str">
        <f t="shared" si="17"/>
        <v/>
      </c>
      <c r="AL63" s="56" t="str">
        <f t="shared" si="18"/>
        <v/>
      </c>
      <c r="AM63" s="56" t="str">
        <f t="shared" si="19"/>
        <v/>
      </c>
      <c r="AN63" s="56" t="str">
        <f t="shared" si="47"/>
        <v/>
      </c>
      <c r="AO63" s="56" t="str">
        <f t="shared" si="48"/>
        <v/>
      </c>
      <c r="AP63" s="56" t="str">
        <f t="shared" si="49"/>
        <v>RBT</v>
      </c>
      <c r="AQ63" s="56" t="str">
        <f t="shared" si="50"/>
        <v>ENTRY</v>
      </c>
      <c r="AR63" s="39" t="s">
        <v>130</v>
      </c>
      <c r="AT63" s="44" t="str">
        <f t="shared" si="51"/>
        <v>BOOL</v>
      </c>
      <c r="AU63" s="23" t="str">
        <f t="shared" si="52"/>
        <v/>
      </c>
      <c r="AV63" s="23" t="str">
        <f t="shared" si="53"/>
        <v/>
      </c>
      <c r="AW63" s="23" t="str">
        <f t="shared" si="54"/>
        <v/>
      </c>
      <c r="AX63" s="23" t="str">
        <f t="shared" si="55"/>
        <v/>
      </c>
      <c r="AY63" s="36" t="str">
        <f t="shared" si="56"/>
        <v/>
      </c>
      <c r="BB63" s="42" t="s">
        <v>15</v>
      </c>
      <c r="BC63" t="s">
        <v>62</v>
      </c>
      <c r="BD63" t="str">
        <f t="shared" si="61"/>
        <v>SxxRyy</v>
      </c>
      <c r="BF63" t="s">
        <v>380</v>
      </c>
      <c r="BT63" t="str">
        <f>IF(UPPER(Header_Config13)="Y","","X")</f>
        <v>X</v>
      </c>
      <c r="BV63" s="30" t="s">
        <v>380</v>
      </c>
      <c r="BY63" s="42"/>
      <c r="CB63" s="42"/>
      <c r="CE63" s="30"/>
      <c r="CH63" s="42"/>
      <c r="CN63" s="30"/>
      <c r="CP63" t="s">
        <v>12</v>
      </c>
      <c r="CQ63" s="40"/>
      <c r="CR63" s="30"/>
    </row>
    <row r="64" spans="2:96" x14ac:dyDescent="0.35">
      <c r="B64" s="4" t="str">
        <f t="shared" si="28"/>
        <v>&lt;BLANK&gt;</v>
      </c>
      <c r="C64" s="4"/>
      <c r="D64" s="4" t="str">
        <f t="shared" si="29"/>
        <v>From_RBT_InJoint1Zone2Pos</v>
      </c>
      <c r="E64" s="4" t="str">
        <f t="shared" si="30"/>
        <v>SxxRyy_InJoint1Zone2Pos</v>
      </c>
      <c r="F64" s="4" t="str">
        <f t="shared" si="31"/>
        <v>I</v>
      </c>
      <c r="G64" s="4" t="str">
        <f t="shared" si="32"/>
        <v/>
      </c>
      <c r="H64" s="4" t="str">
        <f t="shared" si="33"/>
        <v/>
      </c>
      <c r="I64" s="4" t="str">
        <f t="shared" si="34"/>
        <v/>
      </c>
      <c r="J64" s="4"/>
      <c r="K64" s="56" t="str">
        <f t="shared" si="35"/>
        <v>BOOL</v>
      </c>
      <c r="L64" s="56" t="str">
        <f t="shared" si="4"/>
        <v>ROBOTS\SxxRyy</v>
      </c>
      <c r="M64" s="56" t="str">
        <f t="shared" si="5"/>
        <v>STELLANTIS\Common\ToolPrototype\Robots</v>
      </c>
      <c r="N64" s="56" t="str">
        <f t="shared" si="6"/>
        <v>STELLANTIS_DN_FANUC_ROBOT_128_BIT_INTEGRATED_SAFETY_SxxRyy.v00</v>
      </c>
      <c r="O64" s="56" t="str">
        <f t="shared" si="36"/>
        <v>InJoint1Zone2Pos</v>
      </c>
      <c r="P64" s="56" t="str">
        <f t="shared" si="37"/>
        <v>SxxRyy</v>
      </c>
      <c r="Q64" s="56" t="str">
        <f t="shared" si="38"/>
        <v/>
      </c>
      <c r="R64" s="56" t="str">
        <f t="shared" si="39"/>
        <v/>
      </c>
      <c r="S64" s="56" t="str">
        <f t="shared" si="40"/>
        <v/>
      </c>
      <c r="T64" s="56" t="str">
        <f t="shared" si="41"/>
        <v/>
      </c>
      <c r="U64" s="56" t="str">
        <f t="shared" si="42"/>
        <v/>
      </c>
      <c r="V64" s="56" t="str">
        <f t="shared" si="43"/>
        <v/>
      </c>
      <c r="W64" s="56"/>
      <c r="X64" s="56"/>
      <c r="Y64" s="56"/>
      <c r="Z64" s="56" t="str">
        <f t="shared" si="44"/>
        <v/>
      </c>
      <c r="AA64" s="56" t="str">
        <f t="shared" si="45"/>
        <v/>
      </c>
      <c r="AB64" s="56" t="str">
        <f t="shared" si="9"/>
        <v>ToolPrototype</v>
      </c>
      <c r="AC64" s="56" t="str">
        <f t="shared" si="46"/>
        <v>Optional</v>
      </c>
      <c r="AD64" s="56" t="str">
        <f t="shared" si="10"/>
        <v>&lt;device&gt;
&lt;name&gt;SxxRyy&lt;/name&gt;
&lt;type&gt;FCA_DN_FANUC&lt;/type&gt;
&lt;deviceNetwork&gt;201&lt;/deviceNetwork&gt;
&lt;deviceNode&gt;56&lt;/deviceNode&gt;
&lt;/device&gt;</v>
      </c>
      <c r="AE64" s="56" t="str">
        <f t="shared" si="11"/>
        <v/>
      </c>
      <c r="AF64" s="56" t="str">
        <f t="shared" si="12"/>
        <v/>
      </c>
      <c r="AG64" s="56" t="str">
        <f t="shared" si="13"/>
        <v/>
      </c>
      <c r="AH64" s="56" t="str">
        <f t="shared" si="14"/>
        <v/>
      </c>
      <c r="AI64" s="56" t="str">
        <f t="shared" si="15"/>
        <v/>
      </c>
      <c r="AJ64" s="56" t="str">
        <f t="shared" si="16"/>
        <v/>
      </c>
      <c r="AK64" s="56" t="str">
        <f t="shared" si="17"/>
        <v/>
      </c>
      <c r="AL64" s="56" t="str">
        <f t="shared" si="18"/>
        <v/>
      </c>
      <c r="AM64" s="56" t="str">
        <f t="shared" si="19"/>
        <v/>
      </c>
      <c r="AN64" s="56" t="str">
        <f t="shared" si="47"/>
        <v/>
      </c>
      <c r="AO64" s="56" t="str">
        <f t="shared" si="48"/>
        <v/>
      </c>
      <c r="AP64" s="56" t="str">
        <f t="shared" si="49"/>
        <v>RBT</v>
      </c>
      <c r="AQ64" s="56" t="str">
        <f t="shared" si="50"/>
        <v>ENTRY</v>
      </c>
      <c r="AR64" s="39" t="s">
        <v>130</v>
      </c>
      <c r="AT64" s="44" t="str">
        <f t="shared" si="51"/>
        <v>BOOL</v>
      </c>
      <c r="AU64" s="23" t="str">
        <f t="shared" si="52"/>
        <v/>
      </c>
      <c r="AV64" s="23" t="str">
        <f t="shared" si="53"/>
        <v/>
      </c>
      <c r="AW64" s="23" t="str">
        <f t="shared" si="54"/>
        <v/>
      </c>
      <c r="AX64" s="23" t="str">
        <f t="shared" si="55"/>
        <v/>
      </c>
      <c r="AY64" s="36" t="str">
        <f t="shared" si="56"/>
        <v/>
      </c>
      <c r="BB64" s="42" t="s">
        <v>15</v>
      </c>
      <c r="BC64" t="s">
        <v>62</v>
      </c>
      <c r="BD64" t="str">
        <f t="shared" si="61"/>
        <v>SxxRyy</v>
      </c>
      <c r="BF64" t="s">
        <v>381</v>
      </c>
      <c r="BT64" t="str">
        <f>IF(UPPER(Header_Config13)="Y","","X")</f>
        <v>X</v>
      </c>
      <c r="BV64" s="30" t="s">
        <v>381</v>
      </c>
      <c r="BY64" s="42"/>
      <c r="CB64" s="42"/>
      <c r="CE64" s="30"/>
      <c r="CH64" s="42"/>
      <c r="CN64" s="30"/>
      <c r="CP64" t="s">
        <v>12</v>
      </c>
      <c r="CQ64" s="40"/>
      <c r="CR64" s="30"/>
    </row>
    <row r="65" spans="2:96" x14ac:dyDescent="0.35">
      <c r="B65" s="4" t="str">
        <f t="shared" si="28"/>
        <v>&lt;BLANK&gt;</v>
      </c>
      <c r="C65" s="4"/>
      <c r="D65" s="4" t="str">
        <f t="shared" si="29"/>
        <v>From_RBT_InJoint1Zone3Pos</v>
      </c>
      <c r="E65" s="4" t="str">
        <f t="shared" si="30"/>
        <v>SxxRyy_InJoint1Zone3Pos</v>
      </c>
      <c r="F65" s="4" t="str">
        <f t="shared" si="31"/>
        <v>I</v>
      </c>
      <c r="G65" s="4" t="str">
        <f t="shared" si="32"/>
        <v/>
      </c>
      <c r="H65" s="4" t="str">
        <f t="shared" si="33"/>
        <v/>
      </c>
      <c r="I65" s="4" t="str">
        <f t="shared" si="34"/>
        <v/>
      </c>
      <c r="J65" s="4"/>
      <c r="K65" s="56" t="str">
        <f t="shared" si="35"/>
        <v>BOOL</v>
      </c>
      <c r="L65" s="56" t="str">
        <f t="shared" si="4"/>
        <v>ROBOTS\SxxRyy</v>
      </c>
      <c r="M65" s="56" t="str">
        <f t="shared" si="5"/>
        <v>STELLANTIS\Common\ToolPrototype\Robots</v>
      </c>
      <c r="N65" s="56" t="str">
        <f t="shared" si="6"/>
        <v>STELLANTIS_DN_FANUC_ROBOT_128_BIT_INTEGRATED_SAFETY_SxxRyy.v00</v>
      </c>
      <c r="O65" s="56" t="str">
        <f t="shared" si="36"/>
        <v>InJoint1Zone3Pos</v>
      </c>
      <c r="P65" s="56" t="str">
        <f t="shared" si="37"/>
        <v>SxxRyy</v>
      </c>
      <c r="Q65" s="56" t="str">
        <f t="shared" si="38"/>
        <v/>
      </c>
      <c r="R65" s="56" t="str">
        <f t="shared" si="39"/>
        <v/>
      </c>
      <c r="S65" s="56" t="str">
        <f t="shared" si="40"/>
        <v/>
      </c>
      <c r="T65" s="56" t="str">
        <f t="shared" si="41"/>
        <v/>
      </c>
      <c r="U65" s="56" t="str">
        <f t="shared" si="42"/>
        <v/>
      </c>
      <c r="V65" s="56" t="str">
        <f t="shared" si="43"/>
        <v/>
      </c>
      <c r="W65" s="56"/>
      <c r="X65" s="56"/>
      <c r="Y65" s="56"/>
      <c r="Z65" s="56" t="str">
        <f t="shared" si="44"/>
        <v/>
      </c>
      <c r="AA65" s="56" t="str">
        <f t="shared" si="45"/>
        <v/>
      </c>
      <c r="AB65" s="56" t="str">
        <f t="shared" si="9"/>
        <v>ToolPrototype</v>
      </c>
      <c r="AC65" s="56" t="str">
        <f t="shared" si="46"/>
        <v>Optional</v>
      </c>
      <c r="AD65" s="56" t="str">
        <f t="shared" si="10"/>
        <v>&lt;device&gt;
&lt;name&gt;SxxRyy&lt;/name&gt;
&lt;type&gt;FCA_DN_FANUC&lt;/type&gt;
&lt;deviceNetwork&gt;201&lt;/deviceNetwork&gt;
&lt;deviceNode&gt;56&lt;/deviceNode&gt;
&lt;/device&gt;</v>
      </c>
      <c r="AE65" s="56" t="str">
        <f t="shared" si="11"/>
        <v/>
      </c>
      <c r="AF65" s="56" t="str">
        <f t="shared" si="12"/>
        <v/>
      </c>
      <c r="AG65" s="56" t="str">
        <f t="shared" si="13"/>
        <v/>
      </c>
      <c r="AH65" s="56" t="str">
        <f t="shared" si="14"/>
        <v/>
      </c>
      <c r="AI65" s="56" t="str">
        <f t="shared" si="15"/>
        <v/>
      </c>
      <c r="AJ65" s="56" t="str">
        <f t="shared" si="16"/>
        <v/>
      </c>
      <c r="AK65" s="56" t="str">
        <f t="shared" si="17"/>
        <v/>
      </c>
      <c r="AL65" s="56" t="str">
        <f t="shared" si="18"/>
        <v/>
      </c>
      <c r="AM65" s="56" t="str">
        <f t="shared" si="19"/>
        <v/>
      </c>
      <c r="AN65" s="56" t="str">
        <f t="shared" si="47"/>
        <v/>
      </c>
      <c r="AO65" s="56" t="str">
        <f t="shared" si="48"/>
        <v/>
      </c>
      <c r="AP65" s="56" t="str">
        <f t="shared" si="49"/>
        <v>RBT</v>
      </c>
      <c r="AQ65" s="56" t="str">
        <f t="shared" si="50"/>
        <v>ENTRY</v>
      </c>
      <c r="AR65" s="39" t="s">
        <v>130</v>
      </c>
      <c r="AT65" s="44" t="str">
        <f t="shared" si="51"/>
        <v>BOOL</v>
      </c>
      <c r="AU65" s="23" t="str">
        <f t="shared" si="52"/>
        <v/>
      </c>
      <c r="AV65" s="23" t="str">
        <f t="shared" si="53"/>
        <v/>
      </c>
      <c r="AW65" s="23" t="str">
        <f t="shared" si="54"/>
        <v/>
      </c>
      <c r="AX65" s="23" t="str">
        <f t="shared" si="55"/>
        <v/>
      </c>
      <c r="AY65" s="36" t="str">
        <f t="shared" si="56"/>
        <v/>
      </c>
      <c r="BB65" s="42" t="s">
        <v>15</v>
      </c>
      <c r="BC65" t="s">
        <v>62</v>
      </c>
      <c r="BD65" t="str">
        <f t="shared" si="61"/>
        <v>SxxRyy</v>
      </c>
      <c r="BF65" t="s">
        <v>382</v>
      </c>
      <c r="BT65" t="str">
        <f>IF(UPPER(Header_Config13)="Y","","X")</f>
        <v>X</v>
      </c>
      <c r="BV65" s="30" t="s">
        <v>382</v>
      </c>
      <c r="BY65" s="42"/>
      <c r="CB65" s="42"/>
      <c r="CE65" s="30"/>
      <c r="CH65" s="42"/>
      <c r="CN65" s="30"/>
      <c r="CP65" t="s">
        <v>12</v>
      </c>
      <c r="CQ65" s="40"/>
      <c r="CR65" s="30"/>
    </row>
    <row r="66" spans="2:96" x14ac:dyDescent="0.35">
      <c r="B66" s="4" t="str">
        <f t="shared" si="28"/>
        <v>&lt;BLANK&gt;</v>
      </c>
      <c r="C66" s="4"/>
      <c r="D66" s="4" t="str">
        <f t="shared" si="29"/>
        <v>From_RBT_InJoint2Zone1Pos</v>
      </c>
      <c r="E66" s="4" t="str">
        <f t="shared" si="30"/>
        <v>SxxRyy_InJoint2Zone1Pos</v>
      </c>
      <c r="F66" s="4" t="str">
        <f t="shared" si="31"/>
        <v>I</v>
      </c>
      <c r="G66" s="4" t="str">
        <f t="shared" si="32"/>
        <v/>
      </c>
      <c r="H66" s="4" t="str">
        <f t="shared" si="33"/>
        <v/>
      </c>
      <c r="I66" s="4" t="str">
        <f t="shared" si="34"/>
        <v/>
      </c>
      <c r="J66" s="4"/>
      <c r="K66" s="56" t="str">
        <f t="shared" si="35"/>
        <v>BOOL</v>
      </c>
      <c r="L66" s="56" t="str">
        <f t="shared" si="4"/>
        <v>ROBOTS\SxxRyy</v>
      </c>
      <c r="M66" s="56" t="str">
        <f t="shared" si="5"/>
        <v>STELLANTIS\Common\ToolPrototype\Robots</v>
      </c>
      <c r="N66" s="56" t="str">
        <f t="shared" si="6"/>
        <v>STELLANTIS_DN_FANUC_ROBOT_128_BIT_INTEGRATED_SAFETY_SxxRyy.v00</v>
      </c>
      <c r="O66" s="56" t="str">
        <f t="shared" si="36"/>
        <v>InJoint2Zone1Pos</v>
      </c>
      <c r="P66" s="56" t="str">
        <f t="shared" si="37"/>
        <v>SxxRyy</v>
      </c>
      <c r="Q66" s="56" t="str">
        <f t="shared" si="38"/>
        <v/>
      </c>
      <c r="R66" s="56" t="str">
        <f t="shared" si="39"/>
        <v/>
      </c>
      <c r="S66" s="56" t="str">
        <f t="shared" si="40"/>
        <v/>
      </c>
      <c r="T66" s="56" t="str">
        <f t="shared" si="41"/>
        <v/>
      </c>
      <c r="U66" s="56" t="str">
        <f t="shared" si="42"/>
        <v/>
      </c>
      <c r="V66" s="56" t="str">
        <f t="shared" si="43"/>
        <v/>
      </c>
      <c r="W66" s="56"/>
      <c r="X66" s="56"/>
      <c r="Y66" s="56"/>
      <c r="Z66" s="56" t="str">
        <f t="shared" si="44"/>
        <v/>
      </c>
      <c r="AA66" s="56" t="str">
        <f t="shared" si="45"/>
        <v/>
      </c>
      <c r="AB66" s="56" t="str">
        <f t="shared" si="9"/>
        <v>ToolPrototype</v>
      </c>
      <c r="AC66" s="56" t="str">
        <f t="shared" si="46"/>
        <v>Optional</v>
      </c>
      <c r="AD66" s="56" t="str">
        <f t="shared" si="10"/>
        <v>&lt;device&gt;
&lt;name&gt;SxxRyy&lt;/name&gt;
&lt;type&gt;FCA_DN_FANUC&lt;/type&gt;
&lt;deviceNetwork&gt;201&lt;/deviceNetwork&gt;
&lt;deviceNode&gt;56&lt;/deviceNode&gt;
&lt;/device&gt;</v>
      </c>
      <c r="AE66" s="56" t="str">
        <f t="shared" si="11"/>
        <v/>
      </c>
      <c r="AF66" s="56" t="str">
        <f t="shared" si="12"/>
        <v/>
      </c>
      <c r="AG66" s="56" t="str">
        <f t="shared" si="13"/>
        <v/>
      </c>
      <c r="AH66" s="56" t="str">
        <f t="shared" si="14"/>
        <v/>
      </c>
      <c r="AI66" s="56" t="str">
        <f t="shared" si="15"/>
        <v/>
      </c>
      <c r="AJ66" s="56" t="str">
        <f t="shared" si="16"/>
        <v/>
      </c>
      <c r="AK66" s="56" t="str">
        <f t="shared" si="17"/>
        <v/>
      </c>
      <c r="AL66" s="56" t="str">
        <f t="shared" si="18"/>
        <v/>
      </c>
      <c r="AM66" s="56" t="str">
        <f t="shared" si="19"/>
        <v/>
      </c>
      <c r="AN66" s="56" t="str">
        <f t="shared" si="47"/>
        <v/>
      </c>
      <c r="AO66" s="56" t="str">
        <f t="shared" si="48"/>
        <v/>
      </c>
      <c r="AP66" s="56" t="str">
        <f t="shared" si="49"/>
        <v>RBT</v>
      </c>
      <c r="AQ66" s="56" t="str">
        <f t="shared" si="50"/>
        <v>ENTRY</v>
      </c>
      <c r="AR66" s="39" t="s">
        <v>130</v>
      </c>
      <c r="AT66" s="44" t="str">
        <f t="shared" si="51"/>
        <v>BOOL</v>
      </c>
      <c r="AU66" s="23" t="str">
        <f t="shared" si="52"/>
        <v/>
      </c>
      <c r="AV66" s="23" t="str">
        <f t="shared" si="53"/>
        <v/>
      </c>
      <c r="AW66" s="23" t="str">
        <f t="shared" si="54"/>
        <v/>
      </c>
      <c r="AX66" s="23" t="str">
        <f t="shared" si="55"/>
        <v/>
      </c>
      <c r="AY66" s="36" t="str">
        <f t="shared" si="56"/>
        <v/>
      </c>
      <c r="BB66" s="42" t="s">
        <v>15</v>
      </c>
      <c r="BC66" t="s">
        <v>62</v>
      </c>
      <c r="BD66" t="str">
        <f t="shared" si="61"/>
        <v>SxxRyy</v>
      </c>
      <c r="BF66" t="s">
        <v>383</v>
      </c>
      <c r="BT66" t="str">
        <f>IF(UPPER(Header_Config13)="Y","","X")</f>
        <v>X</v>
      </c>
      <c r="BV66" s="30" t="s">
        <v>383</v>
      </c>
      <c r="BY66" s="42"/>
      <c r="CB66" s="42"/>
      <c r="CE66" s="30"/>
      <c r="CH66" s="42"/>
      <c r="CN66" s="30"/>
      <c r="CP66" t="s">
        <v>12</v>
      </c>
      <c r="CQ66" s="40"/>
      <c r="CR66" s="30"/>
    </row>
    <row r="67" spans="2:96" x14ac:dyDescent="0.35">
      <c r="B67" s="4" t="str">
        <f t="shared" si="28"/>
        <v>&lt;BLANK&gt;</v>
      </c>
      <c r="C67" s="4"/>
      <c r="D67" s="4" t="str">
        <f t="shared" si="29"/>
        <v>From_RBT_InJoint3Zone1Pos</v>
      </c>
      <c r="E67" s="4" t="str">
        <f t="shared" si="30"/>
        <v>SxxRyy_InJoint3Zone1Pos</v>
      </c>
      <c r="F67" s="4" t="str">
        <f t="shared" si="31"/>
        <v>I</v>
      </c>
      <c r="G67" s="4" t="str">
        <f t="shared" si="32"/>
        <v/>
      </c>
      <c r="H67" s="4" t="str">
        <f t="shared" si="33"/>
        <v/>
      </c>
      <c r="I67" s="4" t="str">
        <f t="shared" si="34"/>
        <v/>
      </c>
      <c r="J67" s="4"/>
      <c r="K67" s="56" t="str">
        <f t="shared" si="35"/>
        <v>BOOL</v>
      </c>
      <c r="L67" s="56" t="str">
        <f t="shared" si="4"/>
        <v>ROBOTS\SxxRyy</v>
      </c>
      <c r="M67" s="56" t="str">
        <f t="shared" si="5"/>
        <v>STELLANTIS\Common\ToolPrototype\Robots</v>
      </c>
      <c r="N67" s="56" t="str">
        <f t="shared" si="6"/>
        <v>STELLANTIS_DN_FANUC_ROBOT_128_BIT_INTEGRATED_SAFETY_SxxRyy.v00</v>
      </c>
      <c r="O67" s="56" t="str">
        <f t="shared" si="36"/>
        <v>InJoint3Zone1Pos</v>
      </c>
      <c r="P67" s="56" t="str">
        <f t="shared" si="37"/>
        <v>SxxRyy</v>
      </c>
      <c r="Q67" s="56" t="str">
        <f t="shared" si="38"/>
        <v/>
      </c>
      <c r="R67" s="56" t="str">
        <f t="shared" si="39"/>
        <v/>
      </c>
      <c r="S67" s="56" t="str">
        <f t="shared" si="40"/>
        <v/>
      </c>
      <c r="T67" s="56" t="str">
        <f t="shared" si="41"/>
        <v/>
      </c>
      <c r="U67" s="56" t="str">
        <f t="shared" si="42"/>
        <v/>
      </c>
      <c r="V67" s="56" t="str">
        <f t="shared" si="43"/>
        <v/>
      </c>
      <c r="W67" s="56"/>
      <c r="X67" s="56"/>
      <c r="Y67" s="56"/>
      <c r="Z67" s="56" t="str">
        <f t="shared" si="44"/>
        <v/>
      </c>
      <c r="AA67" s="56" t="str">
        <f t="shared" si="45"/>
        <v/>
      </c>
      <c r="AB67" s="56" t="str">
        <f t="shared" si="9"/>
        <v>ToolPrototype</v>
      </c>
      <c r="AC67" s="56" t="str">
        <f t="shared" si="46"/>
        <v>Optional</v>
      </c>
      <c r="AD67" s="56" t="str">
        <f t="shared" si="10"/>
        <v>&lt;device&gt;
&lt;name&gt;SxxRyy&lt;/name&gt;
&lt;type&gt;FCA_DN_FANUC&lt;/type&gt;
&lt;deviceNetwork&gt;201&lt;/deviceNetwork&gt;
&lt;deviceNode&gt;56&lt;/deviceNode&gt;
&lt;/device&gt;</v>
      </c>
      <c r="AE67" s="56" t="str">
        <f t="shared" si="11"/>
        <v/>
      </c>
      <c r="AF67" s="56" t="str">
        <f t="shared" si="12"/>
        <v/>
      </c>
      <c r="AG67" s="56" t="str">
        <f t="shared" si="13"/>
        <v/>
      </c>
      <c r="AH67" s="56" t="str">
        <f t="shared" si="14"/>
        <v/>
      </c>
      <c r="AI67" s="56" t="str">
        <f t="shared" si="15"/>
        <v/>
      </c>
      <c r="AJ67" s="56" t="str">
        <f t="shared" si="16"/>
        <v/>
      </c>
      <c r="AK67" s="56" t="str">
        <f t="shared" si="17"/>
        <v/>
      </c>
      <c r="AL67" s="56" t="str">
        <f t="shared" si="18"/>
        <v/>
      </c>
      <c r="AM67" s="56" t="str">
        <f t="shared" si="19"/>
        <v/>
      </c>
      <c r="AN67" s="56" t="str">
        <f t="shared" si="47"/>
        <v/>
      </c>
      <c r="AO67" s="56" t="str">
        <f t="shared" si="48"/>
        <v/>
      </c>
      <c r="AP67" s="56" t="str">
        <f t="shared" si="49"/>
        <v>RBT</v>
      </c>
      <c r="AQ67" s="56" t="str">
        <f t="shared" si="50"/>
        <v>ENTRY</v>
      </c>
      <c r="AR67" s="39" t="s">
        <v>130</v>
      </c>
      <c r="AT67" s="44" t="str">
        <f t="shared" si="51"/>
        <v>BOOL</v>
      </c>
      <c r="AU67" s="23" t="str">
        <f t="shared" si="52"/>
        <v/>
      </c>
      <c r="AV67" s="23" t="str">
        <f t="shared" si="53"/>
        <v/>
      </c>
      <c r="AW67" s="23" t="str">
        <f t="shared" si="54"/>
        <v/>
      </c>
      <c r="AX67" s="23" t="str">
        <f t="shared" si="55"/>
        <v/>
      </c>
      <c r="AY67" s="36" t="str">
        <f t="shared" si="56"/>
        <v/>
      </c>
      <c r="BB67" s="42" t="s">
        <v>15</v>
      </c>
      <c r="BC67" t="s">
        <v>62</v>
      </c>
      <c r="BD67" t="str">
        <f t="shared" si="61"/>
        <v>SxxRyy</v>
      </c>
      <c r="BF67" t="s">
        <v>384</v>
      </c>
      <c r="BT67" t="str">
        <f>IF(UPPER(Header_Config13)="Y","","X")</f>
        <v>X</v>
      </c>
      <c r="BV67" s="30" t="s">
        <v>384</v>
      </c>
      <c r="BY67" s="42"/>
      <c r="CB67" s="42"/>
      <c r="CE67" s="30"/>
      <c r="CH67" s="42"/>
      <c r="CN67" s="30"/>
      <c r="CP67" t="s">
        <v>12</v>
      </c>
      <c r="CQ67" s="40"/>
      <c r="CR67" s="30"/>
    </row>
    <row r="68" spans="2:96" x14ac:dyDescent="0.35">
      <c r="B68" s="4" t="str">
        <f t="shared" si="28"/>
        <v>FANUC_SxxRyy</v>
      </c>
      <c r="C68" s="4"/>
      <c r="D68" s="4" t="str">
        <f t="shared" si="29"/>
        <v>From_RBT_RobotWorkComplete</v>
      </c>
      <c r="E68" s="4" t="str">
        <f t="shared" si="30"/>
        <v>SxxRyy_RobotWorkComplete</v>
      </c>
      <c r="F68" s="4" t="str">
        <f t="shared" si="31"/>
        <v>I</v>
      </c>
      <c r="G68" s="4" t="str">
        <f t="shared" si="32"/>
        <v/>
      </c>
      <c r="H68" s="4" t="str">
        <f t="shared" si="33"/>
        <v/>
      </c>
      <c r="I68" s="4" t="str">
        <f t="shared" si="34"/>
        <v/>
      </c>
      <c r="J68" s="4"/>
      <c r="K68" s="56" t="str">
        <f t="shared" si="35"/>
        <v>BOOL</v>
      </c>
      <c r="L68" s="56" t="str">
        <f t="shared" si="4"/>
        <v>ROBOTS\SxxRyy</v>
      </c>
      <c r="M68" s="56" t="str">
        <f t="shared" si="5"/>
        <v>STELLANTIS\Common\ToolPrototype\Robots</v>
      </c>
      <c r="N68" s="56" t="str">
        <f t="shared" si="6"/>
        <v>STELLANTIS_DN_FANUC_ROBOT_128_BIT_INTEGRATED_SAFETY_SxxRyy.v00</v>
      </c>
      <c r="O68" s="56" t="str">
        <f t="shared" si="36"/>
        <v>WorkComplete</v>
      </c>
      <c r="P68" s="56" t="str">
        <f t="shared" si="37"/>
        <v>SxxRyy</v>
      </c>
      <c r="Q68" s="56" t="str">
        <f t="shared" si="38"/>
        <v/>
      </c>
      <c r="R68" s="56" t="str">
        <f t="shared" si="39"/>
        <v/>
      </c>
      <c r="S68" s="56" t="str">
        <f t="shared" si="40"/>
        <v/>
      </c>
      <c r="T68" s="56" t="str">
        <f t="shared" si="41"/>
        <v/>
      </c>
      <c r="U68" s="56" t="str">
        <f t="shared" si="42"/>
        <v/>
      </c>
      <c r="V68" s="56" t="str">
        <f t="shared" si="43"/>
        <v/>
      </c>
      <c r="W68" s="56"/>
      <c r="X68" s="56"/>
      <c r="Y68" s="56"/>
      <c r="Z68" s="56" t="str">
        <f t="shared" si="44"/>
        <v/>
      </c>
      <c r="AA68" s="56" t="str">
        <f t="shared" si="45"/>
        <v/>
      </c>
      <c r="AB68" s="56" t="str">
        <f t="shared" si="9"/>
        <v>ToolPrototype</v>
      </c>
      <c r="AC68" s="56" t="str">
        <f t="shared" si="46"/>
        <v/>
      </c>
      <c r="AD68" s="56" t="str">
        <f t="shared" si="10"/>
        <v>&lt;device&gt;
&lt;name&gt;SxxRyy&lt;/name&gt;
&lt;type&gt;FCA_DN_FANUC&lt;/type&gt;
&lt;deviceNetwork&gt;201&lt;/deviceNetwork&gt;
&lt;deviceNode&gt;56&lt;/deviceNode&gt;
&lt;/device&gt;</v>
      </c>
      <c r="AE68" s="56" t="str">
        <f t="shared" si="11"/>
        <v/>
      </c>
      <c r="AF68" s="56" t="str">
        <f t="shared" si="12"/>
        <v/>
      </c>
      <c r="AG68" s="56" t="str">
        <f t="shared" si="13"/>
        <v/>
      </c>
      <c r="AH68" s="56" t="str">
        <f t="shared" si="14"/>
        <v/>
      </c>
      <c r="AI68" s="56" t="str">
        <f t="shared" si="15"/>
        <v/>
      </c>
      <c r="AJ68" s="56" t="str">
        <f t="shared" si="16"/>
        <v/>
      </c>
      <c r="AK68" s="56" t="str">
        <f t="shared" si="17"/>
        <v/>
      </c>
      <c r="AL68" s="56" t="str">
        <f t="shared" si="18"/>
        <v/>
      </c>
      <c r="AM68" s="56" t="str">
        <f t="shared" si="19"/>
        <v/>
      </c>
      <c r="AN68" s="56" t="str">
        <f t="shared" si="47"/>
        <v/>
      </c>
      <c r="AO68" s="56" t="str">
        <f t="shared" si="48"/>
        <v/>
      </c>
      <c r="AP68" s="56" t="str">
        <f t="shared" si="49"/>
        <v>RBT</v>
      </c>
      <c r="AQ68" s="56" t="str">
        <f t="shared" si="50"/>
        <v>ENTRY</v>
      </c>
      <c r="AR68" s="39" t="s">
        <v>130</v>
      </c>
      <c r="AT68" s="44" t="str">
        <f t="shared" si="51"/>
        <v>BOOL</v>
      </c>
      <c r="AU68" s="23" t="str">
        <f t="shared" si="52"/>
        <v/>
      </c>
      <c r="AV68" s="23" t="str">
        <f t="shared" si="53"/>
        <v/>
      </c>
      <c r="AW68" s="23" t="str">
        <f t="shared" si="54"/>
        <v/>
      </c>
      <c r="AX68" s="23" t="str">
        <f t="shared" si="55"/>
        <v/>
      </c>
      <c r="AY68" s="36" t="str">
        <f t="shared" si="56"/>
        <v/>
      </c>
      <c r="BB68" s="42" t="s">
        <v>15</v>
      </c>
      <c r="BC68" t="s">
        <v>62</v>
      </c>
      <c r="BD68" t="str">
        <f t="shared" si="61"/>
        <v>SxxRyy</v>
      </c>
      <c r="BF68" t="s">
        <v>385</v>
      </c>
      <c r="BV68" s="30" t="s">
        <v>538</v>
      </c>
      <c r="BY68" s="42"/>
      <c r="CB68" s="42"/>
      <c r="CE68" s="30"/>
      <c r="CH68" s="42"/>
      <c r="CN68" s="30"/>
      <c r="CP68" t="s">
        <v>12</v>
      </c>
      <c r="CQ68" s="40"/>
      <c r="CR68" s="30"/>
    </row>
    <row r="69" spans="2:96" x14ac:dyDescent="0.35">
      <c r="B69" s="4" t="str">
        <f t="shared" si="28"/>
        <v>FANUC_SxxRyy</v>
      </c>
      <c r="C69" s="4"/>
      <c r="D69" s="4" t="str">
        <f t="shared" si="29"/>
        <v>From_RBT_ActiveStyle</v>
      </c>
      <c r="E69" s="4" t="str">
        <f t="shared" si="30"/>
        <v>SxxRyy_ActiveStyle</v>
      </c>
      <c r="F69" s="4" t="str">
        <f t="shared" si="31"/>
        <v>I</v>
      </c>
      <c r="G69" s="4" t="str">
        <f t="shared" si="32"/>
        <v/>
      </c>
      <c r="H69" s="4" t="str">
        <f t="shared" si="33"/>
        <v/>
      </c>
      <c r="I69" s="4" t="str">
        <f t="shared" si="34"/>
        <v/>
      </c>
      <c r="J69" s="4"/>
      <c r="K69" s="56" t="str">
        <f t="shared" si="35"/>
        <v>BOOL</v>
      </c>
      <c r="L69" s="56" t="str">
        <f t="shared" si="4"/>
        <v>ROBOTS\SxxRyy</v>
      </c>
      <c r="M69" s="56" t="str">
        <f t="shared" si="5"/>
        <v>STELLANTIS\Common\ToolPrototype\Robots</v>
      </c>
      <c r="N69" s="56" t="str">
        <f t="shared" si="6"/>
        <v>STELLANTIS_DN_FANUC_ROBOT_128_BIT_INTEGRATED_SAFETY_SxxRyy.v00</v>
      </c>
      <c r="O69" s="56" t="str">
        <f t="shared" si="36"/>
        <v>GO[1]</v>
      </c>
      <c r="P69" s="56" t="str">
        <f t="shared" si="37"/>
        <v>SxxRyy</v>
      </c>
      <c r="Q69" s="56" t="str">
        <f t="shared" si="38"/>
        <v/>
      </c>
      <c r="R69" s="56" t="str">
        <f t="shared" si="39"/>
        <v/>
      </c>
      <c r="S69" s="56" t="str">
        <f t="shared" si="40"/>
        <v/>
      </c>
      <c r="T69" s="56" t="str">
        <f t="shared" si="41"/>
        <v/>
      </c>
      <c r="U69" s="56" t="str">
        <f t="shared" si="42"/>
        <v/>
      </c>
      <c r="V69" s="56" t="str">
        <f t="shared" si="43"/>
        <v/>
      </c>
      <c r="W69" s="56"/>
      <c r="X69" s="56"/>
      <c r="Y69" s="56"/>
      <c r="Z69" s="56" t="str">
        <f t="shared" si="44"/>
        <v/>
      </c>
      <c r="AA69" s="56" t="str">
        <f t="shared" si="45"/>
        <v/>
      </c>
      <c r="AB69" s="56" t="str">
        <f t="shared" si="9"/>
        <v>ToolPrototype</v>
      </c>
      <c r="AC69" s="56" t="str">
        <f t="shared" si="46"/>
        <v/>
      </c>
      <c r="AD69" s="56" t="str">
        <f t="shared" si="10"/>
        <v>&lt;device&gt;
&lt;name&gt;SxxRyy&lt;/name&gt;
&lt;type&gt;FCA_DN_FANUC&lt;/type&gt;
&lt;deviceNetwork&gt;201&lt;/deviceNetwork&gt;
&lt;deviceNode&gt;56&lt;/deviceNode&gt;
&lt;/device&gt;</v>
      </c>
      <c r="AE69" s="56" t="str">
        <f t="shared" si="11"/>
        <v/>
      </c>
      <c r="AF69" s="56" t="str">
        <f t="shared" si="12"/>
        <v/>
      </c>
      <c r="AG69" s="56" t="str">
        <f t="shared" si="13"/>
        <v/>
      </c>
      <c r="AH69" s="56" t="str">
        <f t="shared" si="14"/>
        <v/>
      </c>
      <c r="AI69" s="56" t="str">
        <f t="shared" si="15"/>
        <v/>
      </c>
      <c r="AJ69" s="56" t="str">
        <f t="shared" si="16"/>
        <v/>
      </c>
      <c r="AK69" s="56" t="str">
        <f t="shared" si="17"/>
        <v/>
      </c>
      <c r="AL69" s="56" t="str">
        <f t="shared" si="18"/>
        <v/>
      </c>
      <c r="AM69" s="56" t="str">
        <f t="shared" si="19"/>
        <v/>
      </c>
      <c r="AN69" s="56">
        <f t="shared" si="47"/>
        <v>1</v>
      </c>
      <c r="AO69" s="56" t="str">
        <f t="shared" si="48"/>
        <v>ROBOTS:SxxRyy\000_COMMON|ROBOTS_NOPLC:SxxRyy\000_COMMON</v>
      </c>
      <c r="AP69" s="56" t="str">
        <f t="shared" si="49"/>
        <v>RBT</v>
      </c>
      <c r="AQ69" s="56" t="str">
        <f t="shared" si="50"/>
        <v>ENTRY</v>
      </c>
      <c r="AR69" s="39" t="s">
        <v>130</v>
      </c>
      <c r="AT69" s="44" t="str">
        <f t="shared" si="51"/>
        <v>BOOL</v>
      </c>
      <c r="AU69" s="23" t="str">
        <f t="shared" si="52"/>
        <v/>
      </c>
      <c r="AV69" s="23" t="str">
        <f t="shared" si="53"/>
        <v/>
      </c>
      <c r="AW69" s="23" t="str">
        <f t="shared" si="54"/>
        <v/>
      </c>
      <c r="AX69" s="23" t="str">
        <f t="shared" si="55"/>
        <v/>
      </c>
      <c r="AY69" s="36" t="str">
        <f t="shared" si="56"/>
        <v/>
      </c>
      <c r="BB69" s="42" t="s">
        <v>15</v>
      </c>
      <c r="BC69" t="s">
        <v>62</v>
      </c>
      <c r="BD69" t="str">
        <f t="shared" si="61"/>
        <v>SxxRyy</v>
      </c>
      <c r="BF69" t="s">
        <v>386</v>
      </c>
      <c r="BR69">
        <v>1</v>
      </c>
      <c r="BS69" t="str">
        <f>"ROBOTS:"&amp;Header_Config02&amp;"\000_COMMON|ROBOTS_NOPLC:"&amp;Header_Config02&amp;"\000_COMMON"</f>
        <v>ROBOTS:SxxRyy\000_COMMON|ROBOTS_NOPLC:SxxRyy\000_COMMON</v>
      </c>
      <c r="BV69" s="30" t="s">
        <v>539</v>
      </c>
      <c r="BW69" t="s">
        <v>386</v>
      </c>
      <c r="BY69" s="42"/>
      <c r="CB69" s="42"/>
      <c r="CE69" s="30"/>
      <c r="CH69" s="42"/>
      <c r="CN69" s="30"/>
      <c r="CP69" t="s">
        <v>12</v>
      </c>
      <c r="CQ69" s="40"/>
      <c r="CR69" s="30"/>
    </row>
    <row r="70" spans="2:96" x14ac:dyDescent="0.35">
      <c r="B70" s="4" t="str">
        <f t="shared" si="28"/>
        <v>FANUC_SxxRyy</v>
      </c>
      <c r="C70" s="4"/>
      <c r="D70" s="4" t="str">
        <f t="shared" si="29"/>
        <v>From_RBT_RepoTooling</v>
      </c>
      <c r="E70" s="4" t="str">
        <f t="shared" si="30"/>
        <v>SxxRyy_RepoTooling</v>
      </c>
      <c r="F70" s="4" t="str">
        <f t="shared" si="31"/>
        <v>I</v>
      </c>
      <c r="G70" s="4" t="str">
        <f t="shared" si="32"/>
        <v/>
      </c>
      <c r="H70" s="4" t="str">
        <f t="shared" si="33"/>
        <v/>
      </c>
      <c r="I70" s="4" t="str">
        <f t="shared" si="34"/>
        <v/>
      </c>
      <c r="J70" s="4"/>
      <c r="K70" s="56" t="str">
        <f t="shared" si="35"/>
        <v>BOOL</v>
      </c>
      <c r="L70" s="56" t="str">
        <f t="shared" si="4"/>
        <v>ROBOTS\SxxRyy</v>
      </c>
      <c r="M70" s="56" t="str">
        <f t="shared" si="5"/>
        <v>STELLANTIS\Common\ToolPrototype\Robots</v>
      </c>
      <c r="N70" s="56" t="str">
        <f t="shared" si="6"/>
        <v>STELLANTIS_DN_FANUC_ROBOT_128_BIT_INTEGRATED_SAFETY_SxxRyy.v00</v>
      </c>
      <c r="O70" s="56" t="str">
        <f t="shared" si="36"/>
        <v>GO[2]</v>
      </c>
      <c r="P70" s="56" t="str">
        <f t="shared" si="37"/>
        <v>SxxRyy</v>
      </c>
      <c r="Q70" s="56" t="str">
        <f t="shared" si="38"/>
        <v/>
      </c>
      <c r="R70" s="56" t="str">
        <f t="shared" si="39"/>
        <v/>
      </c>
      <c r="S70" s="56" t="str">
        <f t="shared" si="40"/>
        <v/>
      </c>
      <c r="T70" s="56" t="str">
        <f t="shared" si="41"/>
        <v/>
      </c>
      <c r="U70" s="56" t="str">
        <f t="shared" si="42"/>
        <v/>
      </c>
      <c r="V70" s="56" t="str">
        <f t="shared" si="43"/>
        <v/>
      </c>
      <c r="W70" s="56"/>
      <c r="X70" s="56"/>
      <c r="Y70" s="56"/>
      <c r="Z70" s="56" t="str">
        <f t="shared" si="44"/>
        <v/>
      </c>
      <c r="AA70" s="56" t="str">
        <f t="shared" si="45"/>
        <v/>
      </c>
      <c r="AB70" s="56" t="str">
        <f t="shared" si="9"/>
        <v>ToolPrototype</v>
      </c>
      <c r="AC70" s="56" t="str">
        <f t="shared" si="46"/>
        <v/>
      </c>
      <c r="AD70" s="56" t="str">
        <f t="shared" si="10"/>
        <v>&lt;device&gt;
&lt;name&gt;SxxRyy&lt;/name&gt;
&lt;type&gt;FCA_DN_FANUC&lt;/type&gt;
&lt;deviceNetwork&gt;201&lt;/deviceNetwork&gt;
&lt;deviceNode&gt;56&lt;/deviceNode&gt;
&lt;/device&gt;</v>
      </c>
      <c r="AE70" s="56" t="str">
        <f t="shared" si="11"/>
        <v/>
      </c>
      <c r="AF70" s="56" t="str">
        <f t="shared" si="12"/>
        <v/>
      </c>
      <c r="AG70" s="56" t="str">
        <f t="shared" si="13"/>
        <v/>
      </c>
      <c r="AH70" s="56" t="str">
        <f t="shared" si="14"/>
        <v/>
      </c>
      <c r="AI70" s="56" t="str">
        <f t="shared" si="15"/>
        <v/>
      </c>
      <c r="AJ70" s="56" t="str">
        <f t="shared" si="16"/>
        <v/>
      </c>
      <c r="AK70" s="56" t="str">
        <f t="shared" si="17"/>
        <v/>
      </c>
      <c r="AL70" s="56" t="str">
        <f t="shared" si="18"/>
        <v/>
      </c>
      <c r="AM70" s="56" t="str">
        <f t="shared" si="19"/>
        <v/>
      </c>
      <c r="AN70" s="56">
        <f t="shared" si="47"/>
        <v>1</v>
      </c>
      <c r="AO70" s="56" t="str">
        <f t="shared" si="48"/>
        <v>ROBOTS:SxxRyy\000_COMMON|ROBOTS_NOPLC:SxxRyy\000_COMMON</v>
      </c>
      <c r="AP70" s="56" t="str">
        <f t="shared" si="49"/>
        <v>RBT</v>
      </c>
      <c r="AQ70" s="56" t="str">
        <f t="shared" si="50"/>
        <v>ENTRY</v>
      </c>
      <c r="AR70" s="39" t="s">
        <v>130</v>
      </c>
      <c r="AT70" s="44" t="str">
        <f t="shared" si="51"/>
        <v>BOOL</v>
      </c>
      <c r="AU70" s="23" t="str">
        <f t="shared" si="52"/>
        <v/>
      </c>
      <c r="AV70" s="23" t="str">
        <f t="shared" si="53"/>
        <v/>
      </c>
      <c r="AW70" s="23" t="str">
        <f t="shared" si="54"/>
        <v/>
      </c>
      <c r="AX70" s="23" t="str">
        <f t="shared" si="55"/>
        <v/>
      </c>
      <c r="AY70" s="36" t="str">
        <f t="shared" si="56"/>
        <v/>
      </c>
      <c r="BB70" s="42" t="s">
        <v>15</v>
      </c>
      <c r="BC70" t="s">
        <v>62</v>
      </c>
      <c r="BD70" t="str">
        <f t="shared" si="61"/>
        <v>SxxRyy</v>
      </c>
      <c r="BF70" t="s">
        <v>387</v>
      </c>
      <c r="BR70">
        <v>1</v>
      </c>
      <c r="BS70" t="str">
        <f>"ROBOTS:"&amp;Header_Config02&amp;"\000_COMMON|ROBOTS_NOPLC:"&amp;Header_Config02&amp;"\000_COMMON"</f>
        <v>ROBOTS:SxxRyy\000_COMMON|ROBOTS_NOPLC:SxxRyy\000_COMMON</v>
      </c>
      <c r="BV70" s="30" t="s">
        <v>540</v>
      </c>
      <c r="BW70" t="s">
        <v>387</v>
      </c>
      <c r="BY70" s="42"/>
      <c r="CB70" s="42"/>
      <c r="CE70" s="30"/>
      <c r="CH70" s="42"/>
      <c r="CN70" s="30"/>
      <c r="CP70" t="s">
        <v>12</v>
      </c>
      <c r="CQ70" s="40"/>
      <c r="CR70" s="30"/>
    </row>
    <row r="71" spans="2:96" x14ac:dyDescent="0.35">
      <c r="B71" s="4" t="str">
        <f t="shared" si="28"/>
        <v>FANUC_SxxRyy</v>
      </c>
      <c r="C71" s="4"/>
      <c r="D71" s="4" t="str">
        <f t="shared" si="29"/>
        <v>From_RBT_ToolIDOnWrist</v>
      </c>
      <c r="E71" s="4" t="str">
        <f t="shared" si="30"/>
        <v>SxxRyy_ToolIDOnWrist</v>
      </c>
      <c r="F71" s="4" t="str">
        <f t="shared" si="31"/>
        <v>I</v>
      </c>
      <c r="G71" s="4" t="str">
        <f t="shared" si="32"/>
        <v/>
      </c>
      <c r="H71" s="4" t="str">
        <f t="shared" si="33"/>
        <v/>
      </c>
      <c r="I71" s="4" t="str">
        <f t="shared" si="34"/>
        <v/>
      </c>
      <c r="J71" s="4"/>
      <c r="K71" s="56" t="str">
        <f t="shared" si="35"/>
        <v>BOOL</v>
      </c>
      <c r="L71" s="56" t="str">
        <f t="shared" si="4"/>
        <v>ROBOTS\SxxRyy</v>
      </c>
      <c r="M71" s="56" t="str">
        <f t="shared" si="5"/>
        <v>STELLANTIS\Common\ToolPrototype\Robots</v>
      </c>
      <c r="N71" s="56" t="str">
        <f t="shared" si="6"/>
        <v>STELLANTIS_DN_FANUC_ROBOT_128_BIT_INTEGRATED_SAFETY_SxxRyy.v00</v>
      </c>
      <c r="O71" s="56" t="str">
        <f t="shared" si="36"/>
        <v>GO[3]</v>
      </c>
      <c r="P71" s="56" t="str">
        <f t="shared" si="37"/>
        <v>SxxRyy</v>
      </c>
      <c r="Q71" s="56" t="str">
        <f t="shared" si="38"/>
        <v/>
      </c>
      <c r="R71" s="56" t="str">
        <f t="shared" si="39"/>
        <v/>
      </c>
      <c r="S71" s="56" t="str">
        <f t="shared" si="40"/>
        <v/>
      </c>
      <c r="T71" s="56" t="str">
        <f t="shared" si="41"/>
        <v/>
      </c>
      <c r="U71" s="56" t="str">
        <f t="shared" si="42"/>
        <v/>
      </c>
      <c r="V71" s="56" t="str">
        <f t="shared" si="43"/>
        <v/>
      </c>
      <c r="W71" s="56"/>
      <c r="X71" s="56"/>
      <c r="Y71" s="56"/>
      <c r="Z71" s="56" t="str">
        <f t="shared" si="44"/>
        <v/>
      </c>
      <c r="AA71" s="56" t="str">
        <f t="shared" si="45"/>
        <v/>
      </c>
      <c r="AB71" s="56" t="str">
        <f t="shared" si="9"/>
        <v>ToolPrototype</v>
      </c>
      <c r="AC71" s="56" t="str">
        <f t="shared" si="46"/>
        <v>Optional</v>
      </c>
      <c r="AD71" s="56" t="str">
        <f t="shared" si="10"/>
        <v>&lt;device&gt;
&lt;name&gt;SxxRyy&lt;/name&gt;
&lt;type&gt;FCA_DN_FANUC&lt;/type&gt;
&lt;deviceNetwork&gt;201&lt;/deviceNetwork&gt;
&lt;deviceNode&gt;56&lt;/deviceNode&gt;
&lt;/device&gt;</v>
      </c>
      <c r="AE71" s="56" t="str">
        <f t="shared" si="11"/>
        <v/>
      </c>
      <c r="AF71" s="56" t="str">
        <f t="shared" si="12"/>
        <v/>
      </c>
      <c r="AG71" s="56" t="str">
        <f t="shared" si="13"/>
        <v/>
      </c>
      <c r="AH71" s="56" t="str">
        <f t="shared" si="14"/>
        <v/>
      </c>
      <c r="AI71" s="56" t="str">
        <f t="shared" si="15"/>
        <v/>
      </c>
      <c r="AJ71" s="56" t="str">
        <f t="shared" si="16"/>
        <v/>
      </c>
      <c r="AK71" s="56" t="str">
        <f t="shared" si="17"/>
        <v/>
      </c>
      <c r="AL71" s="56" t="str">
        <f t="shared" si="18"/>
        <v/>
      </c>
      <c r="AM71" s="56" t="str">
        <f t="shared" si="19"/>
        <v/>
      </c>
      <c r="AN71" s="56">
        <f t="shared" si="47"/>
        <v>1</v>
      </c>
      <c r="AO71" s="56" t="str">
        <f t="shared" si="48"/>
        <v>ROBOTS:SxxRyy\000_COMMON|ROBOTS_NOPLC:SxxRyy\000_COMMON</v>
      </c>
      <c r="AP71" s="56" t="str">
        <f t="shared" si="49"/>
        <v>RBT</v>
      </c>
      <c r="AQ71" s="56" t="str">
        <f t="shared" si="50"/>
        <v>ENTRY</v>
      </c>
      <c r="AR71" s="39" t="s">
        <v>130</v>
      </c>
      <c r="AT71" s="44" t="str">
        <f t="shared" si="51"/>
        <v>BOOL</v>
      </c>
      <c r="AU71" s="23" t="str">
        <f t="shared" si="52"/>
        <v/>
      </c>
      <c r="AV71" s="23" t="str">
        <f t="shared" si="53"/>
        <v/>
      </c>
      <c r="AW71" s="23" t="str">
        <f t="shared" si="54"/>
        <v/>
      </c>
      <c r="AX71" s="23" t="str">
        <f t="shared" si="55"/>
        <v/>
      </c>
      <c r="AY71" s="36" t="str">
        <f t="shared" si="56"/>
        <v/>
      </c>
      <c r="BB71" s="42" t="s">
        <v>15</v>
      </c>
      <c r="BC71" t="s">
        <v>62</v>
      </c>
      <c r="BD71" t="str">
        <f t="shared" si="61"/>
        <v>SxxRyy</v>
      </c>
      <c r="BF71" t="s">
        <v>388</v>
      </c>
      <c r="BR71">
        <v>1</v>
      </c>
      <c r="BS71" t="str">
        <f>"ROBOTS:"&amp;Header_Config02&amp;"\000_COMMON|ROBOTS_NOPLC:"&amp;Header_Config02&amp;"\000_COMMON"</f>
        <v>ROBOTS:SxxRyy\000_COMMON|ROBOTS_NOPLC:SxxRyy\000_COMMON</v>
      </c>
      <c r="BT71" t="str">
        <f>Prep!$L$5</f>
        <v/>
      </c>
      <c r="BV71" s="30" t="s">
        <v>541</v>
      </c>
      <c r="BW71" t="s">
        <v>388</v>
      </c>
      <c r="BY71" s="42"/>
      <c r="CB71" s="42"/>
      <c r="CE71" s="30"/>
      <c r="CH71" s="42"/>
      <c r="CN71" s="30"/>
      <c r="CP71" t="s">
        <v>12</v>
      </c>
      <c r="CQ71" s="40"/>
      <c r="CR71" s="30"/>
    </row>
    <row r="72" spans="2:96" x14ac:dyDescent="0.35">
      <c r="B72" s="4" t="str">
        <f t="shared" si="28"/>
        <v>FANUC_SxxRyy</v>
      </c>
      <c r="C72" s="4"/>
      <c r="D72" s="4" t="str">
        <f t="shared" si="29"/>
        <v>From_RBT_at_start</v>
      </c>
      <c r="E72" s="4" t="str">
        <f t="shared" si="30"/>
        <v>SxxRyy_at_PR[1:HOME]</v>
      </c>
      <c r="F72" s="4" t="str">
        <f t="shared" si="31"/>
        <v>I</v>
      </c>
      <c r="G72" s="4" t="str">
        <f t="shared" si="32"/>
        <v/>
      </c>
      <c r="H72" s="4" t="str">
        <f t="shared" si="33"/>
        <v/>
      </c>
      <c r="I72" s="4" t="str">
        <f t="shared" si="34"/>
        <v/>
      </c>
      <c r="J72" s="4"/>
      <c r="K72" s="56" t="str">
        <f t="shared" si="35"/>
        <v>BOOL</v>
      </c>
      <c r="L72" s="56" t="str">
        <f t="shared" si="4"/>
        <v>ROBOTS\SxxRyy</v>
      </c>
      <c r="M72" s="56" t="str">
        <f t="shared" si="5"/>
        <v>STELLANTIS\Common\ToolPrototype\Robots</v>
      </c>
      <c r="N72" s="56" t="str">
        <f t="shared" si="6"/>
        <v>STELLANTIS_DN_FANUC_ROBOT_128_BIT_INTEGRATED_SAFETY_SxxRyy.v00</v>
      </c>
      <c r="O72" s="56" t="str">
        <f t="shared" si="36"/>
        <v/>
      </c>
      <c r="P72" s="56" t="str">
        <f t="shared" si="37"/>
        <v>SxxRyy</v>
      </c>
      <c r="Q72" s="56" t="str">
        <f t="shared" si="38"/>
        <v/>
      </c>
      <c r="R72" s="56" t="str">
        <f t="shared" si="39"/>
        <v/>
      </c>
      <c r="S72" s="56" t="str">
        <f t="shared" si="40"/>
        <v/>
      </c>
      <c r="T72" s="56" t="str">
        <f t="shared" si="41"/>
        <v/>
      </c>
      <c r="U72" s="56" t="str">
        <f t="shared" si="42"/>
        <v/>
      </c>
      <c r="V72" s="56" t="str">
        <f t="shared" si="43"/>
        <v/>
      </c>
      <c r="W72" s="56"/>
      <c r="X72" s="56"/>
      <c r="Y72" s="56"/>
      <c r="Z72" s="56" t="str">
        <f t="shared" si="44"/>
        <v/>
      </c>
      <c r="AA72" s="56" t="str">
        <f t="shared" si="45"/>
        <v/>
      </c>
      <c r="AB72" s="56" t="str">
        <f t="shared" si="9"/>
        <v>ToolPrototype</v>
      </c>
      <c r="AC72" s="56" t="str">
        <f t="shared" si="46"/>
        <v/>
      </c>
      <c r="AD72" s="56" t="str">
        <f t="shared" si="10"/>
        <v>&lt;device&gt;
&lt;name&gt;SxxRyy&lt;/name&gt;
&lt;type&gt;FCA_DN_FANUC&lt;/type&gt;
&lt;deviceNetwork&gt;201&lt;/deviceNetwork&gt;
&lt;deviceNode&gt;56&lt;/deviceNode&gt;
&lt;/device&gt;</v>
      </c>
      <c r="AE72" s="56" t="str">
        <f t="shared" si="11"/>
        <v/>
      </c>
      <c r="AF72" s="56" t="str">
        <f t="shared" si="12"/>
        <v/>
      </c>
      <c r="AG72" s="56" t="str">
        <f t="shared" si="13"/>
        <v/>
      </c>
      <c r="AH72" s="56" t="str">
        <f t="shared" si="14"/>
        <v/>
      </c>
      <c r="AI72" s="56" t="str">
        <f t="shared" si="15"/>
        <v/>
      </c>
      <c r="AJ72" s="56" t="str">
        <f t="shared" si="16"/>
        <v/>
      </c>
      <c r="AK72" s="56" t="str">
        <f t="shared" si="17"/>
        <v/>
      </c>
      <c r="AL72" s="56" t="str">
        <f t="shared" si="18"/>
        <v/>
      </c>
      <c r="AM72" s="56" t="str">
        <f t="shared" si="19"/>
        <v/>
      </c>
      <c r="AN72" s="56">
        <f t="shared" si="47"/>
        <v>1</v>
      </c>
      <c r="AO72" s="56" t="str">
        <f t="shared" si="48"/>
        <v>ROBOTS:SxxRyy\000_COMMON|ROBOTS_NOPLC:SxxRyy\000_COMMON</v>
      </c>
      <c r="AP72" s="56" t="str">
        <f t="shared" si="49"/>
        <v>RBT</v>
      </c>
      <c r="AQ72" s="56" t="str">
        <f t="shared" si="50"/>
        <v>ENTRY</v>
      </c>
      <c r="AR72" s="39" t="s">
        <v>130</v>
      </c>
      <c r="AT72" s="44" t="str">
        <f t="shared" si="51"/>
        <v>BOOL</v>
      </c>
      <c r="AU72" s="23" t="str">
        <f t="shared" si="52"/>
        <v/>
      </c>
      <c r="AV72" s="23" t="str">
        <f t="shared" si="53"/>
        <v/>
      </c>
      <c r="AW72" s="23" t="str">
        <f t="shared" si="54"/>
        <v/>
      </c>
      <c r="AX72" s="23" t="str">
        <f t="shared" si="55"/>
        <v/>
      </c>
      <c r="AY72" s="36" t="str">
        <f t="shared" si="56"/>
        <v/>
      </c>
      <c r="BB72" s="42" t="s">
        <v>15</v>
      </c>
      <c r="BC72" t="s">
        <v>62</v>
      </c>
      <c r="BD72" t="str">
        <f t="shared" si="61"/>
        <v>SxxRyy</v>
      </c>
      <c r="BG72" t="s">
        <v>420</v>
      </c>
      <c r="BR72">
        <v>1</v>
      </c>
      <c r="BS72" t="str">
        <f>"ROBOTS:"&amp;Header_Config02&amp;"\000_COMMON|ROBOTS_NOPLC:"&amp;Header_Config02&amp;"\000_COMMON"</f>
        <v>ROBOTS:SxxRyy\000_COMMON|ROBOTS_NOPLC:SxxRyy\000_COMMON</v>
      </c>
      <c r="BV72" s="30" t="s">
        <v>542</v>
      </c>
      <c r="BY72" s="42"/>
      <c r="CB72" s="42"/>
      <c r="CE72" s="30"/>
      <c r="CH72" s="42"/>
      <c r="CN72" s="30"/>
      <c r="CP72" t="s">
        <v>12</v>
      </c>
      <c r="CQ72" s="40"/>
      <c r="CR72" s="30"/>
    </row>
    <row r="73" spans="2:96" x14ac:dyDescent="0.35">
      <c r="B73" s="4" t="str">
        <f t="shared" si="28"/>
        <v>&lt;BLANK&gt;</v>
      </c>
      <c r="C73" s="4"/>
      <c r="D73" s="4" t="str">
        <f t="shared" si="29"/>
        <v>From_RBT_Stepper1Reset</v>
      </c>
      <c r="E73" s="4" t="str">
        <f t="shared" si="30"/>
        <v>SxxRyy_Stepper1Reset</v>
      </c>
      <c r="F73" s="4" t="str">
        <f t="shared" si="31"/>
        <v>I</v>
      </c>
      <c r="G73" s="4" t="str">
        <f t="shared" si="32"/>
        <v/>
      </c>
      <c r="H73" s="4" t="str">
        <f t="shared" si="33"/>
        <v/>
      </c>
      <c r="I73" s="4" t="str">
        <f t="shared" si="34"/>
        <v/>
      </c>
      <c r="J73" s="4"/>
      <c r="K73" s="56" t="str">
        <f t="shared" si="35"/>
        <v>BOOL</v>
      </c>
      <c r="L73" s="56" t="str">
        <f t="shared" si="4"/>
        <v>ROBOTS\SxxRyy</v>
      </c>
      <c r="M73" s="56" t="str">
        <f t="shared" si="5"/>
        <v>STELLANTIS\Common\ToolPrototype\Robots</v>
      </c>
      <c r="N73" s="56" t="str">
        <f t="shared" si="6"/>
        <v>STELLANTIS_DN_FANUC_ROBOT_128_BIT_INTEGRATED_SAFETY_SxxRyy.v00</v>
      </c>
      <c r="O73" s="56" t="str">
        <f t="shared" si="36"/>
        <v>Stepper1Reset</v>
      </c>
      <c r="P73" s="56" t="str">
        <f t="shared" si="37"/>
        <v>SxxRyy</v>
      </c>
      <c r="Q73" s="56" t="str">
        <f t="shared" si="38"/>
        <v/>
      </c>
      <c r="R73" s="56" t="str">
        <f t="shared" si="39"/>
        <v/>
      </c>
      <c r="S73" s="56" t="str">
        <f t="shared" si="40"/>
        <v/>
      </c>
      <c r="T73" s="56" t="str">
        <f t="shared" si="41"/>
        <v/>
      </c>
      <c r="U73" s="56" t="str">
        <f t="shared" si="42"/>
        <v/>
      </c>
      <c r="V73" s="56" t="str">
        <f t="shared" si="43"/>
        <v/>
      </c>
      <c r="W73" s="56"/>
      <c r="X73" s="56"/>
      <c r="Y73" s="56"/>
      <c r="Z73" s="56" t="str">
        <f t="shared" si="44"/>
        <v/>
      </c>
      <c r="AA73" s="56" t="str">
        <f t="shared" si="45"/>
        <v/>
      </c>
      <c r="AB73" s="56" t="str">
        <f t="shared" si="9"/>
        <v>ToolPrototype</v>
      </c>
      <c r="AC73" s="56" t="str">
        <f t="shared" si="46"/>
        <v>Optional</v>
      </c>
      <c r="AD73" s="56" t="str">
        <f t="shared" si="10"/>
        <v>&lt;device&gt;
&lt;name&gt;SxxRyy&lt;/name&gt;
&lt;type&gt;FCA_DN_FANUC&lt;/type&gt;
&lt;deviceNetwork&gt;201&lt;/deviceNetwork&gt;
&lt;deviceNode&gt;56&lt;/deviceNode&gt;
&lt;/device&gt;</v>
      </c>
      <c r="AE73" s="56" t="str">
        <f t="shared" si="11"/>
        <v/>
      </c>
      <c r="AF73" s="56" t="str">
        <f t="shared" si="12"/>
        <v/>
      </c>
      <c r="AG73" s="56" t="str">
        <f t="shared" si="13"/>
        <v/>
      </c>
      <c r="AH73" s="56" t="str">
        <f t="shared" si="14"/>
        <v/>
      </c>
      <c r="AI73" s="56" t="str">
        <f t="shared" si="15"/>
        <v/>
      </c>
      <c r="AJ73" s="56" t="str">
        <f t="shared" si="16"/>
        <v/>
      </c>
      <c r="AK73" s="56" t="str">
        <f t="shared" si="17"/>
        <v/>
      </c>
      <c r="AL73" s="56" t="str">
        <f t="shared" si="18"/>
        <v/>
      </c>
      <c r="AM73" s="56" t="str">
        <f t="shared" si="19"/>
        <v/>
      </c>
      <c r="AN73" s="56" t="str">
        <f t="shared" si="47"/>
        <v/>
      </c>
      <c r="AO73" s="56" t="str">
        <f t="shared" si="48"/>
        <v/>
      </c>
      <c r="AP73" s="56" t="str">
        <f t="shared" si="49"/>
        <v>RBT</v>
      </c>
      <c r="AQ73" s="56" t="str">
        <f t="shared" si="50"/>
        <v>ENTRY</v>
      </c>
      <c r="AR73" s="39" t="s">
        <v>130</v>
      </c>
      <c r="AT73" s="44" t="str">
        <f t="shared" si="51"/>
        <v>BOOL</v>
      </c>
      <c r="AU73" s="23" t="str">
        <f t="shared" si="52"/>
        <v/>
      </c>
      <c r="AV73" s="23" t="str">
        <f t="shared" si="53"/>
        <v/>
      </c>
      <c r="AW73" s="23" t="str">
        <f t="shared" si="54"/>
        <v/>
      </c>
      <c r="AX73" s="23" t="str">
        <f t="shared" si="55"/>
        <v/>
      </c>
      <c r="AY73" s="36" t="str">
        <f t="shared" si="56"/>
        <v/>
      </c>
      <c r="BB73" s="42" t="s">
        <v>15</v>
      </c>
      <c r="BC73" t="s">
        <v>62</v>
      </c>
      <c r="BD73" t="str">
        <f t="shared" si="61"/>
        <v>SxxRyy</v>
      </c>
      <c r="BF73" t="s">
        <v>389</v>
      </c>
      <c r="BT73" t="str">
        <f>Prep!$G$4</f>
        <v>X</v>
      </c>
      <c r="BV73" s="30" t="s">
        <v>389</v>
      </c>
      <c r="BY73" s="42"/>
      <c r="CB73" s="42"/>
      <c r="CE73" s="30"/>
      <c r="CH73" s="42"/>
      <c r="CN73" s="30"/>
      <c r="CP73" t="s">
        <v>12</v>
      </c>
      <c r="CQ73" s="40"/>
      <c r="CR73" s="30"/>
    </row>
    <row r="74" spans="2:96" x14ac:dyDescent="0.35">
      <c r="B74" s="4" t="str">
        <f t="shared" si="28"/>
        <v>FANUC_SxxRyy</v>
      </c>
      <c r="C74" s="4"/>
      <c r="D74" s="4" t="str">
        <f t="shared" si="29"/>
        <v>From_RBT_GripperPartCheck</v>
      </c>
      <c r="E74" s="4" t="str">
        <f t="shared" si="30"/>
        <v>SxxRyy_GripperPartCheck</v>
      </c>
      <c r="F74" s="4" t="str">
        <f t="shared" si="31"/>
        <v>I</v>
      </c>
      <c r="G74" s="4" t="str">
        <f t="shared" si="32"/>
        <v/>
      </c>
      <c r="H74" s="4" t="str">
        <f t="shared" si="33"/>
        <v/>
      </c>
      <c r="I74" s="4" t="str">
        <f t="shared" si="34"/>
        <v/>
      </c>
      <c r="J74" s="4"/>
      <c r="K74" s="56" t="str">
        <f t="shared" si="35"/>
        <v>BOOL</v>
      </c>
      <c r="L74" s="56" t="str">
        <f t="shared" si="4"/>
        <v>ROBOTS\SxxRyy</v>
      </c>
      <c r="M74" s="56" t="str">
        <f t="shared" si="5"/>
        <v>STELLANTIS\Common\ToolPrototype\Robots</v>
      </c>
      <c r="N74" s="56" t="str">
        <f t="shared" si="6"/>
        <v>STELLANTIS_DN_FANUC_ROBOT_128_BIT_INTEGRATED_SAFETY_SxxRyy.v00</v>
      </c>
      <c r="O74" s="56" t="str">
        <f t="shared" si="36"/>
        <v>GripperPartCheck</v>
      </c>
      <c r="P74" s="56" t="str">
        <f t="shared" si="37"/>
        <v>SxxRyy</v>
      </c>
      <c r="Q74" s="56" t="str">
        <f t="shared" si="38"/>
        <v/>
      </c>
      <c r="R74" s="56" t="str">
        <f t="shared" si="39"/>
        <v/>
      </c>
      <c r="S74" s="56" t="str">
        <f t="shared" si="40"/>
        <v/>
      </c>
      <c r="T74" s="56" t="str">
        <f t="shared" si="41"/>
        <v/>
      </c>
      <c r="U74" s="56" t="str">
        <f t="shared" si="42"/>
        <v/>
      </c>
      <c r="V74" s="56" t="str">
        <f t="shared" si="43"/>
        <v/>
      </c>
      <c r="W74" s="56"/>
      <c r="X74" s="56"/>
      <c r="Y74" s="56"/>
      <c r="Z74" s="56" t="str">
        <f t="shared" si="44"/>
        <v/>
      </c>
      <c r="AA74" s="56" t="str">
        <f t="shared" si="45"/>
        <v/>
      </c>
      <c r="AB74" s="56" t="str">
        <f t="shared" si="9"/>
        <v>ToolPrototype</v>
      </c>
      <c r="AC74" s="56" t="str">
        <f t="shared" si="46"/>
        <v/>
      </c>
      <c r="AD74" s="56" t="str">
        <f t="shared" si="10"/>
        <v>&lt;device&gt;
&lt;name&gt;SxxRyy&lt;/name&gt;
&lt;type&gt;FCA_DN_FANUC&lt;/type&gt;
&lt;deviceNetwork&gt;201&lt;/deviceNetwork&gt;
&lt;deviceNode&gt;56&lt;/deviceNode&gt;
&lt;/device&gt;</v>
      </c>
      <c r="AE74" s="56" t="str">
        <f t="shared" si="11"/>
        <v/>
      </c>
      <c r="AF74" s="56" t="str">
        <f t="shared" si="12"/>
        <v/>
      </c>
      <c r="AG74" s="56" t="str">
        <f t="shared" si="13"/>
        <v/>
      </c>
      <c r="AH74" s="56" t="str">
        <f t="shared" si="14"/>
        <v/>
      </c>
      <c r="AI74" s="56" t="str">
        <f t="shared" si="15"/>
        <v/>
      </c>
      <c r="AJ74" s="56" t="str">
        <f t="shared" si="16"/>
        <v/>
      </c>
      <c r="AK74" s="56" t="str">
        <f t="shared" si="17"/>
        <v/>
      </c>
      <c r="AL74" s="56" t="str">
        <f t="shared" si="18"/>
        <v/>
      </c>
      <c r="AM74" s="56" t="str">
        <f t="shared" si="19"/>
        <v/>
      </c>
      <c r="AN74" s="56" t="str">
        <f t="shared" si="47"/>
        <v/>
      </c>
      <c r="AO74" s="56" t="str">
        <f t="shared" si="48"/>
        <v/>
      </c>
      <c r="AP74" s="56" t="str">
        <f t="shared" si="49"/>
        <v>RBT</v>
      </c>
      <c r="AQ74" s="56" t="str">
        <f t="shared" si="50"/>
        <v>ENTRY</v>
      </c>
      <c r="AR74" s="39" t="s">
        <v>130</v>
      </c>
      <c r="AT74" s="44" t="str">
        <f t="shared" si="51"/>
        <v>BOOL</v>
      </c>
      <c r="AU74" s="23" t="str">
        <f t="shared" si="52"/>
        <v/>
      </c>
      <c r="AV74" s="23" t="str">
        <f t="shared" si="53"/>
        <v/>
      </c>
      <c r="AW74" s="23" t="str">
        <f t="shared" si="54"/>
        <v/>
      </c>
      <c r="AX74" s="23" t="str">
        <f t="shared" si="55"/>
        <v/>
      </c>
      <c r="AY74" s="36" t="str">
        <f t="shared" si="56"/>
        <v/>
      </c>
      <c r="BB74" s="42" t="s">
        <v>15</v>
      </c>
      <c r="BC74" t="s">
        <v>62</v>
      </c>
      <c r="BD74" t="str">
        <f t="shared" si="61"/>
        <v>SxxRyy</v>
      </c>
      <c r="BF74" t="s">
        <v>390</v>
      </c>
      <c r="BV74" s="30" t="s">
        <v>390</v>
      </c>
      <c r="BY74" s="42"/>
      <c r="CB74" s="42"/>
      <c r="CE74" s="30"/>
      <c r="CH74" s="42"/>
      <c r="CN74" s="30"/>
      <c r="CP74" t="s">
        <v>12</v>
      </c>
      <c r="CQ74" s="40"/>
      <c r="CR74" s="30"/>
    </row>
    <row r="75" spans="2:96" x14ac:dyDescent="0.35">
      <c r="B75" s="4" t="str">
        <f t="shared" ref="B75:B138" si="62">IF(LEN(BT75)=0,Header_LB_Name,"&lt;BLANK&gt;")</f>
        <v>FANUC_SxxRyy</v>
      </c>
      <c r="C75" s="4"/>
      <c r="D75" s="4" t="str">
        <f t="shared" ref="D75:D138" si="63">IF(BC75="CUSTOM",BV75,IF(BB75="ENTRY","From_",IF(BB75="EXIT","To_","&lt;invalid&gt;"))&amp;IF(OR(BC75="RBT",BC75="KEY",BC75="SNS"),IF(BE75="",BC75,BC75&amp;"_"&amp;BE75),IF(BC75="OPR",IF(BE75="",BC75&amp;"_"&amp;BD75,BC75&amp;"_"&amp;BE75),IF(BC75="LBS",IF(BE75="",BD75,BE75),BC75)))&amp;"_"&amp;IF(BC75="OPR",IF(BB75="ENTRY","end",IF(BB75="EXIT","start","&lt;invalid&gt;")),BV75))</f>
        <v>From_RBT_AbortProgram</v>
      </c>
      <c r="E75" s="4" t="str">
        <f t="shared" ref="E75:E138" si="64">IF(OR(BC75="PLC",BC75="PSF"),IF(Header_PLC_Type="CLX",AX75,IF(LEFT(Header_PLC_Type,2)="S7",AU75,"&lt;invalid PLC type&gt;")),IF(BB75="ENTRY",IF(BC75="LBS",IF(BD75&lt;&gt;"",IF(BF75="",BC75&amp;"_"&amp;BD75&amp;"_To_"&amp;B75&amp;"_"&amp;BV75,BC75&amp;"_"&amp;BD75&amp;"_To_"&amp;BF75&amp;"_"&amp;BV75),"&lt;missing other LB/group name&gt;"),IF(OR(BC75="SNS",BC75="KEY"),IF(BD75&lt;&gt;"",BC75&amp;"_"&amp;BD75&amp;"_"&amp;BV75,"&lt;missing unique identifier&gt;"),IF(OR(BC75="RBT",BC75="OPR"),IF(BD75&lt;&gt;"",BD75&amp;"_"&amp;IF(BC75="OPR","end",IF(BG75&lt;&gt;"",BG75,BV75)),"&lt;missing unique identifier&gt;"),IF(BC75="CUSTOM",BD75,"&lt;invalid connection&gt;")))),IF(BB75="EXIT",IF(BC75="LBS",IF(BD75&lt;&gt;"",BC75&amp;"_"&amp;B75&amp;"_To_"&amp;BD75&amp;"_"&amp;BV75,"&lt;missing other LB/group name&gt;"),IF(OR(BC75="RBT",BC75="OPR"),IF(BD75&lt;&gt;"",BD75&amp;"_"&amp;IF(BC75="OPR","start",IF(BG75&lt;&gt;"",BG75,BV75)),"&lt;missing unique identifier&gt;"),IF(BC75="CUSTOM",BD75,"&lt;invalid connection (sensor or key signal can't be exit)&gt;"))),"&lt;invalid entry/exit&gt;")))</f>
        <v>SxxRyy_AbortProgram</v>
      </c>
      <c r="F75" s="4" t="str">
        <f t="shared" ref="F75:F138" si="65">IF(BC75="CUSTOM",BE75,IF(OR(AND(BB75="ENTRY",OR(BC75="PLC",BC75="PSF")),AND(BB75="EXIT",OR(BC75="RBT",BC75="OPR"))),"Q","I"))</f>
        <v>I</v>
      </c>
      <c r="G75" s="4" t="str">
        <f t="shared" ref="G75:G138" si="66">IF(Header_PLC_Type="S7-ADD",IF(OR(BC75="PSF",BC75="PLC"),IF(BY75&lt;&gt;"",IF(AT75="BOOL",BY75&amp;"."&amp;BZ75,BY75),"&lt;missing&gt;"),""),"")</f>
        <v/>
      </c>
      <c r="H75" s="4" t="str">
        <f t="shared" ref="H75:H138" si="67">IF(OR(BC75="PLC",BC75="PSF"),IF(Header_PLC_Type="CLX",AY75&amp;CR75,IF(LEFT(Header_PLC_Type,2)="S7",AW75&amp;CE75,"&lt;invalid PLC type&gt;")),IF(Header_PLC_Type="CLX",IF(CR75&lt;&gt;"",CR75,""),IF(LEFT(Header_PLC_Type,2)="S7",IF(CE75&lt;&gt;"",CE75,""),"&lt;invalid PLC type&gt;")))</f>
        <v/>
      </c>
      <c r="I75" s="4" t="str">
        <f t="shared" ref="I75:I138" si="68">IF(OR(BC75="PLC",BC75="PSF"),BD75,IF(AND(BC75="CUSTOM",BF75&lt;&gt;""),BF75,""))</f>
        <v/>
      </c>
      <c r="J75" s="4"/>
      <c r="K75" s="56" t="str">
        <f t="shared" ref="K75:K138" si="69">AT75</f>
        <v>BOOL</v>
      </c>
      <c r="L75" s="56" t="str">
        <f t="shared" si="4"/>
        <v>ROBOTS\SxxRyy</v>
      </c>
      <c r="M75" s="56" t="str">
        <f t="shared" si="5"/>
        <v>STELLANTIS\Common\ToolPrototype\Robots</v>
      </c>
      <c r="N75" s="56" t="str">
        <f t="shared" si="6"/>
        <v>STELLANTIS_DN_FANUC_ROBOT_128_BIT_INTEGRATED_SAFETY_SxxRyy.v00</v>
      </c>
      <c r="O75" s="56" t="str">
        <f t="shared" ref="O75:O138" si="70">IF(AND(OR(BC75="SNS",BC75="OPR",BC75="RBT"),BF75&lt;&gt;""),BF75,IF(OR(BC75="PSF",BC75="PLC"),IF(BB75="ENTRY",IF(OR(ISLOGICAL(BF75),ISNUMBER(BF75)),LOWER(TEXT(BF75,"General")),IF((ISTEXT(BF75)),"CEE_To_VC_"&amp;BE75&amp;"_"&amp;BF75,"")),IF((ISTEXT(BF75)),"CEE_From_VC_"&amp;BE75&amp;"_"&amp;BF75,"")),IF(BC75="CUSTOM",IF(BH75&lt;&gt;"",BH75,""),"")))</f>
        <v>AbortProgram</v>
      </c>
      <c r="P75" s="56" t="str">
        <f t="shared" ref="P75:P138" si="71">IF(OR(BC75="SNS",BC75="OPR"),IF(BG75&lt;&gt;"",BG75,""),IF(BC75="RBT",BD75,IF(BC75="CUSTOM",IF(BG75&lt;&gt;"",BG75,""),"")))</f>
        <v>SxxRyy</v>
      </c>
      <c r="Q75" s="56" t="str">
        <f t="shared" ref="Q75:Q138" si="72">IF(BC75="OPR",IF(BV75&lt;&gt;"",BV75,"NONSIM"),IF(BC75="RBT",IF(BH75&lt;&gt;"",BH75,""),IF(BC75="SNS",IF(BH75&lt;&gt;"",BH75,L75),IF(OR(BC75="PLC",BC75="PSF"),IF(BG75&lt;&gt;"",BG75,""),""))))</f>
        <v/>
      </c>
      <c r="R75" s="56" t="str">
        <f t="shared" ref="R75:R138" si="73">IF(OR(BC75="PLC",BC75="PSF",BC75="OPR"),IF(BH75&lt;&gt;"",BH75,""),IF(BC75="RBT",IF(BI75&lt;&gt;"",BI75,""),IF(BC75="SNS",IF(BI75&lt;&gt;"",BI75,"PHOTOELECTRIC"),"")))</f>
        <v/>
      </c>
      <c r="S75" s="56" t="str">
        <f t="shared" ref="S75:S138" si="74">IF(OR(BC75="PLC",BC75="PSF",BC75="OPR",AND(BC75="CUSTOM",OR(BU75="PLC",BU75="PSF"))),IF(BI75&lt;&gt;"",BI75,""),IF(BC75="SNS",IF(BJ75&lt;&gt;"",BJ75,""),""))</f>
        <v/>
      </c>
      <c r="T75" s="56" t="str">
        <f t="shared" ref="T75:T138" si="75">IF(AND(Header_PLC_Type="CLX",BC75="PSF",BB75="EXIT"),CJ75&amp;CK75,IF(BC75="OPR",IF(BJ75&lt;&gt;"",BJ75,""),""))</f>
        <v/>
      </c>
      <c r="U75" s="56" t="str">
        <f t="shared" ref="U75:U138" si="76">IF(OR(BC75="SNS",BC75="OPR"),IF(BK75&lt;&gt;"",BK75,""),"")</f>
        <v/>
      </c>
      <c r="V75" s="56" t="str">
        <f t="shared" ref="V75:V138" si="77">IF(OR(BC75="SNS",BC75="OPR"),IF(BL75&lt;&gt;"",BL75,""),"")</f>
        <v/>
      </c>
      <c r="W75" s="56"/>
      <c r="X75" s="56"/>
      <c r="Y75" s="56"/>
      <c r="Z75" s="56" t="str">
        <f t="shared" ref="Z75:Z138" si="78">IF(BP75="","",BP75)</f>
        <v/>
      </c>
      <c r="AA75" s="56" t="str">
        <f t="shared" ref="AA75:AA138" si="79">IF($BQ75="","",$BQ75)</f>
        <v/>
      </c>
      <c r="AB75" s="56" t="str">
        <f t="shared" si="9"/>
        <v>ToolPrototype</v>
      </c>
      <c r="AC75" s="56" t="str">
        <f t="shared" ref="AC75:AC138" si="80">IF(ISBLANK(BT75),"","Optional")</f>
        <v/>
      </c>
      <c r="AD75" s="56" t="str">
        <f t="shared" si="10"/>
        <v>&lt;device&gt;
&lt;name&gt;SxxRyy&lt;/name&gt;
&lt;type&gt;FCA_DN_FANUC&lt;/type&gt;
&lt;deviceNetwork&gt;201&lt;/deviceNetwork&gt;
&lt;deviceNode&gt;56&lt;/deviceNode&gt;
&lt;/device&gt;</v>
      </c>
      <c r="AE75" s="56" t="str">
        <f t="shared" si="11"/>
        <v/>
      </c>
      <c r="AF75" s="56" t="str">
        <f t="shared" si="12"/>
        <v/>
      </c>
      <c r="AG75" s="56" t="str">
        <f t="shared" si="13"/>
        <v/>
      </c>
      <c r="AH75" s="56" t="str">
        <f t="shared" si="14"/>
        <v/>
      </c>
      <c r="AI75" s="56" t="str">
        <f t="shared" si="15"/>
        <v/>
      </c>
      <c r="AJ75" s="56" t="str">
        <f t="shared" si="16"/>
        <v/>
      </c>
      <c r="AK75" s="56" t="str">
        <f t="shared" si="17"/>
        <v/>
      </c>
      <c r="AL75" s="56" t="str">
        <f t="shared" si="18"/>
        <v/>
      </c>
      <c r="AM75" s="56" t="str">
        <f t="shared" si="19"/>
        <v/>
      </c>
      <c r="AN75" s="56" t="str">
        <f t="shared" ref="AN75:AN138" si="81">IF(BR75&lt;&gt;"",BR75,"")</f>
        <v/>
      </c>
      <c r="AO75" s="56" t="str">
        <f t="shared" ref="AO75:AO138" si="82">IF(BS75&lt;&gt;"",BS75,"")</f>
        <v/>
      </c>
      <c r="AP75" s="56" t="str">
        <f t="shared" ref="AP75:AP138" si="83">IF(BC75&lt;&gt;"CUSTOM",BC75,BU75)</f>
        <v>RBT</v>
      </c>
      <c r="AQ75" s="56" t="str">
        <f t="shared" ref="AQ75:AQ138" si="84">BB75</f>
        <v>ENTRY</v>
      </c>
      <c r="AR75" s="39" t="s">
        <v>130</v>
      </c>
      <c r="AT75" s="44" t="str">
        <f t="shared" ref="AT75:AT138" si="85">IF(Header_PLC_Type="CLX",IF(CP75&lt;&gt;"",CP75,"&lt;noType&gt;"),IF(LEFT(Header_PLC_Type,2)="S7",IF(CD75&lt;&gt;"",CD75,"&lt;noType&gt;"),"&lt;noPLC&gt;"))</f>
        <v>BOOL</v>
      </c>
      <c r="AU75" s="23" t="str">
        <f t="shared" ref="AU75:AU138" si="86">IF(OR(BC75="PLC",BC75="PSF"),CA75,"")</f>
        <v/>
      </c>
      <c r="AV75" s="23" t="str">
        <f t="shared" ref="AV75:AV138" si="87">IF(OR(BC75="PLC",BC75="PSF"),IF(AT75="BOOL",F75,IF(AT75="BYTE",F75&amp;"B",IF(OR(AT75="WORD",AT75="INT"),F75&amp;"W",IF(OR(AT75="DWORD",AT75="DINT",AT75="REAL"),F75&amp;"D","&lt;invalid&gt;")))),"")</f>
        <v/>
      </c>
      <c r="AW75" s="23" t="str">
        <f t="shared" ref="AW75:AW138" si="88">IF(OR(BC75="PLC",BC75="PSF"),""&amp;AV75&amp;IF(AT75="BOOL",BY75&amp;"."&amp;BZ75,BY75)&amp; IF(CA75&lt;&gt;"",": &lt;"&amp;CA75&amp;"&gt; - ",": "),"")</f>
        <v/>
      </c>
      <c r="AX75" s="23" t="str">
        <f t="shared" ref="AX75:AX138" si="89">IF(OR(BC75="PLC",BC75="PSF"),IF(AND(BB75="EXIT",BC75="PSF"),CH75&amp;SUBSTITUTE(CJ75,":","_")&amp;CK75,CJ75&amp;CK75),"")</f>
        <v/>
      </c>
      <c r="AY75" s="36" t="str">
        <f t="shared" ref="AY75:AY138" si="90">IF(OR(BC75="PLC",BC75="PSF"),IF(CM75&lt;&gt;"",CM75 &amp; ": &lt;" &amp; CN75&amp;CO75 &amp; "&gt; - ","Controller: &lt;"&amp;CJ75&amp;CK75&amp;"&gt; - "),"")</f>
        <v/>
      </c>
      <c r="BB75" s="42" t="s">
        <v>15</v>
      </c>
      <c r="BC75" t="s">
        <v>62</v>
      </c>
      <c r="BD75" t="str">
        <f t="shared" si="61"/>
        <v>SxxRyy</v>
      </c>
      <c r="BF75" t="s">
        <v>391</v>
      </c>
      <c r="BV75" s="30" t="s">
        <v>391</v>
      </c>
      <c r="BY75" s="42"/>
      <c r="CB75" s="42"/>
      <c r="CE75" s="30"/>
      <c r="CH75" s="42"/>
      <c r="CN75" s="30"/>
      <c r="CP75" t="s">
        <v>12</v>
      </c>
      <c r="CQ75" s="40"/>
      <c r="CR75" s="30"/>
    </row>
    <row r="76" spans="2:96" x14ac:dyDescent="0.35">
      <c r="B76" s="4" t="str">
        <f t="shared" si="62"/>
        <v>FANUC_SxxRyy</v>
      </c>
      <c r="C76" s="4"/>
      <c r="D76" s="4" t="str">
        <f t="shared" si="63"/>
        <v>From_RBT_WorkComplete</v>
      </c>
      <c r="E76" s="4" t="str">
        <f t="shared" si="64"/>
        <v>ENBT200:1:I.Data[82].18</v>
      </c>
      <c r="F76" s="4" t="str">
        <f t="shared" si="65"/>
        <v>I</v>
      </c>
      <c r="G76" s="4" t="str">
        <f t="shared" si="66"/>
        <v/>
      </c>
      <c r="H76" s="4" t="str">
        <f t="shared" si="67"/>
        <v/>
      </c>
      <c r="I76" s="4" t="str">
        <f t="shared" si="68"/>
        <v>AB_RACKx_SLOTa</v>
      </c>
      <c r="J76" s="4"/>
      <c r="K76" s="56" t="str">
        <f t="shared" si="69"/>
        <v>BOOL</v>
      </c>
      <c r="L76" s="56" t="str">
        <f t="shared" si="4"/>
        <v>ROBOTS\SxxRyy</v>
      </c>
      <c r="M76" s="56" t="str">
        <f t="shared" si="5"/>
        <v>STELLANTIS\Common\ToolPrototype\Robots</v>
      </c>
      <c r="N76" s="56" t="str">
        <f t="shared" si="6"/>
        <v>STELLANTIS_DN_FANUC_ROBOT_128_BIT_INTEGRATED_SAFETY_SxxRyy.v00</v>
      </c>
      <c r="O76" s="56" t="str">
        <f t="shared" si="70"/>
        <v>DO[19]</v>
      </c>
      <c r="P76" s="56" t="str">
        <f t="shared" si="71"/>
        <v>SxxRyy</v>
      </c>
      <c r="Q76" s="56" t="str">
        <f t="shared" si="72"/>
        <v/>
      </c>
      <c r="R76" s="56" t="str">
        <f t="shared" si="73"/>
        <v/>
      </c>
      <c r="S76" s="56" t="str">
        <f t="shared" si="74"/>
        <v/>
      </c>
      <c r="T76" s="56" t="str">
        <f t="shared" si="75"/>
        <v/>
      </c>
      <c r="U76" s="56" t="str">
        <f t="shared" si="76"/>
        <v/>
      </c>
      <c r="V76" s="56" t="str">
        <f t="shared" si="77"/>
        <v/>
      </c>
      <c r="W76" s="56"/>
      <c r="X76" s="56"/>
      <c r="Y76" s="56"/>
      <c r="Z76" s="56" t="str">
        <f t="shared" si="78"/>
        <v/>
      </c>
      <c r="AA76" s="56" t="str">
        <f t="shared" si="79"/>
        <v/>
      </c>
      <c r="AB76" s="56" t="str">
        <f t="shared" si="9"/>
        <v>ToolPrototype</v>
      </c>
      <c r="AC76" s="56" t="str">
        <f t="shared" si="80"/>
        <v/>
      </c>
      <c r="AD76" s="56" t="str">
        <f t="shared" si="10"/>
        <v>&lt;device&gt;
&lt;name&gt;SxxRyy&lt;/name&gt;
&lt;type&gt;FCA_DN_FANUC&lt;/type&gt;
&lt;deviceNetwork&gt;201&lt;/deviceNetwork&gt;
&lt;deviceNode&gt;56&lt;/deviceNode&gt;
&lt;/device&gt;</v>
      </c>
      <c r="AE76" s="56" t="str">
        <f t="shared" si="11"/>
        <v/>
      </c>
      <c r="AF76" s="56" t="str">
        <f t="shared" si="12"/>
        <v/>
      </c>
      <c r="AG76" s="56" t="str">
        <f t="shared" si="13"/>
        <v/>
      </c>
      <c r="AH76" s="56" t="str">
        <f t="shared" si="14"/>
        <v/>
      </c>
      <c r="AI76" s="56" t="str">
        <f t="shared" si="15"/>
        <v/>
      </c>
      <c r="AJ76" s="56" t="str">
        <f t="shared" si="16"/>
        <v/>
      </c>
      <c r="AK76" s="56" t="str">
        <f t="shared" si="17"/>
        <v/>
      </c>
      <c r="AL76" s="56" t="str">
        <f t="shared" si="18"/>
        <v/>
      </c>
      <c r="AM76" s="56" t="str">
        <f t="shared" si="19"/>
        <v/>
      </c>
      <c r="AN76" s="56" t="str">
        <f t="shared" si="81"/>
        <v/>
      </c>
      <c r="AO76" s="56" t="str">
        <f t="shared" si="82"/>
        <v/>
      </c>
      <c r="AP76" s="56" t="str">
        <f t="shared" si="83"/>
        <v>PLC</v>
      </c>
      <c r="AQ76" s="56" t="str">
        <f t="shared" si="84"/>
        <v>ENTRY</v>
      </c>
      <c r="AR76" s="39" t="s">
        <v>130</v>
      </c>
      <c r="AT76" s="44" t="str">
        <f t="shared" si="85"/>
        <v>BOOL</v>
      </c>
      <c r="AU76" s="23" t="str">
        <f t="shared" si="86"/>
        <v/>
      </c>
      <c r="AV76" s="23" t="str">
        <f t="shared" si="87"/>
        <v/>
      </c>
      <c r="AW76" s="23" t="str">
        <f t="shared" si="88"/>
        <v/>
      </c>
      <c r="AX76" s="23" t="str">
        <f t="shared" si="89"/>
        <v/>
      </c>
      <c r="AY76" s="36" t="str">
        <f t="shared" si="90"/>
        <v/>
      </c>
      <c r="BB76" s="42" t="s">
        <v>15</v>
      </c>
      <c r="BC76" t="s">
        <v>63</v>
      </c>
      <c r="BD76" t="str">
        <f>Prep!$U$3&amp;":I.Data["&amp;Prep!$U$7&amp;"].18"</f>
        <v>ENBT200:1:I.Data[82].18</v>
      </c>
      <c r="BE76" t="s">
        <v>64</v>
      </c>
      <c r="BF76" t="str">
        <f>Header_Config01</f>
        <v>AB_RACKx_SLOTa</v>
      </c>
      <c r="BG76" t="str">
        <f>Header_LB_Unique_ID</f>
        <v>SxxRyy</v>
      </c>
      <c r="BH76" t="s">
        <v>421</v>
      </c>
      <c r="BU76" t="s">
        <v>16</v>
      </c>
      <c r="BV76" s="30" t="s">
        <v>298</v>
      </c>
      <c r="BW76" t="s">
        <v>421</v>
      </c>
      <c r="BY76" s="42"/>
      <c r="CB76" s="42"/>
      <c r="CE76" s="30"/>
      <c r="CH76" s="42"/>
      <c r="CN76" s="30"/>
      <c r="CP76" t="s">
        <v>12</v>
      </c>
      <c r="CQ76" s="40"/>
      <c r="CR76" s="30"/>
    </row>
    <row r="77" spans="2:96" x14ac:dyDescent="0.35">
      <c r="B77" s="4" t="str">
        <f t="shared" si="62"/>
        <v>&lt;BLANK&gt;</v>
      </c>
      <c r="C77" s="4"/>
      <c r="D77" s="4" t="str">
        <f t="shared" si="63"/>
        <v>From_RBT_Weld1InProgress</v>
      </c>
      <c r="E77" s="4" t="str">
        <f t="shared" si="64"/>
        <v>ENBT200:1:I.Data[82].31</v>
      </c>
      <c r="F77" s="4" t="str">
        <f t="shared" si="65"/>
        <v>I</v>
      </c>
      <c r="G77" s="4" t="str">
        <f t="shared" si="66"/>
        <v/>
      </c>
      <c r="H77" s="4" t="str">
        <f t="shared" si="67"/>
        <v/>
      </c>
      <c r="I77" s="4" t="str">
        <f t="shared" si="68"/>
        <v>AB_RACKx_SLOTa</v>
      </c>
      <c r="J77" s="4"/>
      <c r="K77" s="56" t="str">
        <f t="shared" si="69"/>
        <v>BOOL</v>
      </c>
      <c r="L77" s="56" t="str">
        <f t="shared" si="4"/>
        <v>ROBOTS\SxxRyy</v>
      </c>
      <c r="M77" s="56" t="str">
        <f t="shared" si="5"/>
        <v>STELLANTIS\Common\ToolPrototype\Robots</v>
      </c>
      <c r="N77" s="56" t="str">
        <f t="shared" si="6"/>
        <v>STELLANTIS_DN_FANUC_ROBOT_128_BIT_INTEGRATED_SAFETY_SxxRyy.v00</v>
      </c>
      <c r="O77" s="56" t="str">
        <f t="shared" si="70"/>
        <v>DO[32]</v>
      </c>
      <c r="P77" s="56" t="str">
        <f t="shared" si="71"/>
        <v>SxxRyy</v>
      </c>
      <c r="Q77" s="56" t="str">
        <f t="shared" si="72"/>
        <v/>
      </c>
      <c r="R77" s="56" t="str">
        <f t="shared" si="73"/>
        <v/>
      </c>
      <c r="S77" s="56" t="str">
        <f t="shared" si="74"/>
        <v/>
      </c>
      <c r="T77" s="56" t="str">
        <f t="shared" si="75"/>
        <v/>
      </c>
      <c r="U77" s="56" t="str">
        <f t="shared" si="76"/>
        <v/>
      </c>
      <c r="V77" s="56" t="str">
        <f t="shared" si="77"/>
        <v/>
      </c>
      <c r="W77" s="56"/>
      <c r="X77" s="56"/>
      <c r="Y77" s="56"/>
      <c r="Z77" s="56" t="str">
        <f t="shared" si="78"/>
        <v/>
      </c>
      <c r="AA77" s="56" t="str">
        <f t="shared" si="79"/>
        <v/>
      </c>
      <c r="AB77" s="56" t="str">
        <f t="shared" si="9"/>
        <v>ToolPrototype</v>
      </c>
      <c r="AC77" s="56" t="str">
        <f t="shared" si="80"/>
        <v>Optional</v>
      </c>
      <c r="AD77" s="56" t="str">
        <f t="shared" si="10"/>
        <v>&lt;device&gt;
&lt;name&gt;SxxRyy&lt;/name&gt;
&lt;type&gt;FCA_DN_FANUC&lt;/type&gt;
&lt;deviceNetwork&gt;201&lt;/deviceNetwork&gt;
&lt;deviceNode&gt;56&lt;/deviceNode&gt;
&lt;/device&gt;</v>
      </c>
      <c r="AE77" s="56" t="str">
        <f t="shared" si="11"/>
        <v/>
      </c>
      <c r="AF77" s="56" t="str">
        <f t="shared" si="12"/>
        <v/>
      </c>
      <c r="AG77" s="56" t="str">
        <f t="shared" si="13"/>
        <v/>
      </c>
      <c r="AH77" s="56" t="str">
        <f t="shared" si="14"/>
        <v/>
      </c>
      <c r="AI77" s="56" t="str">
        <f t="shared" si="15"/>
        <v/>
      </c>
      <c r="AJ77" s="56" t="str">
        <f t="shared" si="16"/>
        <v/>
      </c>
      <c r="AK77" s="56" t="str">
        <f t="shared" si="17"/>
        <v/>
      </c>
      <c r="AL77" s="56" t="str">
        <f t="shared" si="18"/>
        <v/>
      </c>
      <c r="AM77" s="56" t="str">
        <f t="shared" si="19"/>
        <v/>
      </c>
      <c r="AN77" s="56" t="str">
        <f t="shared" si="81"/>
        <v/>
      </c>
      <c r="AO77" s="56" t="str">
        <f t="shared" si="82"/>
        <v/>
      </c>
      <c r="AP77" s="56" t="str">
        <f t="shared" si="83"/>
        <v>PLC</v>
      </c>
      <c r="AQ77" s="56" t="str">
        <f t="shared" si="84"/>
        <v>ENTRY</v>
      </c>
      <c r="AR77" s="39" t="s">
        <v>130</v>
      </c>
      <c r="AT77" s="44" t="str">
        <f t="shared" si="85"/>
        <v>BOOL</v>
      </c>
      <c r="AU77" s="23" t="str">
        <f t="shared" si="86"/>
        <v/>
      </c>
      <c r="AV77" s="23" t="str">
        <f t="shared" si="87"/>
        <v/>
      </c>
      <c r="AW77" s="23" t="str">
        <f t="shared" si="88"/>
        <v/>
      </c>
      <c r="AX77" s="23" t="str">
        <f t="shared" si="89"/>
        <v/>
      </c>
      <c r="AY77" s="36" t="str">
        <f t="shared" si="90"/>
        <v/>
      </c>
      <c r="BB77" s="42" t="s">
        <v>15</v>
      </c>
      <c r="BC77" t="s">
        <v>63</v>
      </c>
      <c r="BD77" t="str">
        <f>Prep!$U$3&amp;":I.Data["&amp;Prep!$U$7&amp;"].31"</f>
        <v>ENBT200:1:I.Data[82].31</v>
      </c>
      <c r="BE77" t="s">
        <v>64</v>
      </c>
      <c r="BF77" t="str">
        <f>Header_Config01</f>
        <v>AB_RACKx_SLOTa</v>
      </c>
      <c r="BG77" t="str">
        <f>Header_LB_Unique_ID</f>
        <v>SxxRyy</v>
      </c>
      <c r="BH77" t="s">
        <v>422</v>
      </c>
      <c r="BT77" t="str">
        <f>Prep!$G$4</f>
        <v>X</v>
      </c>
      <c r="BU77" t="s">
        <v>16</v>
      </c>
      <c r="BV77" s="30" t="s">
        <v>543</v>
      </c>
      <c r="BW77" t="s">
        <v>422</v>
      </c>
      <c r="BY77" s="42"/>
      <c r="CB77" s="42"/>
      <c r="CE77" s="30"/>
      <c r="CH77" s="42"/>
      <c r="CN77" s="30"/>
      <c r="CP77" t="s">
        <v>12</v>
      </c>
      <c r="CQ77" s="40"/>
      <c r="CR77" s="30"/>
    </row>
    <row r="78" spans="2:96" x14ac:dyDescent="0.35">
      <c r="B78" s="4" t="str">
        <f t="shared" si="62"/>
        <v>&lt;BLANK&gt;</v>
      </c>
      <c r="C78" s="4"/>
      <c r="D78" s="4" t="str">
        <f t="shared" si="63"/>
        <v>From_RBT_Purge1InProgress</v>
      </c>
      <c r="E78" s="4" t="str">
        <f t="shared" si="64"/>
        <v>ENBT200:1:I.Data[85].0</v>
      </c>
      <c r="F78" s="4" t="str">
        <f t="shared" si="65"/>
        <v>I</v>
      </c>
      <c r="G78" s="4" t="str">
        <f t="shared" si="66"/>
        <v/>
      </c>
      <c r="H78" s="4" t="str">
        <f t="shared" si="67"/>
        <v/>
      </c>
      <c r="I78" s="4" t="str">
        <f t="shared" si="68"/>
        <v>AB_RACKx_SLOTa</v>
      </c>
      <c r="J78" s="4"/>
      <c r="K78" s="56" t="str">
        <f t="shared" si="69"/>
        <v>BOOL</v>
      </c>
      <c r="L78" s="56" t="str">
        <f t="shared" si="4"/>
        <v>ROBOTS\SxxRyy</v>
      </c>
      <c r="M78" s="56" t="str">
        <f t="shared" si="5"/>
        <v>STELLANTIS\Common\ToolPrototype\Robots</v>
      </c>
      <c r="N78" s="56" t="str">
        <f t="shared" si="6"/>
        <v>STELLANTIS_DN_FANUC_ROBOT_128_BIT_INTEGRATED_SAFETY_SxxRyy.v00</v>
      </c>
      <c r="O78" s="56" t="str">
        <f t="shared" si="70"/>
        <v>DO[97]</v>
      </c>
      <c r="P78" s="56" t="str">
        <f t="shared" si="71"/>
        <v>SxxRyy</v>
      </c>
      <c r="Q78" s="56" t="str">
        <f t="shared" si="72"/>
        <v/>
      </c>
      <c r="R78" s="56" t="str">
        <f t="shared" si="73"/>
        <v/>
      </c>
      <c r="S78" s="56" t="str">
        <f t="shared" si="74"/>
        <v/>
      </c>
      <c r="T78" s="56" t="str">
        <f t="shared" si="75"/>
        <v/>
      </c>
      <c r="U78" s="56" t="str">
        <f t="shared" si="76"/>
        <v/>
      </c>
      <c r="V78" s="56" t="str">
        <f t="shared" si="77"/>
        <v/>
      </c>
      <c r="W78" s="56"/>
      <c r="X78" s="56"/>
      <c r="Y78" s="56"/>
      <c r="Z78" s="56" t="str">
        <f t="shared" si="78"/>
        <v/>
      </c>
      <c r="AA78" s="56" t="str">
        <f t="shared" si="79"/>
        <v/>
      </c>
      <c r="AB78" s="56" t="str">
        <f t="shared" si="9"/>
        <v>ToolPrototype</v>
      </c>
      <c r="AC78" s="56" t="str">
        <f t="shared" si="80"/>
        <v>Optional</v>
      </c>
      <c r="AD78" s="56" t="str">
        <f t="shared" si="10"/>
        <v>&lt;device&gt;
&lt;name&gt;SxxRyy&lt;/name&gt;
&lt;type&gt;FCA_DN_FANUC&lt;/type&gt;
&lt;deviceNetwork&gt;201&lt;/deviceNetwork&gt;
&lt;deviceNode&gt;56&lt;/deviceNode&gt;
&lt;/device&gt;</v>
      </c>
      <c r="AE78" s="56" t="str">
        <f t="shared" si="11"/>
        <v/>
      </c>
      <c r="AF78" s="56" t="str">
        <f t="shared" si="12"/>
        <v/>
      </c>
      <c r="AG78" s="56" t="str">
        <f t="shared" si="13"/>
        <v/>
      </c>
      <c r="AH78" s="56" t="str">
        <f t="shared" si="14"/>
        <v/>
      </c>
      <c r="AI78" s="56" t="str">
        <f t="shared" si="15"/>
        <v/>
      </c>
      <c r="AJ78" s="56" t="str">
        <f t="shared" si="16"/>
        <v/>
      </c>
      <c r="AK78" s="56" t="str">
        <f t="shared" si="17"/>
        <v/>
      </c>
      <c r="AL78" s="56" t="str">
        <f t="shared" si="18"/>
        <v/>
      </c>
      <c r="AM78" s="56" t="str">
        <f t="shared" si="19"/>
        <v/>
      </c>
      <c r="AN78" s="56" t="str">
        <f t="shared" si="81"/>
        <v/>
      </c>
      <c r="AO78" s="56" t="str">
        <f t="shared" si="82"/>
        <v/>
      </c>
      <c r="AP78" s="56" t="str">
        <f t="shared" si="83"/>
        <v>PLC</v>
      </c>
      <c r="AQ78" s="56" t="str">
        <f t="shared" si="84"/>
        <v>ENTRY</v>
      </c>
      <c r="AR78" s="39" t="s">
        <v>130</v>
      </c>
      <c r="AT78" s="44" t="str">
        <f t="shared" si="85"/>
        <v>BOOL</v>
      </c>
      <c r="AU78" s="23" t="str">
        <f t="shared" si="86"/>
        <v/>
      </c>
      <c r="AV78" s="23" t="str">
        <f t="shared" si="87"/>
        <v/>
      </c>
      <c r="AW78" s="23" t="str">
        <f t="shared" si="88"/>
        <v/>
      </c>
      <c r="AX78" s="23" t="str">
        <f t="shared" si="89"/>
        <v/>
      </c>
      <c r="AY78" s="36" t="str">
        <f t="shared" si="90"/>
        <v/>
      </c>
      <c r="BB78" s="42" t="s">
        <v>15</v>
      </c>
      <c r="BC78" t="s">
        <v>63</v>
      </c>
      <c r="BD78" t="str">
        <f>Prep!$U$3&amp;":I.Data["&amp;Prep!$U$7+3&amp;"].0"</f>
        <v>ENBT200:1:I.Data[85].0</v>
      </c>
      <c r="BE78" t="s">
        <v>64</v>
      </c>
      <c r="BF78" t="str">
        <f>Header_Config01</f>
        <v>AB_RACKx_SLOTa</v>
      </c>
      <c r="BG78" t="str">
        <f>Header_LB_Unique_ID</f>
        <v>SxxRyy</v>
      </c>
      <c r="BH78" t="s">
        <v>423</v>
      </c>
      <c r="BT78" t="str">
        <f>Prep!$G$6</f>
        <v>X</v>
      </c>
      <c r="BU78" t="s">
        <v>16</v>
      </c>
      <c r="BV78" s="30" t="s">
        <v>544</v>
      </c>
      <c r="BW78" t="s">
        <v>423</v>
      </c>
      <c r="BY78" s="42"/>
      <c r="CB78" s="42"/>
      <c r="CE78" s="30"/>
      <c r="CH78" s="42"/>
      <c r="CN78" s="30"/>
      <c r="CP78" t="s">
        <v>12</v>
      </c>
      <c r="CQ78" s="40"/>
      <c r="CR78" s="30"/>
    </row>
    <row r="79" spans="2:96" x14ac:dyDescent="0.35">
      <c r="B79" s="4" t="str">
        <f t="shared" si="62"/>
        <v>&lt;BLANK&gt;</v>
      </c>
      <c r="C79" s="4"/>
      <c r="D79" s="4" t="str">
        <f t="shared" si="63"/>
        <v>From_RBT_Purge2InProgress</v>
      </c>
      <c r="E79" s="4" t="str">
        <f t="shared" si="64"/>
        <v>ENBT200:1:I.Data[85].1</v>
      </c>
      <c r="F79" s="4" t="str">
        <f t="shared" si="65"/>
        <v>I</v>
      </c>
      <c r="G79" s="4" t="str">
        <f t="shared" si="66"/>
        <v/>
      </c>
      <c r="H79" s="4" t="str">
        <f t="shared" si="67"/>
        <v/>
      </c>
      <c r="I79" s="4" t="str">
        <f t="shared" si="68"/>
        <v>AB_RACKx_SLOTa</v>
      </c>
      <c r="J79" s="4"/>
      <c r="K79" s="56" t="str">
        <f t="shared" si="69"/>
        <v>BOOL</v>
      </c>
      <c r="L79" s="56" t="str">
        <f t="shared" si="4"/>
        <v>ROBOTS\SxxRyy</v>
      </c>
      <c r="M79" s="56" t="str">
        <f t="shared" si="5"/>
        <v>STELLANTIS\Common\ToolPrototype\Robots</v>
      </c>
      <c r="N79" s="56" t="str">
        <f t="shared" si="6"/>
        <v>STELLANTIS_DN_FANUC_ROBOT_128_BIT_INTEGRATED_SAFETY_SxxRyy.v00</v>
      </c>
      <c r="O79" s="56" t="str">
        <f t="shared" si="70"/>
        <v>DO[98]</v>
      </c>
      <c r="P79" s="56" t="str">
        <f t="shared" si="71"/>
        <v>SxxRyy</v>
      </c>
      <c r="Q79" s="56" t="str">
        <f t="shared" si="72"/>
        <v/>
      </c>
      <c r="R79" s="56" t="str">
        <f t="shared" si="73"/>
        <v/>
      </c>
      <c r="S79" s="56" t="str">
        <f t="shared" si="74"/>
        <v/>
      </c>
      <c r="T79" s="56" t="str">
        <f t="shared" si="75"/>
        <v/>
      </c>
      <c r="U79" s="56" t="str">
        <f t="shared" si="76"/>
        <v/>
      </c>
      <c r="V79" s="56" t="str">
        <f t="shared" si="77"/>
        <v/>
      </c>
      <c r="W79" s="56"/>
      <c r="X79" s="56"/>
      <c r="Y79" s="56"/>
      <c r="Z79" s="56" t="str">
        <f t="shared" si="78"/>
        <v/>
      </c>
      <c r="AA79" s="56" t="str">
        <f t="shared" si="79"/>
        <v/>
      </c>
      <c r="AB79" s="56" t="str">
        <f t="shared" si="9"/>
        <v>ToolPrototype</v>
      </c>
      <c r="AC79" s="56" t="str">
        <f t="shared" si="80"/>
        <v>Optional</v>
      </c>
      <c r="AD79" s="56" t="str">
        <f t="shared" si="10"/>
        <v>&lt;device&gt;
&lt;name&gt;SxxRyy&lt;/name&gt;
&lt;type&gt;FCA_DN_FANUC&lt;/type&gt;
&lt;deviceNetwork&gt;201&lt;/deviceNetwork&gt;
&lt;deviceNode&gt;56&lt;/deviceNode&gt;
&lt;/device&gt;</v>
      </c>
      <c r="AE79" s="56" t="str">
        <f t="shared" si="11"/>
        <v/>
      </c>
      <c r="AF79" s="56" t="str">
        <f t="shared" si="12"/>
        <v/>
      </c>
      <c r="AG79" s="56" t="str">
        <f t="shared" si="13"/>
        <v/>
      </c>
      <c r="AH79" s="56" t="str">
        <f t="shared" si="14"/>
        <v/>
      </c>
      <c r="AI79" s="56" t="str">
        <f t="shared" si="15"/>
        <v/>
      </c>
      <c r="AJ79" s="56" t="str">
        <f t="shared" si="16"/>
        <v/>
      </c>
      <c r="AK79" s="56" t="str">
        <f t="shared" si="17"/>
        <v/>
      </c>
      <c r="AL79" s="56" t="str">
        <f t="shared" si="18"/>
        <v/>
      </c>
      <c r="AM79" s="56" t="str">
        <f t="shared" si="19"/>
        <v/>
      </c>
      <c r="AN79" s="56" t="str">
        <f t="shared" si="81"/>
        <v/>
      </c>
      <c r="AO79" s="56" t="str">
        <f t="shared" si="82"/>
        <v/>
      </c>
      <c r="AP79" s="56" t="str">
        <f t="shared" si="83"/>
        <v>PLC</v>
      </c>
      <c r="AQ79" s="56" t="str">
        <f t="shared" si="84"/>
        <v>ENTRY</v>
      </c>
      <c r="AR79" s="39" t="s">
        <v>130</v>
      </c>
      <c r="AT79" s="44" t="str">
        <f t="shared" si="85"/>
        <v>BOOL</v>
      </c>
      <c r="AU79" s="23" t="str">
        <f t="shared" si="86"/>
        <v/>
      </c>
      <c r="AV79" s="23" t="str">
        <f t="shared" si="87"/>
        <v/>
      </c>
      <c r="AW79" s="23" t="str">
        <f t="shared" si="88"/>
        <v/>
      </c>
      <c r="AX79" s="23" t="str">
        <f t="shared" si="89"/>
        <v/>
      </c>
      <c r="AY79" s="36" t="str">
        <f t="shared" si="90"/>
        <v/>
      </c>
      <c r="BB79" s="42" t="s">
        <v>15</v>
      </c>
      <c r="BC79" t="s">
        <v>63</v>
      </c>
      <c r="BD79" t="str">
        <f>Prep!$U$3&amp;":I.Data["&amp;Prep!$U$7+3&amp;"].1"</f>
        <v>ENBT200:1:I.Data[85].1</v>
      </c>
      <c r="BE79" t="s">
        <v>64</v>
      </c>
      <c r="BF79" t="str">
        <f>Header_Config01</f>
        <v>AB_RACKx_SLOTa</v>
      </c>
      <c r="BG79" t="str">
        <f>Header_LB_Unique_ID</f>
        <v>SxxRyy</v>
      </c>
      <c r="BH79" t="s">
        <v>424</v>
      </c>
      <c r="BT79" t="str">
        <f>Prep!$G$6</f>
        <v>X</v>
      </c>
      <c r="BU79" t="s">
        <v>16</v>
      </c>
      <c r="BV79" s="30" t="s">
        <v>545</v>
      </c>
      <c r="BW79" t="s">
        <v>424</v>
      </c>
      <c r="BY79" s="42"/>
      <c r="CB79" s="42"/>
      <c r="CE79" s="30"/>
      <c r="CH79" s="42"/>
      <c r="CN79" s="30"/>
      <c r="CP79" t="s">
        <v>12</v>
      </c>
      <c r="CQ79" s="40"/>
      <c r="CR79" s="30"/>
    </row>
    <row r="80" spans="2:96" x14ac:dyDescent="0.35">
      <c r="B80" s="4" t="str">
        <f t="shared" si="62"/>
        <v>FANUC_SxxRyy</v>
      </c>
      <c r="C80" s="4"/>
      <c r="D80" s="4" t="str">
        <f t="shared" si="63"/>
        <v>From_SNS_PART01_PartPresent</v>
      </c>
      <c r="E80" s="4" t="str">
        <f t="shared" si="64"/>
        <v>SNS_SxxRyy_PART1x_PartPresent</v>
      </c>
      <c r="F80" s="4" t="str">
        <f t="shared" si="65"/>
        <v>I</v>
      </c>
      <c r="G80" s="4" t="str">
        <f t="shared" si="66"/>
        <v/>
      </c>
      <c r="H80" s="4" t="str">
        <f t="shared" si="67"/>
        <v/>
      </c>
      <c r="I80" s="4" t="str">
        <f t="shared" ca="1" si="68"/>
        <v/>
      </c>
      <c r="J80" s="4"/>
      <c r="K80" s="56" t="str">
        <f t="shared" si="69"/>
        <v>BOOL</v>
      </c>
      <c r="L80" s="56" t="str">
        <f t="shared" si="4"/>
        <v>ROBOTS\SxxRyy</v>
      </c>
      <c r="M80" s="56" t="str">
        <f t="shared" si="5"/>
        <v>STELLANTIS\Common\ToolPrototype\Robots</v>
      </c>
      <c r="N80" s="56" t="str">
        <f t="shared" si="6"/>
        <v>STELLANTIS_DN_FANUC_ROBOT_128_BIT_INTEGRATED_SAFETY_SxxRyy.v00</v>
      </c>
      <c r="O80" s="56" t="str">
        <f t="shared" ca="1" si="70"/>
        <v>assets\SNS_ProxSwitch30mm</v>
      </c>
      <c r="P80" s="56" t="str">
        <f t="shared" si="71"/>
        <v>PART1x</v>
      </c>
      <c r="Q80" s="56" t="str">
        <f t="shared" si="72"/>
        <v>ROBOTS\SxxRyy</v>
      </c>
      <c r="R80" s="56" t="str">
        <f t="shared" si="73"/>
        <v>PHOTOELECTRIC</v>
      </c>
      <c r="S80" s="56" t="str">
        <f t="shared" si="74"/>
        <v/>
      </c>
      <c r="T80" s="56" t="str">
        <f t="shared" si="75"/>
        <v/>
      </c>
      <c r="U80" s="56" t="str">
        <f t="shared" si="76"/>
        <v/>
      </c>
      <c r="V80" s="56" t="str">
        <f t="shared" si="77"/>
        <v/>
      </c>
      <c r="W80" s="56"/>
      <c r="X80" s="56"/>
      <c r="Y80" s="56"/>
      <c r="Z80" s="56" t="str">
        <f t="shared" si="78"/>
        <v/>
      </c>
      <c r="AA80" s="56" t="str">
        <f t="shared" si="79"/>
        <v/>
      </c>
      <c r="AB80" s="56" t="str">
        <f t="shared" si="9"/>
        <v>ToolPrototype</v>
      </c>
      <c r="AC80" s="56" t="str">
        <f t="shared" si="80"/>
        <v>Optional</v>
      </c>
      <c r="AD80" s="56" t="str">
        <f t="shared" si="10"/>
        <v>&lt;device&gt;
&lt;name&gt;SxxRyy&lt;/name&gt;
&lt;type&gt;FCA_DN_FANUC&lt;/type&gt;
&lt;deviceNetwork&gt;201&lt;/deviceNetwork&gt;
&lt;deviceNode&gt;56&lt;/deviceNode&gt;
&lt;/device&gt;</v>
      </c>
      <c r="AE80" s="56" t="str">
        <f t="shared" si="11"/>
        <v/>
      </c>
      <c r="AF80" s="56" t="str">
        <f t="shared" si="12"/>
        <v/>
      </c>
      <c r="AG80" s="56" t="str">
        <f t="shared" si="13"/>
        <v/>
      </c>
      <c r="AH80" s="56" t="str">
        <f t="shared" si="14"/>
        <v/>
      </c>
      <c r="AI80" s="56" t="str">
        <f t="shared" si="15"/>
        <v/>
      </c>
      <c r="AJ80" s="56" t="str">
        <f t="shared" si="16"/>
        <v/>
      </c>
      <c r="AK80" s="56" t="str">
        <f t="shared" si="17"/>
        <v/>
      </c>
      <c r="AL80" s="56" t="str">
        <f t="shared" si="18"/>
        <v/>
      </c>
      <c r="AM80" s="56" t="str">
        <f t="shared" si="19"/>
        <v/>
      </c>
      <c r="AN80" s="56" t="str">
        <f t="shared" si="81"/>
        <v/>
      </c>
      <c r="AO80" s="56" t="str">
        <f t="shared" si="82"/>
        <v>ROBOTS:SxxRyy\MH|ROBOTS_NOPLC:SxxRyy\MH</v>
      </c>
      <c r="AP80" s="56" t="str">
        <f t="shared" si="83"/>
        <v>SNS</v>
      </c>
      <c r="AQ80" s="56" t="str">
        <f t="shared" si="84"/>
        <v>ENTRY</v>
      </c>
      <c r="AR80" s="39" t="s">
        <v>130</v>
      </c>
      <c r="AT80" s="44" t="str">
        <f t="shared" si="85"/>
        <v>BOOL</v>
      </c>
      <c r="AU80" s="23" t="str">
        <f t="shared" si="86"/>
        <v/>
      </c>
      <c r="AV80" s="23" t="str">
        <f t="shared" si="87"/>
        <v/>
      </c>
      <c r="AW80" s="23" t="str">
        <f t="shared" si="88"/>
        <v/>
      </c>
      <c r="AX80" s="23" t="str">
        <f t="shared" si="89"/>
        <v/>
      </c>
      <c r="AY80" s="36" t="str">
        <f t="shared" si="90"/>
        <v/>
      </c>
      <c r="BB80" s="42" t="s">
        <v>15</v>
      </c>
      <c r="BC80" t="s">
        <v>104</v>
      </c>
      <c r="BD80" t="str">
        <f>Header_LB_Unique_ID&amp;"_"&amp;SUBSTITUTE(Prep!$R$2,"|","_")</f>
        <v>SxxRyy_PART1x</v>
      </c>
      <c r="BE80" t="s">
        <v>392</v>
      </c>
      <c r="BF80" t="str">
        <f t="shared" ref="BF80:BF91" ca="1" si="91">Header_PLC_Zone&amp;"\SNS_ProxSwitch30mm"</f>
        <v>assets\SNS_ProxSwitch30mm</v>
      </c>
      <c r="BG80" t="str">
        <f>Prep!$R$2</f>
        <v>PART1x</v>
      </c>
      <c r="BS80" t="str">
        <f t="shared" ref="BS80:BS99" si="92">"ROBOTS:"&amp;Header_Config02&amp;"\MH|ROBOTS_NOPLC:"&amp;Header_Config02&amp;"\MH"</f>
        <v>ROBOTS:SxxRyy\MH|ROBOTS_NOPLC:SxxRyy\MH</v>
      </c>
      <c r="BT80" t="str">
        <f>IF(Prep!$R$2="","X","")</f>
        <v/>
      </c>
      <c r="BV80" s="30" t="s">
        <v>546</v>
      </c>
      <c r="BY80" s="42"/>
      <c r="CB80" s="42"/>
      <c r="CE80" s="30"/>
      <c r="CH80" s="42"/>
      <c r="CN80" s="30"/>
      <c r="CP80" t="s">
        <v>12</v>
      </c>
      <c r="CQ80" s="40"/>
      <c r="CR80" s="30"/>
    </row>
    <row r="81" spans="2:96" x14ac:dyDescent="0.35">
      <c r="B81" s="4" t="str">
        <f t="shared" si="62"/>
        <v>FANUC_SxxRyy</v>
      </c>
      <c r="C81" s="4"/>
      <c r="D81" s="4" t="str">
        <f t="shared" si="63"/>
        <v>From_SNS_PART02_PartPresent</v>
      </c>
      <c r="E81" s="4" t="str">
        <f t="shared" si="64"/>
        <v>SNS_SxxRyy_PART2xx_PartPresent</v>
      </c>
      <c r="F81" s="4" t="str">
        <f t="shared" si="65"/>
        <v>I</v>
      </c>
      <c r="G81" s="4" t="str">
        <f t="shared" si="66"/>
        <v/>
      </c>
      <c r="H81" s="4" t="str">
        <f t="shared" si="67"/>
        <v/>
      </c>
      <c r="I81" s="4" t="str">
        <f t="shared" ca="1" si="68"/>
        <v/>
      </c>
      <c r="J81" s="4"/>
      <c r="K81" s="56" t="str">
        <f t="shared" si="69"/>
        <v>BOOL</v>
      </c>
      <c r="L81" s="56" t="str">
        <f t="shared" si="4"/>
        <v>ROBOTS\SxxRyy</v>
      </c>
      <c r="M81" s="56" t="str">
        <f t="shared" si="5"/>
        <v>STELLANTIS\Common\ToolPrototype\Robots</v>
      </c>
      <c r="N81" s="56" t="str">
        <f t="shared" si="6"/>
        <v>STELLANTIS_DN_FANUC_ROBOT_128_BIT_INTEGRATED_SAFETY_SxxRyy.v00</v>
      </c>
      <c r="O81" s="56" t="str">
        <f t="shared" ca="1" si="70"/>
        <v>assets\SNS_ProxSwitch30mm</v>
      </c>
      <c r="P81" s="56" t="str">
        <f t="shared" si="71"/>
        <v>PART2xx</v>
      </c>
      <c r="Q81" s="56" t="str">
        <f t="shared" si="72"/>
        <v>ROBOTS\SxxRyy</v>
      </c>
      <c r="R81" s="56" t="str">
        <f t="shared" si="73"/>
        <v>PHOTOELECTRIC</v>
      </c>
      <c r="S81" s="56" t="str">
        <f t="shared" si="74"/>
        <v/>
      </c>
      <c r="T81" s="56" t="str">
        <f t="shared" si="75"/>
        <v/>
      </c>
      <c r="U81" s="56" t="str">
        <f t="shared" si="76"/>
        <v/>
      </c>
      <c r="V81" s="56" t="str">
        <f t="shared" si="77"/>
        <v/>
      </c>
      <c r="W81" s="56"/>
      <c r="X81" s="56"/>
      <c r="Y81" s="56"/>
      <c r="Z81" s="56" t="str">
        <f t="shared" si="78"/>
        <v/>
      </c>
      <c r="AA81" s="56" t="str">
        <f t="shared" si="79"/>
        <v/>
      </c>
      <c r="AB81" s="56" t="str">
        <f t="shared" si="9"/>
        <v>ToolPrototype</v>
      </c>
      <c r="AC81" s="56" t="str">
        <f t="shared" si="80"/>
        <v>Optional</v>
      </c>
      <c r="AD81" s="56" t="str">
        <f t="shared" si="10"/>
        <v>&lt;device&gt;
&lt;name&gt;SxxRyy&lt;/name&gt;
&lt;type&gt;FCA_DN_FANUC&lt;/type&gt;
&lt;deviceNetwork&gt;201&lt;/deviceNetwork&gt;
&lt;deviceNode&gt;56&lt;/deviceNode&gt;
&lt;/device&gt;</v>
      </c>
      <c r="AE81" s="56" t="str">
        <f t="shared" si="11"/>
        <v/>
      </c>
      <c r="AF81" s="56" t="str">
        <f t="shared" si="12"/>
        <v/>
      </c>
      <c r="AG81" s="56" t="str">
        <f t="shared" si="13"/>
        <v/>
      </c>
      <c r="AH81" s="56" t="str">
        <f t="shared" si="14"/>
        <v/>
      </c>
      <c r="AI81" s="56" t="str">
        <f t="shared" si="15"/>
        <v/>
      </c>
      <c r="AJ81" s="56" t="str">
        <f t="shared" si="16"/>
        <v/>
      </c>
      <c r="AK81" s="56" t="str">
        <f t="shared" si="17"/>
        <v/>
      </c>
      <c r="AL81" s="56" t="str">
        <f t="shared" si="18"/>
        <v/>
      </c>
      <c r="AM81" s="56" t="str">
        <f t="shared" si="19"/>
        <v/>
      </c>
      <c r="AN81" s="56" t="str">
        <f t="shared" si="81"/>
        <v/>
      </c>
      <c r="AO81" s="56" t="str">
        <f t="shared" si="82"/>
        <v>ROBOTS:SxxRyy\MH|ROBOTS_NOPLC:SxxRyy\MH</v>
      </c>
      <c r="AP81" s="56" t="str">
        <f t="shared" si="83"/>
        <v>SNS</v>
      </c>
      <c r="AQ81" s="56" t="str">
        <f t="shared" si="84"/>
        <v>ENTRY</v>
      </c>
      <c r="AR81" s="39" t="s">
        <v>130</v>
      </c>
      <c r="AT81" s="44" t="str">
        <f t="shared" si="85"/>
        <v>BOOL</v>
      </c>
      <c r="AU81" s="23" t="str">
        <f t="shared" si="86"/>
        <v/>
      </c>
      <c r="AV81" s="23" t="str">
        <f t="shared" si="87"/>
        <v/>
      </c>
      <c r="AW81" s="23" t="str">
        <f t="shared" si="88"/>
        <v/>
      </c>
      <c r="AX81" s="23" t="str">
        <f t="shared" si="89"/>
        <v/>
      </c>
      <c r="AY81" s="36" t="str">
        <f t="shared" si="90"/>
        <v/>
      </c>
      <c r="BB81" s="42" t="s">
        <v>15</v>
      </c>
      <c r="BC81" t="s">
        <v>104</v>
      </c>
      <c r="BD81" t="str">
        <f>Header_LB_Unique_ID&amp;"_"&amp;SUBSTITUTE(Prep!$R$3,"|","_")</f>
        <v>SxxRyy_PART2xx</v>
      </c>
      <c r="BE81" t="s">
        <v>393</v>
      </c>
      <c r="BF81" t="str">
        <f t="shared" ca="1" si="91"/>
        <v>assets\SNS_ProxSwitch30mm</v>
      </c>
      <c r="BG81" t="str">
        <f>Prep!$R$3</f>
        <v>PART2xx</v>
      </c>
      <c r="BS81" t="str">
        <f t="shared" si="92"/>
        <v>ROBOTS:SxxRyy\MH|ROBOTS_NOPLC:SxxRyy\MH</v>
      </c>
      <c r="BT81" t="str">
        <f>IF(Prep!$R$3="","X","")</f>
        <v/>
      </c>
      <c r="BV81" s="30" t="s">
        <v>546</v>
      </c>
      <c r="BY81" s="42"/>
      <c r="CB81" s="42"/>
      <c r="CE81" s="30"/>
      <c r="CH81" s="42"/>
      <c r="CN81" s="30"/>
      <c r="CP81" t="s">
        <v>12</v>
      </c>
      <c r="CQ81" s="40"/>
      <c r="CR81" s="30"/>
    </row>
    <row r="82" spans="2:96" x14ac:dyDescent="0.35">
      <c r="B82" s="4" t="str">
        <f t="shared" si="62"/>
        <v>FANUC_SxxRyy</v>
      </c>
      <c r="C82" s="4"/>
      <c r="D82" s="4" t="str">
        <f t="shared" si="63"/>
        <v>From_SNS_PART03_PartPresent</v>
      </c>
      <c r="E82" s="4" t="str">
        <f t="shared" si="64"/>
        <v>SNS_SxxRyy_PART3xxx_PartPresent</v>
      </c>
      <c r="F82" s="4" t="str">
        <f t="shared" si="65"/>
        <v>I</v>
      </c>
      <c r="G82" s="4" t="str">
        <f t="shared" si="66"/>
        <v/>
      </c>
      <c r="H82" s="4" t="str">
        <f t="shared" si="67"/>
        <v/>
      </c>
      <c r="I82" s="4" t="str">
        <f t="shared" ca="1" si="68"/>
        <v/>
      </c>
      <c r="J82" s="4"/>
      <c r="K82" s="56" t="str">
        <f t="shared" si="69"/>
        <v>BOOL</v>
      </c>
      <c r="L82" s="56" t="str">
        <f t="shared" si="4"/>
        <v>ROBOTS\SxxRyy</v>
      </c>
      <c r="M82" s="56" t="str">
        <f t="shared" si="5"/>
        <v>STELLANTIS\Common\ToolPrototype\Robots</v>
      </c>
      <c r="N82" s="56" t="str">
        <f t="shared" si="6"/>
        <v>STELLANTIS_DN_FANUC_ROBOT_128_BIT_INTEGRATED_SAFETY_SxxRyy.v00</v>
      </c>
      <c r="O82" s="56" t="str">
        <f t="shared" ca="1" si="70"/>
        <v>assets\SNS_ProxSwitch30mm</v>
      </c>
      <c r="P82" s="56" t="str">
        <f t="shared" si="71"/>
        <v>PART3xxx</v>
      </c>
      <c r="Q82" s="56" t="str">
        <f t="shared" si="72"/>
        <v>ROBOTS\SxxRyy</v>
      </c>
      <c r="R82" s="56" t="str">
        <f t="shared" si="73"/>
        <v>PHOTOELECTRIC</v>
      </c>
      <c r="S82" s="56" t="str">
        <f t="shared" si="74"/>
        <v/>
      </c>
      <c r="T82" s="56" t="str">
        <f t="shared" si="75"/>
        <v/>
      </c>
      <c r="U82" s="56" t="str">
        <f t="shared" si="76"/>
        <v/>
      </c>
      <c r="V82" s="56" t="str">
        <f t="shared" si="77"/>
        <v/>
      </c>
      <c r="W82" s="56"/>
      <c r="X82" s="56"/>
      <c r="Y82" s="56"/>
      <c r="Z82" s="56" t="str">
        <f t="shared" si="78"/>
        <v/>
      </c>
      <c r="AA82" s="56" t="str">
        <f t="shared" si="79"/>
        <v/>
      </c>
      <c r="AB82" s="56" t="str">
        <f t="shared" si="9"/>
        <v>ToolPrototype</v>
      </c>
      <c r="AC82" s="56" t="str">
        <f t="shared" si="80"/>
        <v>Optional</v>
      </c>
      <c r="AD82" s="56" t="str">
        <f t="shared" si="10"/>
        <v>&lt;device&gt;
&lt;name&gt;SxxRyy&lt;/name&gt;
&lt;type&gt;FCA_DN_FANUC&lt;/type&gt;
&lt;deviceNetwork&gt;201&lt;/deviceNetwork&gt;
&lt;deviceNode&gt;56&lt;/deviceNode&gt;
&lt;/device&gt;</v>
      </c>
      <c r="AE82" s="56" t="str">
        <f t="shared" si="11"/>
        <v/>
      </c>
      <c r="AF82" s="56" t="str">
        <f t="shared" si="12"/>
        <v/>
      </c>
      <c r="AG82" s="56" t="str">
        <f t="shared" si="13"/>
        <v/>
      </c>
      <c r="AH82" s="56" t="str">
        <f t="shared" si="14"/>
        <v/>
      </c>
      <c r="AI82" s="56" t="str">
        <f t="shared" si="15"/>
        <v/>
      </c>
      <c r="AJ82" s="56" t="str">
        <f t="shared" si="16"/>
        <v/>
      </c>
      <c r="AK82" s="56" t="str">
        <f t="shared" si="17"/>
        <v/>
      </c>
      <c r="AL82" s="56" t="str">
        <f t="shared" si="18"/>
        <v/>
      </c>
      <c r="AM82" s="56" t="str">
        <f t="shared" si="19"/>
        <v/>
      </c>
      <c r="AN82" s="56" t="str">
        <f t="shared" si="81"/>
        <v/>
      </c>
      <c r="AO82" s="56" t="str">
        <f t="shared" si="82"/>
        <v>ROBOTS:SxxRyy\MH|ROBOTS_NOPLC:SxxRyy\MH</v>
      </c>
      <c r="AP82" s="56" t="str">
        <f t="shared" si="83"/>
        <v>SNS</v>
      </c>
      <c r="AQ82" s="56" t="str">
        <f t="shared" si="84"/>
        <v>ENTRY</v>
      </c>
      <c r="AR82" s="39" t="s">
        <v>130</v>
      </c>
      <c r="AT82" s="44" t="str">
        <f t="shared" si="85"/>
        <v>BOOL</v>
      </c>
      <c r="AU82" s="23" t="str">
        <f t="shared" si="86"/>
        <v/>
      </c>
      <c r="AV82" s="23" t="str">
        <f t="shared" si="87"/>
        <v/>
      </c>
      <c r="AW82" s="23" t="str">
        <f t="shared" si="88"/>
        <v/>
      </c>
      <c r="AX82" s="23" t="str">
        <f t="shared" si="89"/>
        <v/>
      </c>
      <c r="AY82" s="36" t="str">
        <f t="shared" si="90"/>
        <v/>
      </c>
      <c r="BB82" s="42" t="s">
        <v>15</v>
      </c>
      <c r="BC82" t="s">
        <v>104</v>
      </c>
      <c r="BD82" t="str">
        <f>Header_LB_Unique_ID&amp;"_"&amp;SUBSTITUTE(Prep!$R$4,"|","_")</f>
        <v>SxxRyy_PART3xxx</v>
      </c>
      <c r="BE82" t="s">
        <v>394</v>
      </c>
      <c r="BF82" t="str">
        <f t="shared" ca="1" si="91"/>
        <v>assets\SNS_ProxSwitch30mm</v>
      </c>
      <c r="BG82" t="str">
        <f>Prep!$R$4</f>
        <v>PART3xxx</v>
      </c>
      <c r="BS82" t="str">
        <f t="shared" si="92"/>
        <v>ROBOTS:SxxRyy\MH|ROBOTS_NOPLC:SxxRyy\MH</v>
      </c>
      <c r="BT82" t="str">
        <f>IF(Prep!$R$4="","X","")</f>
        <v/>
      </c>
      <c r="BV82" s="30" t="s">
        <v>546</v>
      </c>
      <c r="BY82" s="42"/>
      <c r="CB82" s="42"/>
      <c r="CE82" s="30"/>
      <c r="CH82" s="42"/>
      <c r="CN82" s="30"/>
      <c r="CP82" t="s">
        <v>12</v>
      </c>
      <c r="CQ82" s="40"/>
      <c r="CR82" s="30"/>
    </row>
    <row r="83" spans="2:96" x14ac:dyDescent="0.35">
      <c r="B83" s="4" t="str">
        <f t="shared" si="62"/>
        <v>FANUC_SxxRyy</v>
      </c>
      <c r="C83" s="4"/>
      <c r="D83" s="4" t="str">
        <f t="shared" si="63"/>
        <v>From_SNS_PART04_PartPresent</v>
      </c>
      <c r="E83" s="4" t="str">
        <f t="shared" si="64"/>
        <v>SNS_SxxRyy_PART4xxxx_PartPresent</v>
      </c>
      <c r="F83" s="4" t="str">
        <f t="shared" si="65"/>
        <v>I</v>
      </c>
      <c r="G83" s="4" t="str">
        <f t="shared" si="66"/>
        <v/>
      </c>
      <c r="H83" s="4" t="str">
        <f t="shared" si="67"/>
        <v/>
      </c>
      <c r="I83" s="4" t="str">
        <f t="shared" ca="1" si="68"/>
        <v/>
      </c>
      <c r="J83" s="4"/>
      <c r="K83" s="56" t="str">
        <f t="shared" si="69"/>
        <v>BOOL</v>
      </c>
      <c r="L83" s="56" t="str">
        <f t="shared" si="4"/>
        <v>ROBOTS\SxxRyy</v>
      </c>
      <c r="M83" s="56" t="str">
        <f t="shared" si="5"/>
        <v>STELLANTIS\Common\ToolPrototype\Robots</v>
      </c>
      <c r="N83" s="56" t="str">
        <f t="shared" si="6"/>
        <v>STELLANTIS_DN_FANUC_ROBOT_128_BIT_INTEGRATED_SAFETY_SxxRyy.v00</v>
      </c>
      <c r="O83" s="56" t="str">
        <f t="shared" ca="1" si="70"/>
        <v>assets\SNS_ProxSwitch30mm</v>
      </c>
      <c r="P83" s="56" t="str">
        <f t="shared" si="71"/>
        <v>PART4xxxx</v>
      </c>
      <c r="Q83" s="56" t="str">
        <f t="shared" si="72"/>
        <v>ROBOTS\SxxRyy</v>
      </c>
      <c r="R83" s="56" t="str">
        <f t="shared" si="73"/>
        <v>PHOTOELECTRIC</v>
      </c>
      <c r="S83" s="56" t="str">
        <f t="shared" si="74"/>
        <v/>
      </c>
      <c r="T83" s="56" t="str">
        <f t="shared" si="75"/>
        <v/>
      </c>
      <c r="U83" s="56" t="str">
        <f t="shared" si="76"/>
        <v/>
      </c>
      <c r="V83" s="56" t="str">
        <f t="shared" si="77"/>
        <v/>
      </c>
      <c r="W83" s="56"/>
      <c r="X83" s="56"/>
      <c r="Y83" s="56"/>
      <c r="Z83" s="56" t="str">
        <f t="shared" si="78"/>
        <v/>
      </c>
      <c r="AA83" s="56" t="str">
        <f t="shared" si="79"/>
        <v/>
      </c>
      <c r="AB83" s="56" t="str">
        <f t="shared" si="9"/>
        <v>ToolPrototype</v>
      </c>
      <c r="AC83" s="56" t="str">
        <f t="shared" si="80"/>
        <v>Optional</v>
      </c>
      <c r="AD83" s="56" t="str">
        <f t="shared" si="10"/>
        <v>&lt;device&gt;
&lt;name&gt;SxxRyy&lt;/name&gt;
&lt;type&gt;FCA_DN_FANUC&lt;/type&gt;
&lt;deviceNetwork&gt;201&lt;/deviceNetwork&gt;
&lt;deviceNode&gt;56&lt;/deviceNode&gt;
&lt;/device&gt;</v>
      </c>
      <c r="AE83" s="56" t="str">
        <f t="shared" si="11"/>
        <v/>
      </c>
      <c r="AF83" s="56" t="str">
        <f t="shared" si="12"/>
        <v/>
      </c>
      <c r="AG83" s="56" t="str">
        <f t="shared" si="13"/>
        <v/>
      </c>
      <c r="AH83" s="56" t="str">
        <f t="shared" si="14"/>
        <v/>
      </c>
      <c r="AI83" s="56" t="str">
        <f t="shared" si="15"/>
        <v/>
      </c>
      <c r="AJ83" s="56" t="str">
        <f t="shared" si="16"/>
        <v/>
      </c>
      <c r="AK83" s="56" t="str">
        <f t="shared" si="17"/>
        <v/>
      </c>
      <c r="AL83" s="56" t="str">
        <f t="shared" si="18"/>
        <v/>
      </c>
      <c r="AM83" s="56" t="str">
        <f t="shared" si="19"/>
        <v/>
      </c>
      <c r="AN83" s="56" t="str">
        <f t="shared" si="81"/>
        <v/>
      </c>
      <c r="AO83" s="56" t="str">
        <f t="shared" si="82"/>
        <v>ROBOTS:SxxRyy\MH|ROBOTS_NOPLC:SxxRyy\MH</v>
      </c>
      <c r="AP83" s="56" t="str">
        <f t="shared" si="83"/>
        <v>SNS</v>
      </c>
      <c r="AQ83" s="56" t="str">
        <f t="shared" si="84"/>
        <v>ENTRY</v>
      </c>
      <c r="AR83" s="39" t="s">
        <v>130</v>
      </c>
      <c r="AT83" s="44" t="str">
        <f t="shared" si="85"/>
        <v>BOOL</v>
      </c>
      <c r="AU83" s="23" t="str">
        <f t="shared" si="86"/>
        <v/>
      </c>
      <c r="AV83" s="23" t="str">
        <f t="shared" si="87"/>
        <v/>
      </c>
      <c r="AW83" s="23" t="str">
        <f t="shared" si="88"/>
        <v/>
      </c>
      <c r="AX83" s="23" t="str">
        <f t="shared" si="89"/>
        <v/>
      </c>
      <c r="AY83" s="36" t="str">
        <f t="shared" si="90"/>
        <v/>
      </c>
      <c r="BB83" s="42" t="s">
        <v>15</v>
      </c>
      <c r="BC83" t="s">
        <v>104</v>
      </c>
      <c r="BD83" t="str">
        <f>Header_LB_Unique_ID&amp;"_"&amp;SUBSTITUTE(Prep!$R$5,"|","_")</f>
        <v>SxxRyy_PART4xxxx</v>
      </c>
      <c r="BE83" t="s">
        <v>395</v>
      </c>
      <c r="BF83" t="str">
        <f t="shared" ca="1" si="91"/>
        <v>assets\SNS_ProxSwitch30mm</v>
      </c>
      <c r="BG83" t="str">
        <f>Prep!$R$5</f>
        <v>PART4xxxx</v>
      </c>
      <c r="BS83" t="str">
        <f t="shared" si="92"/>
        <v>ROBOTS:SxxRyy\MH|ROBOTS_NOPLC:SxxRyy\MH</v>
      </c>
      <c r="BT83" t="str">
        <f>IF(Prep!$R$5="","X","")</f>
        <v/>
      </c>
      <c r="BV83" s="30" t="s">
        <v>546</v>
      </c>
      <c r="BY83" s="42"/>
      <c r="CB83" s="42"/>
      <c r="CE83" s="30"/>
      <c r="CH83" s="42"/>
      <c r="CN83" s="30"/>
      <c r="CP83" t="s">
        <v>12</v>
      </c>
      <c r="CQ83" s="40"/>
      <c r="CR83" s="30"/>
    </row>
    <row r="84" spans="2:96" x14ac:dyDescent="0.35">
      <c r="B84" s="4" t="str">
        <f t="shared" si="62"/>
        <v>&lt;BLANK&gt;</v>
      </c>
      <c r="C84" s="4"/>
      <c r="D84" s="4" t="str">
        <f t="shared" si="63"/>
        <v>From_SNS_PART05_PartPresent</v>
      </c>
      <c r="E84" s="4" t="str">
        <f t="shared" si="64"/>
        <v>SNS_SxxRyy__PartPresent</v>
      </c>
      <c r="F84" s="4" t="str">
        <f t="shared" si="65"/>
        <v>I</v>
      </c>
      <c r="G84" s="4" t="str">
        <f t="shared" si="66"/>
        <v/>
      </c>
      <c r="H84" s="4" t="str">
        <f t="shared" si="67"/>
        <v/>
      </c>
      <c r="I84" s="4" t="str">
        <f t="shared" ca="1" si="68"/>
        <v/>
      </c>
      <c r="J84" s="4"/>
      <c r="K84" s="56" t="str">
        <f t="shared" si="69"/>
        <v>BOOL</v>
      </c>
      <c r="L84" s="56" t="str">
        <f t="shared" si="4"/>
        <v>ROBOTS\SxxRyy</v>
      </c>
      <c r="M84" s="56" t="str">
        <f t="shared" si="5"/>
        <v>STELLANTIS\Common\ToolPrototype\Robots</v>
      </c>
      <c r="N84" s="56" t="str">
        <f t="shared" si="6"/>
        <v>STELLANTIS_DN_FANUC_ROBOT_128_BIT_INTEGRATED_SAFETY_SxxRyy.v00</v>
      </c>
      <c r="O84" s="56" t="str">
        <f t="shared" ca="1" si="70"/>
        <v>assets\SNS_ProxSwitch30mm</v>
      </c>
      <c r="P84" s="56" t="str">
        <f t="shared" si="71"/>
        <v/>
      </c>
      <c r="Q84" s="56" t="str">
        <f t="shared" si="72"/>
        <v>ROBOTS\SxxRyy</v>
      </c>
      <c r="R84" s="56" t="str">
        <f t="shared" si="73"/>
        <v>PHOTOELECTRIC</v>
      </c>
      <c r="S84" s="56" t="str">
        <f t="shared" si="74"/>
        <v/>
      </c>
      <c r="T84" s="56" t="str">
        <f t="shared" si="75"/>
        <v/>
      </c>
      <c r="U84" s="56" t="str">
        <f t="shared" si="76"/>
        <v/>
      </c>
      <c r="V84" s="56" t="str">
        <f t="shared" si="77"/>
        <v/>
      </c>
      <c r="W84" s="56"/>
      <c r="X84" s="56"/>
      <c r="Y84" s="56"/>
      <c r="Z84" s="56" t="str">
        <f t="shared" si="78"/>
        <v/>
      </c>
      <c r="AA84" s="56" t="str">
        <f t="shared" si="79"/>
        <v/>
      </c>
      <c r="AB84" s="56" t="str">
        <f t="shared" si="9"/>
        <v>ToolPrototype</v>
      </c>
      <c r="AC84" s="56" t="str">
        <f t="shared" si="80"/>
        <v>Optional</v>
      </c>
      <c r="AD84" s="56" t="str">
        <f t="shared" si="10"/>
        <v>&lt;device&gt;
&lt;name&gt;SxxRyy&lt;/name&gt;
&lt;type&gt;FCA_DN_FANUC&lt;/type&gt;
&lt;deviceNetwork&gt;201&lt;/deviceNetwork&gt;
&lt;deviceNode&gt;56&lt;/deviceNode&gt;
&lt;/device&gt;</v>
      </c>
      <c r="AE84" s="56" t="str">
        <f t="shared" si="11"/>
        <v/>
      </c>
      <c r="AF84" s="56" t="str">
        <f t="shared" si="12"/>
        <v/>
      </c>
      <c r="AG84" s="56" t="str">
        <f t="shared" si="13"/>
        <v/>
      </c>
      <c r="AH84" s="56" t="str">
        <f t="shared" si="14"/>
        <v/>
      </c>
      <c r="AI84" s="56" t="str">
        <f t="shared" si="15"/>
        <v/>
      </c>
      <c r="AJ84" s="56" t="str">
        <f t="shared" si="16"/>
        <v/>
      </c>
      <c r="AK84" s="56" t="str">
        <f t="shared" si="17"/>
        <v/>
      </c>
      <c r="AL84" s="56" t="str">
        <f t="shared" si="18"/>
        <v/>
      </c>
      <c r="AM84" s="56" t="str">
        <f t="shared" si="19"/>
        <v/>
      </c>
      <c r="AN84" s="56" t="str">
        <f t="shared" si="81"/>
        <v/>
      </c>
      <c r="AO84" s="56" t="str">
        <f t="shared" si="82"/>
        <v>ROBOTS:SxxRyy\MH|ROBOTS_NOPLC:SxxRyy\MH</v>
      </c>
      <c r="AP84" s="56" t="str">
        <f t="shared" si="83"/>
        <v>SNS</v>
      </c>
      <c r="AQ84" s="56" t="str">
        <f t="shared" si="84"/>
        <v>ENTRY</v>
      </c>
      <c r="AR84" s="39" t="s">
        <v>130</v>
      </c>
      <c r="AT84" s="44" t="str">
        <f t="shared" si="85"/>
        <v>BOOL</v>
      </c>
      <c r="AU84" s="23" t="str">
        <f t="shared" si="86"/>
        <v/>
      </c>
      <c r="AV84" s="23" t="str">
        <f t="shared" si="87"/>
        <v/>
      </c>
      <c r="AW84" s="23" t="str">
        <f t="shared" si="88"/>
        <v/>
      </c>
      <c r="AX84" s="23" t="str">
        <f t="shared" si="89"/>
        <v/>
      </c>
      <c r="AY84" s="36" t="str">
        <f t="shared" si="90"/>
        <v/>
      </c>
      <c r="BB84" s="42" t="s">
        <v>15</v>
      </c>
      <c r="BC84" t="s">
        <v>104</v>
      </c>
      <c r="BD84" t="str">
        <f>Header_LB_Unique_ID&amp;"_"&amp;SUBSTITUTE(Prep!$R$6,"|","_")</f>
        <v>SxxRyy_</v>
      </c>
      <c r="BE84" t="s">
        <v>396</v>
      </c>
      <c r="BF84" t="str">
        <f t="shared" ca="1" si="91"/>
        <v>assets\SNS_ProxSwitch30mm</v>
      </c>
      <c r="BG84" t="str">
        <f>Prep!$R$6</f>
        <v/>
      </c>
      <c r="BS84" t="str">
        <f t="shared" si="92"/>
        <v>ROBOTS:SxxRyy\MH|ROBOTS_NOPLC:SxxRyy\MH</v>
      </c>
      <c r="BT84" t="str">
        <f>IF(Prep!$R$6="","X","")</f>
        <v>X</v>
      </c>
      <c r="BV84" s="30" t="s">
        <v>546</v>
      </c>
      <c r="BY84" s="42"/>
      <c r="CB84" s="42"/>
      <c r="CE84" s="30"/>
      <c r="CH84" s="42"/>
      <c r="CN84" s="30"/>
      <c r="CP84" t="s">
        <v>12</v>
      </c>
      <c r="CQ84" s="40"/>
      <c r="CR84" s="30"/>
    </row>
    <row r="85" spans="2:96" x14ac:dyDescent="0.35">
      <c r="B85" s="4" t="str">
        <f t="shared" si="62"/>
        <v>FANUC_SxxRyy</v>
      </c>
      <c r="C85" s="4"/>
      <c r="D85" s="4" t="str">
        <f t="shared" si="63"/>
        <v>From_SNS_PART06_PartPresent</v>
      </c>
      <c r="E85" s="4" t="str">
        <f t="shared" si="64"/>
        <v>SNS_SxxRyy_PART6xxxxxx_PartPresent</v>
      </c>
      <c r="F85" s="4" t="str">
        <f t="shared" si="65"/>
        <v>I</v>
      </c>
      <c r="G85" s="4" t="str">
        <f t="shared" si="66"/>
        <v/>
      </c>
      <c r="H85" s="4" t="str">
        <f t="shared" si="67"/>
        <v/>
      </c>
      <c r="I85" s="4" t="str">
        <f t="shared" ca="1" si="68"/>
        <v/>
      </c>
      <c r="J85" s="4"/>
      <c r="K85" s="56" t="str">
        <f t="shared" si="69"/>
        <v>BOOL</v>
      </c>
      <c r="L85" s="56" t="str">
        <f t="shared" si="4"/>
        <v>ROBOTS\SxxRyy</v>
      </c>
      <c r="M85" s="56" t="str">
        <f t="shared" si="5"/>
        <v>STELLANTIS\Common\ToolPrototype\Robots</v>
      </c>
      <c r="N85" s="56" t="str">
        <f t="shared" si="6"/>
        <v>STELLANTIS_DN_FANUC_ROBOT_128_BIT_INTEGRATED_SAFETY_SxxRyy.v00</v>
      </c>
      <c r="O85" s="56" t="str">
        <f t="shared" ca="1" si="70"/>
        <v>assets\SNS_ProxSwitch30mm</v>
      </c>
      <c r="P85" s="56" t="str">
        <f t="shared" si="71"/>
        <v>PART6xxxxxx</v>
      </c>
      <c r="Q85" s="56" t="str">
        <f t="shared" si="72"/>
        <v>ROBOTS\SxxRyy</v>
      </c>
      <c r="R85" s="56" t="str">
        <f t="shared" si="73"/>
        <v>PHOTOELECTRIC</v>
      </c>
      <c r="S85" s="56" t="str">
        <f t="shared" si="74"/>
        <v/>
      </c>
      <c r="T85" s="56" t="str">
        <f t="shared" si="75"/>
        <v/>
      </c>
      <c r="U85" s="56" t="str">
        <f t="shared" si="76"/>
        <v/>
      </c>
      <c r="V85" s="56" t="str">
        <f t="shared" si="77"/>
        <v/>
      </c>
      <c r="W85" s="56"/>
      <c r="X85" s="56"/>
      <c r="Y85" s="56"/>
      <c r="Z85" s="56" t="str">
        <f t="shared" si="78"/>
        <v/>
      </c>
      <c r="AA85" s="56" t="str">
        <f t="shared" si="79"/>
        <v/>
      </c>
      <c r="AB85" s="56" t="str">
        <f t="shared" si="9"/>
        <v>ToolPrototype</v>
      </c>
      <c r="AC85" s="56" t="str">
        <f t="shared" si="80"/>
        <v>Optional</v>
      </c>
      <c r="AD85" s="56" t="str">
        <f t="shared" si="10"/>
        <v>&lt;device&gt;
&lt;name&gt;SxxRyy&lt;/name&gt;
&lt;type&gt;FCA_DN_FANUC&lt;/type&gt;
&lt;deviceNetwork&gt;201&lt;/deviceNetwork&gt;
&lt;deviceNode&gt;56&lt;/deviceNode&gt;
&lt;/device&gt;</v>
      </c>
      <c r="AE85" s="56" t="str">
        <f t="shared" si="11"/>
        <v/>
      </c>
      <c r="AF85" s="56" t="str">
        <f t="shared" si="12"/>
        <v/>
      </c>
      <c r="AG85" s="56" t="str">
        <f t="shared" si="13"/>
        <v/>
      </c>
      <c r="AH85" s="56" t="str">
        <f t="shared" si="14"/>
        <v/>
      </c>
      <c r="AI85" s="56" t="str">
        <f t="shared" si="15"/>
        <v/>
      </c>
      <c r="AJ85" s="56" t="str">
        <f t="shared" si="16"/>
        <v/>
      </c>
      <c r="AK85" s="56" t="str">
        <f t="shared" si="17"/>
        <v/>
      </c>
      <c r="AL85" s="56" t="str">
        <f t="shared" si="18"/>
        <v/>
      </c>
      <c r="AM85" s="56" t="str">
        <f t="shared" si="19"/>
        <v/>
      </c>
      <c r="AN85" s="56" t="str">
        <f t="shared" si="81"/>
        <v/>
      </c>
      <c r="AO85" s="56" t="str">
        <f t="shared" si="82"/>
        <v>ROBOTS:SxxRyy\MH|ROBOTS_NOPLC:SxxRyy\MH</v>
      </c>
      <c r="AP85" s="56" t="str">
        <f t="shared" si="83"/>
        <v>SNS</v>
      </c>
      <c r="AQ85" s="56" t="str">
        <f t="shared" si="84"/>
        <v>ENTRY</v>
      </c>
      <c r="AR85" s="39" t="s">
        <v>130</v>
      </c>
      <c r="AT85" s="44" t="str">
        <f t="shared" si="85"/>
        <v>BOOL</v>
      </c>
      <c r="AU85" s="23" t="str">
        <f t="shared" si="86"/>
        <v/>
      </c>
      <c r="AV85" s="23" t="str">
        <f t="shared" si="87"/>
        <v/>
      </c>
      <c r="AW85" s="23" t="str">
        <f t="shared" si="88"/>
        <v/>
      </c>
      <c r="AX85" s="23" t="str">
        <f t="shared" si="89"/>
        <v/>
      </c>
      <c r="AY85" s="36" t="str">
        <f t="shared" si="90"/>
        <v/>
      </c>
      <c r="BB85" s="42" t="s">
        <v>15</v>
      </c>
      <c r="BC85" t="s">
        <v>104</v>
      </c>
      <c r="BD85" t="str">
        <f>Header_LB_Unique_ID&amp;"_"&amp;SUBSTITUTE(Prep!$R$7,"|","_")</f>
        <v>SxxRyy_PART6xxxxxx</v>
      </c>
      <c r="BE85" t="s">
        <v>397</v>
      </c>
      <c r="BF85" t="str">
        <f t="shared" ca="1" si="91"/>
        <v>assets\SNS_ProxSwitch30mm</v>
      </c>
      <c r="BG85" t="str">
        <f>Prep!$R$7</f>
        <v>PART6xxxxxx</v>
      </c>
      <c r="BS85" t="str">
        <f t="shared" si="92"/>
        <v>ROBOTS:SxxRyy\MH|ROBOTS_NOPLC:SxxRyy\MH</v>
      </c>
      <c r="BT85" t="str">
        <f>IF(Prep!$R$7="","X","")</f>
        <v/>
      </c>
      <c r="BV85" s="30" t="s">
        <v>546</v>
      </c>
      <c r="BY85" s="42"/>
      <c r="CB85" s="42"/>
      <c r="CE85" s="30"/>
      <c r="CH85" s="42"/>
      <c r="CN85" s="30"/>
      <c r="CP85" t="s">
        <v>12</v>
      </c>
      <c r="CQ85" s="40"/>
      <c r="CR85" s="30"/>
    </row>
    <row r="86" spans="2:96" x14ac:dyDescent="0.35">
      <c r="B86" s="4" t="str">
        <f t="shared" si="62"/>
        <v>FANUC_SxxRyy</v>
      </c>
      <c r="C86" s="4"/>
      <c r="D86" s="4" t="str">
        <f t="shared" si="63"/>
        <v>From_SNS_PART07_PartPresent</v>
      </c>
      <c r="E86" s="4" t="str">
        <f t="shared" si="64"/>
        <v>SNS_SxxRyy_PART7xxxxxxx_PartPresent</v>
      </c>
      <c r="F86" s="4" t="str">
        <f t="shared" si="65"/>
        <v>I</v>
      </c>
      <c r="G86" s="4" t="str">
        <f t="shared" si="66"/>
        <v/>
      </c>
      <c r="H86" s="4" t="str">
        <f t="shared" si="67"/>
        <v/>
      </c>
      <c r="I86" s="4" t="str">
        <f t="shared" ca="1" si="68"/>
        <v/>
      </c>
      <c r="J86" s="4"/>
      <c r="K86" s="56" t="str">
        <f t="shared" si="69"/>
        <v>BOOL</v>
      </c>
      <c r="L86" s="56" t="str">
        <f t="shared" si="4"/>
        <v>ROBOTS\SxxRyy</v>
      </c>
      <c r="M86" s="56" t="str">
        <f t="shared" si="5"/>
        <v>STELLANTIS\Common\ToolPrototype\Robots</v>
      </c>
      <c r="N86" s="56" t="str">
        <f t="shared" si="6"/>
        <v>STELLANTIS_DN_FANUC_ROBOT_128_BIT_INTEGRATED_SAFETY_SxxRyy.v00</v>
      </c>
      <c r="O86" s="56" t="str">
        <f t="shared" ca="1" si="70"/>
        <v>assets\SNS_ProxSwitch30mm</v>
      </c>
      <c r="P86" s="56" t="str">
        <f t="shared" si="71"/>
        <v>PART7xxxxxxx</v>
      </c>
      <c r="Q86" s="56" t="str">
        <f t="shared" si="72"/>
        <v>ROBOTS\SxxRyy</v>
      </c>
      <c r="R86" s="56" t="str">
        <f t="shared" si="73"/>
        <v>PHOTOELECTRIC</v>
      </c>
      <c r="S86" s="56" t="str">
        <f t="shared" si="74"/>
        <v/>
      </c>
      <c r="T86" s="56" t="str">
        <f t="shared" si="75"/>
        <v/>
      </c>
      <c r="U86" s="56" t="str">
        <f t="shared" si="76"/>
        <v/>
      </c>
      <c r="V86" s="56" t="str">
        <f t="shared" si="77"/>
        <v/>
      </c>
      <c r="W86" s="56"/>
      <c r="X86" s="56"/>
      <c r="Y86" s="56"/>
      <c r="Z86" s="56" t="str">
        <f t="shared" si="78"/>
        <v/>
      </c>
      <c r="AA86" s="56" t="str">
        <f t="shared" si="79"/>
        <v/>
      </c>
      <c r="AB86" s="56" t="str">
        <f t="shared" si="9"/>
        <v>ToolPrototype</v>
      </c>
      <c r="AC86" s="56" t="str">
        <f t="shared" si="80"/>
        <v>Optional</v>
      </c>
      <c r="AD86" s="56" t="str">
        <f t="shared" si="10"/>
        <v>&lt;device&gt;
&lt;name&gt;SxxRyy&lt;/name&gt;
&lt;type&gt;FCA_DN_FANUC&lt;/type&gt;
&lt;deviceNetwork&gt;201&lt;/deviceNetwork&gt;
&lt;deviceNode&gt;56&lt;/deviceNode&gt;
&lt;/device&gt;</v>
      </c>
      <c r="AE86" s="56" t="str">
        <f t="shared" si="11"/>
        <v/>
      </c>
      <c r="AF86" s="56" t="str">
        <f t="shared" si="12"/>
        <v/>
      </c>
      <c r="AG86" s="56" t="str">
        <f t="shared" si="13"/>
        <v/>
      </c>
      <c r="AH86" s="56" t="str">
        <f t="shared" si="14"/>
        <v/>
      </c>
      <c r="AI86" s="56" t="str">
        <f t="shared" si="15"/>
        <v/>
      </c>
      <c r="AJ86" s="56" t="str">
        <f t="shared" si="16"/>
        <v/>
      </c>
      <c r="AK86" s="56" t="str">
        <f t="shared" si="17"/>
        <v/>
      </c>
      <c r="AL86" s="56" t="str">
        <f t="shared" si="18"/>
        <v/>
      </c>
      <c r="AM86" s="56" t="str">
        <f t="shared" si="19"/>
        <v/>
      </c>
      <c r="AN86" s="56" t="str">
        <f t="shared" si="81"/>
        <v/>
      </c>
      <c r="AO86" s="56" t="str">
        <f t="shared" si="82"/>
        <v>ROBOTS:SxxRyy\MH|ROBOTS_NOPLC:SxxRyy\MH</v>
      </c>
      <c r="AP86" s="56" t="str">
        <f t="shared" si="83"/>
        <v>SNS</v>
      </c>
      <c r="AQ86" s="56" t="str">
        <f t="shared" si="84"/>
        <v>ENTRY</v>
      </c>
      <c r="AR86" s="39" t="s">
        <v>130</v>
      </c>
      <c r="AT86" s="44" t="str">
        <f t="shared" si="85"/>
        <v>BOOL</v>
      </c>
      <c r="AU86" s="23" t="str">
        <f t="shared" si="86"/>
        <v/>
      </c>
      <c r="AV86" s="23" t="str">
        <f t="shared" si="87"/>
        <v/>
      </c>
      <c r="AW86" s="23" t="str">
        <f t="shared" si="88"/>
        <v/>
      </c>
      <c r="AX86" s="23" t="str">
        <f t="shared" si="89"/>
        <v/>
      </c>
      <c r="AY86" s="36" t="str">
        <f t="shared" si="90"/>
        <v/>
      </c>
      <c r="BB86" s="42" t="s">
        <v>15</v>
      </c>
      <c r="BC86" t="s">
        <v>104</v>
      </c>
      <c r="BD86" t="str">
        <f>Header_LB_Unique_ID&amp;"_"&amp;SUBSTITUTE(Prep!$R$8,"|","_")</f>
        <v>SxxRyy_PART7xxxxxxx</v>
      </c>
      <c r="BE86" t="s">
        <v>398</v>
      </c>
      <c r="BF86" t="str">
        <f t="shared" ca="1" si="91"/>
        <v>assets\SNS_ProxSwitch30mm</v>
      </c>
      <c r="BG86" t="str">
        <f>Prep!$R$8</f>
        <v>PART7xxxxxxx</v>
      </c>
      <c r="BS86" t="str">
        <f t="shared" si="92"/>
        <v>ROBOTS:SxxRyy\MH|ROBOTS_NOPLC:SxxRyy\MH</v>
      </c>
      <c r="BT86" t="str">
        <f>IF(Prep!$R$8="","X","")</f>
        <v/>
      </c>
      <c r="BV86" s="30" t="s">
        <v>546</v>
      </c>
      <c r="BY86" s="42"/>
      <c r="CB86" s="42"/>
      <c r="CE86" s="30"/>
      <c r="CH86" s="42"/>
      <c r="CN86" s="30"/>
      <c r="CP86" t="s">
        <v>12</v>
      </c>
      <c r="CQ86" s="40"/>
      <c r="CR86" s="30"/>
    </row>
    <row r="87" spans="2:96" x14ac:dyDescent="0.35">
      <c r="B87" s="4" t="str">
        <f t="shared" si="62"/>
        <v>FANUC_SxxRyy</v>
      </c>
      <c r="C87" s="4"/>
      <c r="D87" s="4" t="str">
        <f t="shared" si="63"/>
        <v>From_SNS_PART08_PartPresent</v>
      </c>
      <c r="E87" s="4" t="str">
        <f t="shared" si="64"/>
        <v>SNS_SxxRyy_PART8_PartPresent</v>
      </c>
      <c r="F87" s="4" t="str">
        <f t="shared" si="65"/>
        <v>I</v>
      </c>
      <c r="G87" s="4" t="str">
        <f t="shared" si="66"/>
        <v/>
      </c>
      <c r="H87" s="4" t="str">
        <f t="shared" si="67"/>
        <v/>
      </c>
      <c r="I87" s="4" t="str">
        <f t="shared" ca="1" si="68"/>
        <v/>
      </c>
      <c r="J87" s="4"/>
      <c r="K87" s="56" t="str">
        <f t="shared" si="69"/>
        <v>BOOL</v>
      </c>
      <c r="L87" s="56" t="str">
        <f t="shared" si="4"/>
        <v>ROBOTS\SxxRyy</v>
      </c>
      <c r="M87" s="56" t="str">
        <f t="shared" si="5"/>
        <v>STELLANTIS\Common\ToolPrototype\Robots</v>
      </c>
      <c r="N87" s="56" t="str">
        <f t="shared" si="6"/>
        <v>STELLANTIS_DN_FANUC_ROBOT_128_BIT_INTEGRATED_SAFETY_SxxRyy.v00</v>
      </c>
      <c r="O87" s="56" t="str">
        <f t="shared" ca="1" si="70"/>
        <v>assets\SNS_ProxSwitch30mm</v>
      </c>
      <c r="P87" s="56" t="str">
        <f t="shared" si="71"/>
        <v>PART8</v>
      </c>
      <c r="Q87" s="56" t="str">
        <f t="shared" si="72"/>
        <v>ROBOTS\SxxRyy</v>
      </c>
      <c r="R87" s="56" t="str">
        <f t="shared" si="73"/>
        <v>PHOTOELECTRIC</v>
      </c>
      <c r="S87" s="56" t="str">
        <f t="shared" si="74"/>
        <v/>
      </c>
      <c r="T87" s="56" t="str">
        <f t="shared" si="75"/>
        <v/>
      </c>
      <c r="U87" s="56" t="str">
        <f t="shared" si="76"/>
        <v/>
      </c>
      <c r="V87" s="56" t="str">
        <f t="shared" si="77"/>
        <v/>
      </c>
      <c r="W87" s="56"/>
      <c r="X87" s="56"/>
      <c r="Y87" s="56"/>
      <c r="Z87" s="56" t="str">
        <f t="shared" si="78"/>
        <v/>
      </c>
      <c r="AA87" s="56" t="str">
        <f t="shared" si="79"/>
        <v/>
      </c>
      <c r="AB87" s="56" t="str">
        <f t="shared" si="9"/>
        <v>ToolPrototype</v>
      </c>
      <c r="AC87" s="56" t="str">
        <f t="shared" si="80"/>
        <v>Optional</v>
      </c>
      <c r="AD87" s="56" t="str">
        <f t="shared" si="10"/>
        <v>&lt;device&gt;
&lt;name&gt;SxxRyy&lt;/name&gt;
&lt;type&gt;FCA_DN_FANUC&lt;/type&gt;
&lt;deviceNetwork&gt;201&lt;/deviceNetwork&gt;
&lt;deviceNode&gt;56&lt;/deviceNode&gt;
&lt;/device&gt;</v>
      </c>
      <c r="AE87" s="56" t="str">
        <f t="shared" si="11"/>
        <v/>
      </c>
      <c r="AF87" s="56" t="str">
        <f t="shared" si="12"/>
        <v/>
      </c>
      <c r="AG87" s="56" t="str">
        <f t="shared" si="13"/>
        <v/>
      </c>
      <c r="AH87" s="56" t="str">
        <f t="shared" si="14"/>
        <v/>
      </c>
      <c r="AI87" s="56" t="str">
        <f t="shared" si="15"/>
        <v/>
      </c>
      <c r="AJ87" s="56" t="str">
        <f t="shared" si="16"/>
        <v/>
      </c>
      <c r="AK87" s="56" t="str">
        <f t="shared" si="17"/>
        <v/>
      </c>
      <c r="AL87" s="56" t="str">
        <f t="shared" si="18"/>
        <v/>
      </c>
      <c r="AM87" s="56" t="str">
        <f t="shared" si="19"/>
        <v/>
      </c>
      <c r="AN87" s="56" t="str">
        <f t="shared" si="81"/>
        <v/>
      </c>
      <c r="AO87" s="56" t="str">
        <f t="shared" si="82"/>
        <v>ROBOTS:SxxRyy\MH|ROBOTS_NOPLC:SxxRyy\MH</v>
      </c>
      <c r="AP87" s="56" t="str">
        <f t="shared" si="83"/>
        <v>SNS</v>
      </c>
      <c r="AQ87" s="56" t="str">
        <f t="shared" si="84"/>
        <v>ENTRY</v>
      </c>
      <c r="AR87" s="39" t="s">
        <v>130</v>
      </c>
      <c r="AT87" s="44" t="str">
        <f t="shared" si="85"/>
        <v>BOOL</v>
      </c>
      <c r="AU87" s="23" t="str">
        <f t="shared" si="86"/>
        <v/>
      </c>
      <c r="AV87" s="23" t="str">
        <f t="shared" si="87"/>
        <v/>
      </c>
      <c r="AW87" s="23" t="str">
        <f t="shared" si="88"/>
        <v/>
      </c>
      <c r="AX87" s="23" t="str">
        <f t="shared" si="89"/>
        <v/>
      </c>
      <c r="AY87" s="36" t="str">
        <f t="shared" si="90"/>
        <v/>
      </c>
      <c r="BB87" s="42" t="s">
        <v>15</v>
      </c>
      <c r="BC87" t="s">
        <v>104</v>
      </c>
      <c r="BD87" t="str">
        <f>Header_LB_Unique_ID&amp;"_"&amp;SUBSTITUTE(Prep!$R$9,"|","_")</f>
        <v>SxxRyy_PART8</v>
      </c>
      <c r="BE87" t="s">
        <v>399</v>
      </c>
      <c r="BF87" t="str">
        <f t="shared" ca="1" si="91"/>
        <v>assets\SNS_ProxSwitch30mm</v>
      </c>
      <c r="BG87" t="str">
        <f>Prep!$R$9</f>
        <v>PART8</v>
      </c>
      <c r="BS87" t="str">
        <f t="shared" si="92"/>
        <v>ROBOTS:SxxRyy\MH|ROBOTS_NOPLC:SxxRyy\MH</v>
      </c>
      <c r="BT87" t="str">
        <f>IF(Prep!$R$9="","X","")</f>
        <v/>
      </c>
      <c r="BV87" s="30" t="s">
        <v>546</v>
      </c>
      <c r="BY87" s="42"/>
      <c r="CB87" s="42"/>
      <c r="CE87" s="30"/>
      <c r="CH87" s="42"/>
      <c r="CN87" s="30"/>
      <c r="CP87" t="s">
        <v>12</v>
      </c>
      <c r="CQ87" s="40"/>
      <c r="CR87" s="30"/>
    </row>
    <row r="88" spans="2:96" x14ac:dyDescent="0.35">
      <c r="B88" s="4" t="str">
        <f t="shared" si="62"/>
        <v>FANUC_SxxRyy</v>
      </c>
      <c r="C88" s="4"/>
      <c r="D88" s="4" t="str">
        <f t="shared" si="63"/>
        <v>From_SNS_PART09_PartPresent</v>
      </c>
      <c r="E88" s="4" t="str">
        <f t="shared" si="64"/>
        <v>SNS_SxxRyy_PART9_PartPresent</v>
      </c>
      <c r="F88" s="4" t="str">
        <f t="shared" si="65"/>
        <v>I</v>
      </c>
      <c r="G88" s="4" t="str">
        <f t="shared" si="66"/>
        <v/>
      </c>
      <c r="H88" s="4" t="str">
        <f t="shared" si="67"/>
        <v/>
      </c>
      <c r="I88" s="4" t="str">
        <f t="shared" ca="1" si="68"/>
        <v/>
      </c>
      <c r="J88" s="4"/>
      <c r="K88" s="56" t="str">
        <f t="shared" si="69"/>
        <v>BOOL</v>
      </c>
      <c r="L88" s="56" t="str">
        <f t="shared" si="4"/>
        <v>ROBOTS\SxxRyy</v>
      </c>
      <c r="M88" s="56" t="str">
        <f t="shared" si="5"/>
        <v>STELLANTIS\Common\ToolPrototype\Robots</v>
      </c>
      <c r="N88" s="56" t="str">
        <f t="shared" si="6"/>
        <v>STELLANTIS_DN_FANUC_ROBOT_128_BIT_INTEGRATED_SAFETY_SxxRyy.v00</v>
      </c>
      <c r="O88" s="56" t="str">
        <f t="shared" ca="1" si="70"/>
        <v>assets\SNS_ProxSwitch30mm</v>
      </c>
      <c r="P88" s="56" t="str">
        <f t="shared" si="71"/>
        <v>PART9</v>
      </c>
      <c r="Q88" s="56" t="str">
        <f t="shared" si="72"/>
        <v>ROBOTS\SxxRyy</v>
      </c>
      <c r="R88" s="56" t="str">
        <f t="shared" si="73"/>
        <v>PHOTOELECTRIC</v>
      </c>
      <c r="S88" s="56" t="str">
        <f t="shared" si="74"/>
        <v/>
      </c>
      <c r="T88" s="56" t="str">
        <f t="shared" si="75"/>
        <v/>
      </c>
      <c r="U88" s="56" t="str">
        <f t="shared" si="76"/>
        <v/>
      </c>
      <c r="V88" s="56" t="str">
        <f t="shared" si="77"/>
        <v/>
      </c>
      <c r="W88" s="56"/>
      <c r="X88" s="56"/>
      <c r="Y88" s="56"/>
      <c r="Z88" s="56" t="str">
        <f t="shared" si="78"/>
        <v/>
      </c>
      <c r="AA88" s="56" t="str">
        <f t="shared" si="79"/>
        <v/>
      </c>
      <c r="AB88" s="56" t="str">
        <f t="shared" si="9"/>
        <v>ToolPrototype</v>
      </c>
      <c r="AC88" s="56" t="str">
        <f t="shared" si="80"/>
        <v>Optional</v>
      </c>
      <c r="AD88" s="56" t="str">
        <f t="shared" si="10"/>
        <v>&lt;device&gt;
&lt;name&gt;SxxRyy&lt;/name&gt;
&lt;type&gt;FCA_DN_FANUC&lt;/type&gt;
&lt;deviceNetwork&gt;201&lt;/deviceNetwork&gt;
&lt;deviceNode&gt;56&lt;/deviceNode&gt;
&lt;/device&gt;</v>
      </c>
      <c r="AE88" s="56" t="str">
        <f t="shared" si="11"/>
        <v/>
      </c>
      <c r="AF88" s="56" t="str">
        <f t="shared" si="12"/>
        <v/>
      </c>
      <c r="AG88" s="56" t="str">
        <f t="shared" si="13"/>
        <v/>
      </c>
      <c r="AH88" s="56" t="str">
        <f t="shared" si="14"/>
        <v/>
      </c>
      <c r="AI88" s="56" t="str">
        <f t="shared" si="15"/>
        <v/>
      </c>
      <c r="AJ88" s="56" t="str">
        <f t="shared" si="16"/>
        <v/>
      </c>
      <c r="AK88" s="56" t="str">
        <f t="shared" si="17"/>
        <v/>
      </c>
      <c r="AL88" s="56" t="str">
        <f t="shared" si="18"/>
        <v/>
      </c>
      <c r="AM88" s="56" t="str">
        <f t="shared" si="19"/>
        <v/>
      </c>
      <c r="AN88" s="56" t="str">
        <f t="shared" si="81"/>
        <v/>
      </c>
      <c r="AO88" s="56" t="str">
        <f t="shared" si="82"/>
        <v>ROBOTS:SxxRyy\MH|ROBOTS_NOPLC:SxxRyy\MH</v>
      </c>
      <c r="AP88" s="56" t="str">
        <f t="shared" si="83"/>
        <v>SNS</v>
      </c>
      <c r="AQ88" s="56" t="str">
        <f t="shared" si="84"/>
        <v>ENTRY</v>
      </c>
      <c r="AR88" s="39" t="s">
        <v>130</v>
      </c>
      <c r="AT88" s="44" t="str">
        <f t="shared" si="85"/>
        <v>BOOL</v>
      </c>
      <c r="AU88" s="23" t="str">
        <f t="shared" si="86"/>
        <v/>
      </c>
      <c r="AV88" s="23" t="str">
        <f t="shared" si="87"/>
        <v/>
      </c>
      <c r="AW88" s="23" t="str">
        <f t="shared" si="88"/>
        <v/>
      </c>
      <c r="AX88" s="23" t="str">
        <f t="shared" si="89"/>
        <v/>
      </c>
      <c r="AY88" s="36" t="str">
        <f t="shared" si="90"/>
        <v/>
      </c>
      <c r="BB88" s="42" t="s">
        <v>15</v>
      </c>
      <c r="BC88" t="s">
        <v>104</v>
      </c>
      <c r="BD88" t="str">
        <f>Header_LB_Unique_ID&amp;"_"&amp;SUBSTITUTE(Prep!$R$10,"|","_")</f>
        <v>SxxRyy_PART9</v>
      </c>
      <c r="BE88" t="s">
        <v>400</v>
      </c>
      <c r="BF88" t="str">
        <f t="shared" ca="1" si="91"/>
        <v>assets\SNS_ProxSwitch30mm</v>
      </c>
      <c r="BG88" t="str">
        <f>Prep!$R$10</f>
        <v>PART9</v>
      </c>
      <c r="BS88" t="str">
        <f t="shared" si="92"/>
        <v>ROBOTS:SxxRyy\MH|ROBOTS_NOPLC:SxxRyy\MH</v>
      </c>
      <c r="BT88" t="str">
        <f>IF(Prep!$R$10="","X","")</f>
        <v/>
      </c>
      <c r="BV88" s="30" t="s">
        <v>546</v>
      </c>
      <c r="BY88" s="42"/>
      <c r="CB88" s="42"/>
      <c r="CE88" s="30"/>
      <c r="CH88" s="42"/>
      <c r="CN88" s="30"/>
      <c r="CP88" t="s">
        <v>12</v>
      </c>
      <c r="CQ88" s="40"/>
      <c r="CR88" s="30"/>
    </row>
    <row r="89" spans="2:96" x14ac:dyDescent="0.35">
      <c r="B89" s="4" t="str">
        <f t="shared" si="62"/>
        <v>FANUC_SxxRyy</v>
      </c>
      <c r="C89" s="4"/>
      <c r="D89" s="4" t="str">
        <f t="shared" si="63"/>
        <v>From_SNS_PART10_PartPresent</v>
      </c>
      <c r="E89" s="4" t="str">
        <f t="shared" si="64"/>
        <v>SNS_SxxRyy_PART10_PartPresent</v>
      </c>
      <c r="F89" s="4" t="str">
        <f t="shared" si="65"/>
        <v>I</v>
      </c>
      <c r="G89" s="4" t="str">
        <f t="shared" si="66"/>
        <v/>
      </c>
      <c r="H89" s="4" t="str">
        <f t="shared" si="67"/>
        <v/>
      </c>
      <c r="I89" s="4" t="str">
        <f t="shared" ca="1" si="68"/>
        <v/>
      </c>
      <c r="J89" s="4"/>
      <c r="K89" s="56" t="str">
        <f t="shared" si="69"/>
        <v>BOOL</v>
      </c>
      <c r="L89" s="56" t="str">
        <f t="shared" si="4"/>
        <v>ROBOTS\SxxRyy</v>
      </c>
      <c r="M89" s="56" t="str">
        <f t="shared" si="5"/>
        <v>STELLANTIS\Common\ToolPrototype\Robots</v>
      </c>
      <c r="N89" s="56" t="str">
        <f t="shared" si="6"/>
        <v>STELLANTIS_DN_FANUC_ROBOT_128_BIT_INTEGRATED_SAFETY_SxxRyy.v00</v>
      </c>
      <c r="O89" s="56" t="str">
        <f t="shared" ca="1" si="70"/>
        <v>assets\SNS_ProxSwitch30mm</v>
      </c>
      <c r="P89" s="56" t="str">
        <f t="shared" si="71"/>
        <v>PART10</v>
      </c>
      <c r="Q89" s="56" t="str">
        <f t="shared" si="72"/>
        <v>ROBOTS\SxxRyy</v>
      </c>
      <c r="R89" s="56" t="str">
        <f t="shared" si="73"/>
        <v>PHOTOELECTRIC</v>
      </c>
      <c r="S89" s="56" t="str">
        <f t="shared" si="74"/>
        <v/>
      </c>
      <c r="T89" s="56" t="str">
        <f t="shared" si="75"/>
        <v/>
      </c>
      <c r="U89" s="56" t="str">
        <f t="shared" si="76"/>
        <v/>
      </c>
      <c r="V89" s="56" t="str">
        <f t="shared" si="77"/>
        <v/>
      </c>
      <c r="W89" s="56"/>
      <c r="X89" s="56"/>
      <c r="Y89" s="56"/>
      <c r="Z89" s="56" t="str">
        <f t="shared" si="78"/>
        <v/>
      </c>
      <c r="AA89" s="56" t="str">
        <f t="shared" si="79"/>
        <v/>
      </c>
      <c r="AB89" s="56" t="str">
        <f t="shared" si="9"/>
        <v>ToolPrototype</v>
      </c>
      <c r="AC89" s="56" t="str">
        <f t="shared" si="80"/>
        <v>Optional</v>
      </c>
      <c r="AD89" s="56" t="str">
        <f t="shared" si="10"/>
        <v>&lt;device&gt;
&lt;name&gt;SxxRyy&lt;/name&gt;
&lt;type&gt;FCA_DN_FANUC&lt;/type&gt;
&lt;deviceNetwork&gt;201&lt;/deviceNetwork&gt;
&lt;deviceNode&gt;56&lt;/deviceNode&gt;
&lt;/device&gt;</v>
      </c>
      <c r="AE89" s="56" t="str">
        <f t="shared" si="11"/>
        <v/>
      </c>
      <c r="AF89" s="56" t="str">
        <f t="shared" si="12"/>
        <v/>
      </c>
      <c r="AG89" s="56" t="str">
        <f t="shared" si="13"/>
        <v/>
      </c>
      <c r="AH89" s="56" t="str">
        <f t="shared" si="14"/>
        <v/>
      </c>
      <c r="AI89" s="56" t="str">
        <f t="shared" si="15"/>
        <v/>
      </c>
      <c r="AJ89" s="56" t="str">
        <f t="shared" si="16"/>
        <v/>
      </c>
      <c r="AK89" s="56" t="str">
        <f t="shared" si="17"/>
        <v/>
      </c>
      <c r="AL89" s="56" t="str">
        <f t="shared" si="18"/>
        <v/>
      </c>
      <c r="AM89" s="56" t="str">
        <f t="shared" si="19"/>
        <v/>
      </c>
      <c r="AN89" s="56" t="str">
        <f t="shared" si="81"/>
        <v/>
      </c>
      <c r="AO89" s="56" t="str">
        <f t="shared" si="82"/>
        <v>ROBOTS:SxxRyy\MH|ROBOTS_NOPLC:SxxRyy\MH</v>
      </c>
      <c r="AP89" s="56" t="str">
        <f t="shared" si="83"/>
        <v>SNS</v>
      </c>
      <c r="AQ89" s="56" t="str">
        <f t="shared" si="84"/>
        <v>ENTRY</v>
      </c>
      <c r="AR89" s="39" t="s">
        <v>130</v>
      </c>
      <c r="AT89" s="44" t="str">
        <f t="shared" si="85"/>
        <v>BOOL</v>
      </c>
      <c r="AU89" s="23" t="str">
        <f t="shared" si="86"/>
        <v/>
      </c>
      <c r="AV89" s="23" t="str">
        <f t="shared" si="87"/>
        <v/>
      </c>
      <c r="AW89" s="23" t="str">
        <f t="shared" si="88"/>
        <v/>
      </c>
      <c r="AX89" s="23" t="str">
        <f t="shared" si="89"/>
        <v/>
      </c>
      <c r="AY89" s="36" t="str">
        <f t="shared" si="90"/>
        <v/>
      </c>
      <c r="BB89" s="42" t="s">
        <v>15</v>
      </c>
      <c r="BC89" t="s">
        <v>104</v>
      </c>
      <c r="BD89" t="str">
        <f>Header_LB_Unique_ID&amp;"_"&amp;SUBSTITUTE(Prep!$R$11,"|","_")</f>
        <v>SxxRyy_PART10</v>
      </c>
      <c r="BE89" t="s">
        <v>401</v>
      </c>
      <c r="BF89" t="str">
        <f t="shared" ca="1" si="91"/>
        <v>assets\SNS_ProxSwitch30mm</v>
      </c>
      <c r="BG89" t="str">
        <f>Prep!$R$11</f>
        <v>PART10</v>
      </c>
      <c r="BS89" t="str">
        <f t="shared" si="92"/>
        <v>ROBOTS:SxxRyy\MH|ROBOTS_NOPLC:SxxRyy\MH</v>
      </c>
      <c r="BT89" t="str">
        <f>IF(Prep!$R$11="","X","")</f>
        <v/>
      </c>
      <c r="BV89" s="30" t="s">
        <v>546</v>
      </c>
      <c r="BY89" s="42"/>
      <c r="CB89" s="42"/>
      <c r="CE89" s="30"/>
      <c r="CH89" s="42"/>
      <c r="CN89" s="30"/>
      <c r="CP89" t="s">
        <v>12</v>
      </c>
      <c r="CQ89" s="40"/>
      <c r="CR89" s="30"/>
    </row>
    <row r="90" spans="2:96" x14ac:dyDescent="0.35">
      <c r="B90" s="4" t="str">
        <f t="shared" si="62"/>
        <v>FANUC_SxxRyy</v>
      </c>
      <c r="C90" s="4"/>
      <c r="D90" s="4" t="str">
        <f t="shared" si="63"/>
        <v>From_SNS_PART11_PartPresent</v>
      </c>
      <c r="E90" s="4" t="str">
        <f t="shared" si="64"/>
        <v>SNS_SxxRyy_PART11_PartPresent</v>
      </c>
      <c r="F90" s="4" t="str">
        <f t="shared" si="65"/>
        <v>I</v>
      </c>
      <c r="G90" s="4" t="str">
        <f t="shared" si="66"/>
        <v/>
      </c>
      <c r="H90" s="4" t="str">
        <f t="shared" si="67"/>
        <v/>
      </c>
      <c r="I90" s="4" t="str">
        <f t="shared" ca="1" si="68"/>
        <v/>
      </c>
      <c r="J90" s="4"/>
      <c r="K90" s="56" t="str">
        <f t="shared" si="69"/>
        <v>BOOL</v>
      </c>
      <c r="L90" s="56" t="str">
        <f t="shared" si="4"/>
        <v>ROBOTS\SxxRyy</v>
      </c>
      <c r="M90" s="56" t="str">
        <f t="shared" si="5"/>
        <v>STELLANTIS\Common\ToolPrototype\Robots</v>
      </c>
      <c r="N90" s="56" t="str">
        <f t="shared" si="6"/>
        <v>STELLANTIS_DN_FANUC_ROBOT_128_BIT_INTEGRATED_SAFETY_SxxRyy.v00</v>
      </c>
      <c r="O90" s="56" t="str">
        <f t="shared" ca="1" si="70"/>
        <v>assets\SNS_ProxSwitch30mm</v>
      </c>
      <c r="P90" s="56" t="str">
        <f t="shared" si="71"/>
        <v>PART11</v>
      </c>
      <c r="Q90" s="56" t="str">
        <f t="shared" si="72"/>
        <v>ROBOTS\SxxRyy</v>
      </c>
      <c r="R90" s="56" t="str">
        <f t="shared" si="73"/>
        <v>PHOTOELECTRIC</v>
      </c>
      <c r="S90" s="56" t="str">
        <f t="shared" si="74"/>
        <v/>
      </c>
      <c r="T90" s="56" t="str">
        <f t="shared" si="75"/>
        <v/>
      </c>
      <c r="U90" s="56" t="str">
        <f t="shared" si="76"/>
        <v/>
      </c>
      <c r="V90" s="56" t="str">
        <f t="shared" si="77"/>
        <v/>
      </c>
      <c r="W90" s="56"/>
      <c r="X90" s="56"/>
      <c r="Y90" s="56"/>
      <c r="Z90" s="56" t="str">
        <f t="shared" si="78"/>
        <v/>
      </c>
      <c r="AA90" s="56" t="str">
        <f t="shared" si="79"/>
        <v/>
      </c>
      <c r="AB90" s="56" t="str">
        <f t="shared" si="9"/>
        <v>ToolPrototype</v>
      </c>
      <c r="AC90" s="56" t="str">
        <f t="shared" si="80"/>
        <v>Optional</v>
      </c>
      <c r="AD90" s="56" t="str">
        <f t="shared" si="10"/>
        <v>&lt;device&gt;
&lt;name&gt;SxxRyy&lt;/name&gt;
&lt;type&gt;FCA_DN_FANUC&lt;/type&gt;
&lt;deviceNetwork&gt;201&lt;/deviceNetwork&gt;
&lt;deviceNode&gt;56&lt;/deviceNode&gt;
&lt;/device&gt;</v>
      </c>
      <c r="AE90" s="56" t="str">
        <f t="shared" si="11"/>
        <v/>
      </c>
      <c r="AF90" s="56" t="str">
        <f t="shared" si="12"/>
        <v/>
      </c>
      <c r="AG90" s="56" t="str">
        <f t="shared" si="13"/>
        <v/>
      </c>
      <c r="AH90" s="56" t="str">
        <f t="shared" si="14"/>
        <v/>
      </c>
      <c r="AI90" s="56" t="str">
        <f t="shared" si="15"/>
        <v/>
      </c>
      <c r="AJ90" s="56" t="str">
        <f t="shared" si="16"/>
        <v/>
      </c>
      <c r="AK90" s="56" t="str">
        <f t="shared" si="17"/>
        <v/>
      </c>
      <c r="AL90" s="56" t="str">
        <f t="shared" si="18"/>
        <v/>
      </c>
      <c r="AM90" s="56" t="str">
        <f t="shared" si="19"/>
        <v/>
      </c>
      <c r="AN90" s="56" t="str">
        <f t="shared" si="81"/>
        <v/>
      </c>
      <c r="AO90" s="56" t="str">
        <f t="shared" si="82"/>
        <v>ROBOTS:SxxRyy\MH|ROBOTS_NOPLC:SxxRyy\MH</v>
      </c>
      <c r="AP90" s="56" t="str">
        <f t="shared" si="83"/>
        <v>SNS</v>
      </c>
      <c r="AQ90" s="56" t="str">
        <f t="shared" si="84"/>
        <v>ENTRY</v>
      </c>
      <c r="AR90" s="39" t="s">
        <v>130</v>
      </c>
      <c r="AT90" s="44" t="str">
        <f t="shared" si="85"/>
        <v>BOOL</v>
      </c>
      <c r="AU90" s="23" t="str">
        <f t="shared" si="86"/>
        <v/>
      </c>
      <c r="AV90" s="23" t="str">
        <f t="shared" si="87"/>
        <v/>
      </c>
      <c r="AW90" s="23" t="str">
        <f t="shared" si="88"/>
        <v/>
      </c>
      <c r="AX90" s="23" t="str">
        <f t="shared" si="89"/>
        <v/>
      </c>
      <c r="AY90" s="36" t="str">
        <f t="shared" si="90"/>
        <v/>
      </c>
      <c r="BB90" s="42" t="s">
        <v>15</v>
      </c>
      <c r="BC90" t="s">
        <v>104</v>
      </c>
      <c r="BD90" t="str">
        <f>Header_LB_Unique_ID&amp;"_"&amp;SUBSTITUTE(Prep!$R$12,"|","_")</f>
        <v>SxxRyy_PART11</v>
      </c>
      <c r="BE90" t="s">
        <v>402</v>
      </c>
      <c r="BF90" t="str">
        <f t="shared" ca="1" si="91"/>
        <v>assets\SNS_ProxSwitch30mm</v>
      </c>
      <c r="BG90" t="str">
        <f>Prep!$R$12</f>
        <v>PART11</v>
      </c>
      <c r="BS90" t="str">
        <f t="shared" si="92"/>
        <v>ROBOTS:SxxRyy\MH|ROBOTS_NOPLC:SxxRyy\MH</v>
      </c>
      <c r="BT90" t="str">
        <f>IF(Prep!$R$12="","X","")</f>
        <v/>
      </c>
      <c r="BV90" s="30" t="s">
        <v>546</v>
      </c>
      <c r="BY90" s="42"/>
      <c r="CB90" s="42"/>
      <c r="CE90" s="30"/>
      <c r="CH90" s="42"/>
      <c r="CN90" s="30"/>
      <c r="CP90" t="s">
        <v>12</v>
      </c>
      <c r="CQ90" s="40"/>
      <c r="CR90" s="30"/>
    </row>
    <row r="91" spans="2:96" x14ac:dyDescent="0.35">
      <c r="B91" s="4" t="str">
        <f t="shared" si="62"/>
        <v>FANUC_SxxRyy</v>
      </c>
      <c r="C91" s="4"/>
      <c r="D91" s="4" t="str">
        <f t="shared" si="63"/>
        <v>From_SNS_PART12_PartPresent</v>
      </c>
      <c r="E91" s="4" t="str">
        <f t="shared" si="64"/>
        <v>SNS_SxxRyy_PART12abcdefg_PartPresent</v>
      </c>
      <c r="F91" s="4" t="str">
        <f t="shared" si="65"/>
        <v>I</v>
      </c>
      <c r="G91" s="4" t="str">
        <f t="shared" si="66"/>
        <v/>
      </c>
      <c r="H91" s="4" t="str">
        <f t="shared" si="67"/>
        <v/>
      </c>
      <c r="I91" s="4" t="str">
        <f t="shared" ca="1" si="68"/>
        <v/>
      </c>
      <c r="J91" s="4"/>
      <c r="K91" s="56" t="str">
        <f t="shared" si="69"/>
        <v>BOOL</v>
      </c>
      <c r="L91" s="56" t="str">
        <f t="shared" si="4"/>
        <v>ROBOTS\SxxRyy</v>
      </c>
      <c r="M91" s="56" t="str">
        <f t="shared" si="5"/>
        <v>STELLANTIS\Common\ToolPrototype\Robots</v>
      </c>
      <c r="N91" s="56" t="str">
        <f t="shared" si="6"/>
        <v>STELLANTIS_DN_FANUC_ROBOT_128_BIT_INTEGRATED_SAFETY_SxxRyy.v00</v>
      </c>
      <c r="O91" s="56" t="str">
        <f t="shared" ca="1" si="70"/>
        <v>assets\SNS_ProxSwitch30mm</v>
      </c>
      <c r="P91" s="56" t="str">
        <f t="shared" si="71"/>
        <v>PART12abcdefg</v>
      </c>
      <c r="Q91" s="56" t="str">
        <f t="shared" si="72"/>
        <v>ROBOTS\SxxRyy</v>
      </c>
      <c r="R91" s="56" t="str">
        <f t="shared" si="73"/>
        <v>PHOTOELECTRIC</v>
      </c>
      <c r="S91" s="56" t="str">
        <f t="shared" si="74"/>
        <v/>
      </c>
      <c r="T91" s="56" t="str">
        <f t="shared" si="75"/>
        <v/>
      </c>
      <c r="U91" s="56" t="str">
        <f t="shared" si="76"/>
        <v/>
      </c>
      <c r="V91" s="56" t="str">
        <f t="shared" si="77"/>
        <v/>
      </c>
      <c r="W91" s="56"/>
      <c r="X91" s="56"/>
      <c r="Y91" s="56"/>
      <c r="Z91" s="56" t="str">
        <f t="shared" si="78"/>
        <v/>
      </c>
      <c r="AA91" s="56" t="str">
        <f t="shared" si="79"/>
        <v/>
      </c>
      <c r="AB91" s="56" t="str">
        <f t="shared" si="9"/>
        <v>ToolPrototype</v>
      </c>
      <c r="AC91" s="56" t="str">
        <f t="shared" si="80"/>
        <v>Optional</v>
      </c>
      <c r="AD91" s="56" t="str">
        <f t="shared" si="10"/>
        <v>&lt;device&gt;
&lt;name&gt;SxxRyy&lt;/name&gt;
&lt;type&gt;FCA_DN_FANUC&lt;/type&gt;
&lt;deviceNetwork&gt;201&lt;/deviceNetwork&gt;
&lt;deviceNode&gt;56&lt;/deviceNode&gt;
&lt;/device&gt;</v>
      </c>
      <c r="AE91" s="56" t="str">
        <f t="shared" si="11"/>
        <v/>
      </c>
      <c r="AF91" s="56" t="str">
        <f t="shared" si="12"/>
        <v/>
      </c>
      <c r="AG91" s="56" t="str">
        <f t="shared" si="13"/>
        <v/>
      </c>
      <c r="AH91" s="56" t="str">
        <f t="shared" si="14"/>
        <v/>
      </c>
      <c r="AI91" s="56" t="str">
        <f t="shared" si="15"/>
        <v/>
      </c>
      <c r="AJ91" s="56" t="str">
        <f t="shared" si="16"/>
        <v/>
      </c>
      <c r="AK91" s="56" t="str">
        <f t="shared" si="17"/>
        <v/>
      </c>
      <c r="AL91" s="56" t="str">
        <f t="shared" si="18"/>
        <v/>
      </c>
      <c r="AM91" s="56" t="str">
        <f t="shared" si="19"/>
        <v/>
      </c>
      <c r="AN91" s="56" t="str">
        <f t="shared" si="81"/>
        <v/>
      </c>
      <c r="AO91" s="56" t="str">
        <f t="shared" si="82"/>
        <v>ROBOTS:SxxRyy\MH|ROBOTS_NOPLC:SxxRyy\MH</v>
      </c>
      <c r="AP91" s="56" t="str">
        <f t="shared" si="83"/>
        <v>SNS</v>
      </c>
      <c r="AQ91" s="56" t="str">
        <f t="shared" si="84"/>
        <v>ENTRY</v>
      </c>
      <c r="AR91" s="39" t="s">
        <v>130</v>
      </c>
      <c r="AT91" s="44" t="str">
        <f t="shared" si="85"/>
        <v>BOOL</v>
      </c>
      <c r="AU91" s="23" t="str">
        <f t="shared" si="86"/>
        <v/>
      </c>
      <c r="AV91" s="23" t="str">
        <f t="shared" si="87"/>
        <v/>
      </c>
      <c r="AW91" s="23" t="str">
        <f t="shared" si="88"/>
        <v/>
      </c>
      <c r="AX91" s="23" t="str">
        <f t="shared" si="89"/>
        <v/>
      </c>
      <c r="AY91" s="36" t="str">
        <f t="shared" si="90"/>
        <v/>
      </c>
      <c r="BB91" s="42" t="s">
        <v>15</v>
      </c>
      <c r="BC91" t="s">
        <v>104</v>
      </c>
      <c r="BD91" t="str">
        <f>Header_LB_Unique_ID&amp;"_"&amp;SUBSTITUTE(Prep!$R$13,"|","_")</f>
        <v>SxxRyy_PART12abcdefg</v>
      </c>
      <c r="BE91" t="s">
        <v>403</v>
      </c>
      <c r="BF91" t="str">
        <f t="shared" ca="1" si="91"/>
        <v>assets\SNS_ProxSwitch30mm</v>
      </c>
      <c r="BG91" t="str">
        <f>Prep!$R$13</f>
        <v>PART12abcdefg</v>
      </c>
      <c r="BS91" t="str">
        <f t="shared" si="92"/>
        <v>ROBOTS:SxxRyy\MH|ROBOTS_NOPLC:SxxRyy\MH</v>
      </c>
      <c r="BT91" t="str">
        <f>IF(Prep!$R$13="","X","")</f>
        <v/>
      </c>
      <c r="BV91" s="30" t="s">
        <v>546</v>
      </c>
      <c r="BY91" s="42"/>
      <c r="CB91" s="42"/>
      <c r="CE91" s="30"/>
      <c r="CH91" s="42"/>
      <c r="CN91" s="30"/>
      <c r="CP91" t="s">
        <v>12</v>
      </c>
      <c r="CQ91" s="40"/>
      <c r="CR91" s="30"/>
    </row>
    <row r="92" spans="2:96" x14ac:dyDescent="0.35">
      <c r="B92" s="4" t="str">
        <f t="shared" si="62"/>
        <v>FANUC_SxxRyy</v>
      </c>
      <c r="C92" s="4"/>
      <c r="D92" s="4" t="str">
        <f t="shared" si="63"/>
        <v>From_SNS_EOAT00_NONE_PartPresent</v>
      </c>
      <c r="E92" s="4" t="str">
        <f t="shared" si="64"/>
        <v>SNS_SxxRyy_EOAT00_NONE_PartPresent</v>
      </c>
      <c r="F92" s="4" t="str">
        <f t="shared" si="65"/>
        <v>I</v>
      </c>
      <c r="G92" s="4" t="str">
        <f t="shared" si="66"/>
        <v/>
      </c>
      <c r="H92" s="4" t="str">
        <f t="shared" si="67"/>
        <v/>
      </c>
      <c r="I92" s="4" t="str">
        <f t="shared" ca="1" si="68"/>
        <v/>
      </c>
      <c r="J92" s="4"/>
      <c r="K92" s="56" t="str">
        <f t="shared" si="69"/>
        <v>BOOL</v>
      </c>
      <c r="L92" s="56" t="str">
        <f t="shared" si="4"/>
        <v>ROBOTS\SxxRyy</v>
      </c>
      <c r="M92" s="56" t="str">
        <f t="shared" si="5"/>
        <v>STELLANTIS\Common\ToolPrototype\Robots</v>
      </c>
      <c r="N92" s="56" t="str">
        <f t="shared" si="6"/>
        <v>STELLANTIS_DN_FANUC_ROBOT_128_BIT_INTEGRATED_SAFETY_SxxRyy.v00</v>
      </c>
      <c r="O92" s="56" t="str">
        <f t="shared" ca="1" si="70"/>
        <v>assets\SNS_ProxSwitch30mm</v>
      </c>
      <c r="P92" s="56" t="str">
        <f t="shared" si="71"/>
        <v/>
      </c>
      <c r="Q92" s="56" t="str">
        <f t="shared" si="72"/>
        <v>ROBOTS\SxxRyy</v>
      </c>
      <c r="R92" s="56" t="str">
        <f t="shared" si="73"/>
        <v>PHOTOELECTRIC</v>
      </c>
      <c r="S92" s="56" t="str">
        <f t="shared" si="74"/>
        <v/>
      </c>
      <c r="T92" s="56" t="str">
        <f t="shared" si="75"/>
        <v/>
      </c>
      <c r="U92" s="56" t="str">
        <f t="shared" si="76"/>
        <v/>
      </c>
      <c r="V92" s="56" t="str">
        <f t="shared" si="77"/>
        <v/>
      </c>
      <c r="W92" s="56"/>
      <c r="X92" s="56"/>
      <c r="Y92" s="56"/>
      <c r="Z92" s="56" t="str">
        <f t="shared" si="78"/>
        <v/>
      </c>
      <c r="AA92" s="56" t="str">
        <f t="shared" si="79"/>
        <v/>
      </c>
      <c r="AB92" s="56" t="str">
        <f t="shared" si="9"/>
        <v>ToolPrototype</v>
      </c>
      <c r="AC92" s="56" t="str">
        <f t="shared" si="80"/>
        <v>Optional</v>
      </c>
      <c r="AD92" s="56" t="str">
        <f t="shared" si="10"/>
        <v>&lt;device&gt;
&lt;name&gt;SxxRyy&lt;/name&gt;
&lt;type&gt;FCA_DN_FANUC&lt;/type&gt;
&lt;deviceNetwork&gt;201&lt;/deviceNetwork&gt;
&lt;deviceNode&gt;56&lt;/deviceNode&gt;
&lt;/device&gt;</v>
      </c>
      <c r="AE92" s="56" t="str">
        <f t="shared" si="11"/>
        <v/>
      </c>
      <c r="AF92" s="56" t="str">
        <f t="shared" si="12"/>
        <v/>
      </c>
      <c r="AG92" s="56" t="str">
        <f t="shared" si="13"/>
        <v/>
      </c>
      <c r="AH92" s="56" t="str">
        <f t="shared" si="14"/>
        <v/>
      </c>
      <c r="AI92" s="56" t="str">
        <f t="shared" si="15"/>
        <v/>
      </c>
      <c r="AJ92" s="56" t="str">
        <f t="shared" si="16"/>
        <v/>
      </c>
      <c r="AK92" s="56" t="str">
        <f t="shared" si="17"/>
        <v/>
      </c>
      <c r="AL92" s="56" t="str">
        <f t="shared" si="18"/>
        <v/>
      </c>
      <c r="AM92" s="56" t="str">
        <f t="shared" si="19"/>
        <v/>
      </c>
      <c r="AN92" s="56" t="str">
        <f t="shared" si="81"/>
        <v/>
      </c>
      <c r="AO92" s="56" t="str">
        <f t="shared" si="82"/>
        <v>ROBOTS:SxxRyy\MH|ROBOTS_NOPLC:SxxRyy\MH</v>
      </c>
      <c r="AP92" s="56" t="str">
        <f t="shared" si="83"/>
        <v>SNS</v>
      </c>
      <c r="AQ92" s="56" t="str">
        <f t="shared" si="84"/>
        <v>ENTRY</v>
      </c>
      <c r="AR92" s="39" t="s">
        <v>130</v>
      </c>
      <c r="AT92" s="44" t="str">
        <f t="shared" si="85"/>
        <v>BOOL</v>
      </c>
      <c r="AU92" s="23" t="str">
        <f t="shared" si="86"/>
        <v/>
      </c>
      <c r="AV92" s="23" t="str">
        <f t="shared" si="87"/>
        <v/>
      </c>
      <c r="AW92" s="23" t="str">
        <f t="shared" si="88"/>
        <v/>
      </c>
      <c r="AX92" s="23" t="str">
        <f t="shared" si="89"/>
        <v/>
      </c>
      <c r="AY92" s="36" t="str">
        <f t="shared" si="90"/>
        <v/>
      </c>
      <c r="BB92" s="42" t="s">
        <v>15</v>
      </c>
      <c r="BC92" t="s">
        <v>104</v>
      </c>
      <c r="BD92" t="str">
        <f t="shared" ref="BD92:BD99" si="93">Header_LB_Unique_ID&amp;"_"&amp;BE92</f>
        <v>SxxRyy_EOAT00_NONE</v>
      </c>
      <c r="BE92" t="s">
        <v>404</v>
      </c>
      <c r="BF92" t="str">
        <f t="shared" ref="BF92:BF99" ca="1" si="94">Header_PLC_Zone&amp;"\SNS_ProxSwitch30mm"</f>
        <v>assets\SNS_ProxSwitch30mm</v>
      </c>
      <c r="BS92" t="str">
        <f t="shared" si="92"/>
        <v>ROBOTS:SxxRyy\MH|ROBOTS_NOPLC:SxxRyy\MH</v>
      </c>
      <c r="BT92" t="str">
        <f>Prep!$L$5</f>
        <v/>
      </c>
      <c r="BV92" s="30" t="s">
        <v>546</v>
      </c>
      <c r="BY92" s="42"/>
      <c r="CB92" s="42"/>
      <c r="CE92" s="30"/>
      <c r="CH92" s="42"/>
      <c r="CN92" s="30"/>
      <c r="CP92" t="s">
        <v>12</v>
      </c>
      <c r="CQ92" s="40"/>
      <c r="CR92" s="30"/>
    </row>
    <row r="93" spans="2:96" x14ac:dyDescent="0.35">
      <c r="B93" s="4" t="str">
        <f t="shared" si="62"/>
        <v>FANUC_SxxRyy</v>
      </c>
      <c r="C93" s="4"/>
      <c r="D93" s="4" t="str">
        <f t="shared" si="63"/>
        <v>From_SNS_EOAT01_PartPresent</v>
      </c>
      <c r="E93" s="4" t="str">
        <f t="shared" si="64"/>
        <v>SNS_SxxRyy_EOAT01_PartPresent</v>
      </c>
      <c r="F93" s="4" t="str">
        <f t="shared" si="65"/>
        <v>I</v>
      </c>
      <c r="G93" s="4" t="str">
        <f t="shared" si="66"/>
        <v/>
      </c>
      <c r="H93" s="4" t="str">
        <f t="shared" si="67"/>
        <v/>
      </c>
      <c r="I93" s="4" t="str">
        <f t="shared" ca="1" si="68"/>
        <v/>
      </c>
      <c r="J93" s="4"/>
      <c r="K93" s="56" t="str">
        <f t="shared" si="69"/>
        <v>BOOL</v>
      </c>
      <c r="L93" s="56" t="str">
        <f t="shared" si="4"/>
        <v>ROBOTS\SxxRyy</v>
      </c>
      <c r="M93" s="56" t="str">
        <f t="shared" si="5"/>
        <v>STELLANTIS\Common\ToolPrototype\Robots</v>
      </c>
      <c r="N93" s="56" t="str">
        <f t="shared" si="6"/>
        <v>STELLANTIS_DN_FANUC_ROBOT_128_BIT_INTEGRATED_SAFETY_SxxRyy.v00</v>
      </c>
      <c r="O93" s="56" t="str">
        <f t="shared" ca="1" si="70"/>
        <v>assets\SNS_ProxSwitch30mm</v>
      </c>
      <c r="P93" s="56" t="str">
        <f t="shared" si="71"/>
        <v/>
      </c>
      <c r="Q93" s="56" t="str">
        <f t="shared" si="72"/>
        <v>ROBOTS\SxxRyy</v>
      </c>
      <c r="R93" s="56" t="str">
        <f t="shared" si="73"/>
        <v>PHOTOELECTRIC</v>
      </c>
      <c r="S93" s="56" t="str">
        <f t="shared" si="74"/>
        <v/>
      </c>
      <c r="T93" s="56" t="str">
        <f t="shared" si="75"/>
        <v/>
      </c>
      <c r="U93" s="56" t="str">
        <f t="shared" si="76"/>
        <v/>
      </c>
      <c r="V93" s="56" t="str">
        <f t="shared" si="77"/>
        <v/>
      </c>
      <c r="W93" s="56"/>
      <c r="X93" s="56"/>
      <c r="Y93" s="56"/>
      <c r="Z93" s="56" t="str">
        <f t="shared" si="78"/>
        <v/>
      </c>
      <c r="AA93" s="56" t="str">
        <f t="shared" si="79"/>
        <v/>
      </c>
      <c r="AB93" s="56" t="str">
        <f t="shared" si="9"/>
        <v>ToolPrototype</v>
      </c>
      <c r="AC93" s="56" t="str">
        <f t="shared" si="80"/>
        <v>Optional</v>
      </c>
      <c r="AD93" s="56" t="str">
        <f t="shared" si="10"/>
        <v>&lt;device&gt;
&lt;name&gt;SxxRyy&lt;/name&gt;
&lt;type&gt;FCA_DN_FANUC&lt;/type&gt;
&lt;deviceNetwork&gt;201&lt;/deviceNetwork&gt;
&lt;deviceNode&gt;56&lt;/deviceNode&gt;
&lt;/device&gt;</v>
      </c>
      <c r="AE93" s="56" t="str">
        <f t="shared" si="11"/>
        <v/>
      </c>
      <c r="AF93" s="56" t="str">
        <f t="shared" si="12"/>
        <v/>
      </c>
      <c r="AG93" s="56" t="str">
        <f t="shared" si="13"/>
        <v/>
      </c>
      <c r="AH93" s="56" t="str">
        <f t="shared" si="14"/>
        <v/>
      </c>
      <c r="AI93" s="56" t="str">
        <f t="shared" si="15"/>
        <v/>
      </c>
      <c r="AJ93" s="56" t="str">
        <f t="shared" si="16"/>
        <v/>
      </c>
      <c r="AK93" s="56" t="str">
        <f t="shared" si="17"/>
        <v/>
      </c>
      <c r="AL93" s="56" t="str">
        <f t="shared" si="18"/>
        <v/>
      </c>
      <c r="AM93" s="56" t="str">
        <f t="shared" si="19"/>
        <v/>
      </c>
      <c r="AN93" s="56" t="str">
        <f t="shared" si="81"/>
        <v/>
      </c>
      <c r="AO93" s="56" t="str">
        <f t="shared" si="82"/>
        <v>ROBOTS:SxxRyy\MH|ROBOTS_NOPLC:SxxRyy\MH</v>
      </c>
      <c r="AP93" s="56" t="str">
        <f t="shared" si="83"/>
        <v>SNS</v>
      </c>
      <c r="AQ93" s="56" t="str">
        <f t="shared" si="84"/>
        <v>ENTRY</v>
      </c>
      <c r="AR93" s="39" t="s">
        <v>130</v>
      </c>
      <c r="AT93" s="44" t="str">
        <f t="shared" si="85"/>
        <v>BOOL</v>
      </c>
      <c r="AU93" s="23" t="str">
        <f t="shared" si="86"/>
        <v/>
      </c>
      <c r="AV93" s="23" t="str">
        <f t="shared" si="87"/>
        <v/>
      </c>
      <c r="AW93" s="23" t="str">
        <f t="shared" si="88"/>
        <v/>
      </c>
      <c r="AX93" s="23" t="str">
        <f t="shared" si="89"/>
        <v/>
      </c>
      <c r="AY93" s="36" t="str">
        <f t="shared" si="90"/>
        <v/>
      </c>
      <c r="BB93" s="42" t="s">
        <v>15</v>
      </c>
      <c r="BC93" t="s">
        <v>104</v>
      </c>
      <c r="BD93" t="str">
        <f t="shared" si="93"/>
        <v>SxxRyy_EOAT01</v>
      </c>
      <c r="BE93" t="s">
        <v>405</v>
      </c>
      <c r="BF93" t="str">
        <f t="shared" ca="1" si="94"/>
        <v>assets\SNS_ProxSwitch30mm</v>
      </c>
      <c r="BS93" t="str">
        <f t="shared" si="92"/>
        <v>ROBOTS:SxxRyy\MH|ROBOTS_NOPLC:SxxRyy\MH</v>
      </c>
      <c r="BT93" t="str">
        <f>IF(VALUE(Header_Config14)&gt;0,Prep!$L$5,"X")</f>
        <v/>
      </c>
      <c r="BV93" s="30" t="s">
        <v>546</v>
      </c>
      <c r="BY93" s="42"/>
      <c r="CB93" s="42"/>
      <c r="CE93" s="30"/>
      <c r="CH93" s="42"/>
      <c r="CN93" s="30"/>
      <c r="CP93" t="s">
        <v>12</v>
      </c>
      <c r="CQ93" s="40"/>
      <c r="CR93" s="30"/>
    </row>
    <row r="94" spans="2:96" x14ac:dyDescent="0.35">
      <c r="B94" s="4" t="str">
        <f t="shared" si="62"/>
        <v>FANUC_SxxRyy</v>
      </c>
      <c r="C94" s="4"/>
      <c r="D94" s="4" t="str">
        <f t="shared" si="63"/>
        <v>From_SNS_EOAT02_PartPresent</v>
      </c>
      <c r="E94" s="4" t="str">
        <f t="shared" si="64"/>
        <v>SNS_SxxRyy_EOAT02_PartPresent</v>
      </c>
      <c r="F94" s="4" t="str">
        <f t="shared" si="65"/>
        <v>I</v>
      </c>
      <c r="G94" s="4" t="str">
        <f t="shared" si="66"/>
        <v/>
      </c>
      <c r="H94" s="4" t="str">
        <f t="shared" si="67"/>
        <v/>
      </c>
      <c r="I94" s="4" t="str">
        <f t="shared" ca="1" si="68"/>
        <v/>
      </c>
      <c r="J94" s="4"/>
      <c r="K94" s="56" t="str">
        <f t="shared" si="69"/>
        <v>BOOL</v>
      </c>
      <c r="L94" s="56" t="str">
        <f t="shared" si="4"/>
        <v>ROBOTS\SxxRyy</v>
      </c>
      <c r="M94" s="56" t="str">
        <f t="shared" si="5"/>
        <v>STELLANTIS\Common\ToolPrototype\Robots</v>
      </c>
      <c r="N94" s="56" t="str">
        <f t="shared" si="6"/>
        <v>STELLANTIS_DN_FANUC_ROBOT_128_BIT_INTEGRATED_SAFETY_SxxRyy.v00</v>
      </c>
      <c r="O94" s="56" t="str">
        <f t="shared" ca="1" si="70"/>
        <v>assets\SNS_ProxSwitch30mm</v>
      </c>
      <c r="P94" s="56" t="str">
        <f t="shared" si="71"/>
        <v/>
      </c>
      <c r="Q94" s="56" t="str">
        <f t="shared" si="72"/>
        <v>ROBOTS\SxxRyy</v>
      </c>
      <c r="R94" s="56" t="str">
        <f t="shared" si="73"/>
        <v>PHOTOELECTRIC</v>
      </c>
      <c r="S94" s="56" t="str">
        <f t="shared" si="74"/>
        <v/>
      </c>
      <c r="T94" s="56" t="str">
        <f t="shared" si="75"/>
        <v/>
      </c>
      <c r="U94" s="56" t="str">
        <f t="shared" si="76"/>
        <v/>
      </c>
      <c r="V94" s="56" t="str">
        <f t="shared" si="77"/>
        <v/>
      </c>
      <c r="W94" s="56"/>
      <c r="X94" s="56"/>
      <c r="Y94" s="56"/>
      <c r="Z94" s="56" t="str">
        <f t="shared" si="78"/>
        <v/>
      </c>
      <c r="AA94" s="56" t="str">
        <f t="shared" si="79"/>
        <v/>
      </c>
      <c r="AB94" s="56" t="str">
        <f t="shared" si="9"/>
        <v>ToolPrototype</v>
      </c>
      <c r="AC94" s="56" t="str">
        <f t="shared" si="80"/>
        <v>Optional</v>
      </c>
      <c r="AD94" s="56" t="str">
        <f t="shared" si="10"/>
        <v>&lt;device&gt;
&lt;name&gt;SxxRyy&lt;/name&gt;
&lt;type&gt;FCA_DN_FANUC&lt;/type&gt;
&lt;deviceNetwork&gt;201&lt;/deviceNetwork&gt;
&lt;deviceNode&gt;56&lt;/deviceNode&gt;
&lt;/device&gt;</v>
      </c>
      <c r="AE94" s="56" t="str">
        <f t="shared" si="11"/>
        <v/>
      </c>
      <c r="AF94" s="56" t="str">
        <f t="shared" si="12"/>
        <v/>
      </c>
      <c r="AG94" s="56" t="str">
        <f t="shared" si="13"/>
        <v/>
      </c>
      <c r="AH94" s="56" t="str">
        <f t="shared" si="14"/>
        <v/>
      </c>
      <c r="AI94" s="56" t="str">
        <f t="shared" si="15"/>
        <v/>
      </c>
      <c r="AJ94" s="56" t="str">
        <f t="shared" si="16"/>
        <v/>
      </c>
      <c r="AK94" s="56" t="str">
        <f t="shared" si="17"/>
        <v/>
      </c>
      <c r="AL94" s="56" t="str">
        <f t="shared" si="18"/>
        <v/>
      </c>
      <c r="AM94" s="56" t="str">
        <f t="shared" si="19"/>
        <v/>
      </c>
      <c r="AN94" s="56" t="str">
        <f t="shared" si="81"/>
        <v/>
      </c>
      <c r="AO94" s="56" t="str">
        <f t="shared" si="82"/>
        <v>ROBOTS:SxxRyy\MH|ROBOTS_NOPLC:SxxRyy\MH</v>
      </c>
      <c r="AP94" s="56" t="str">
        <f t="shared" si="83"/>
        <v>SNS</v>
      </c>
      <c r="AQ94" s="56" t="str">
        <f t="shared" si="84"/>
        <v>ENTRY</v>
      </c>
      <c r="AR94" s="39" t="s">
        <v>130</v>
      </c>
      <c r="AT94" s="44" t="str">
        <f t="shared" si="85"/>
        <v>BOOL</v>
      </c>
      <c r="AU94" s="23" t="str">
        <f t="shared" si="86"/>
        <v/>
      </c>
      <c r="AV94" s="23" t="str">
        <f t="shared" si="87"/>
        <v/>
      </c>
      <c r="AW94" s="23" t="str">
        <f t="shared" si="88"/>
        <v/>
      </c>
      <c r="AX94" s="23" t="str">
        <f t="shared" si="89"/>
        <v/>
      </c>
      <c r="AY94" s="36" t="str">
        <f t="shared" si="90"/>
        <v/>
      </c>
      <c r="BB94" s="42" t="s">
        <v>15</v>
      </c>
      <c r="BC94" t="s">
        <v>104</v>
      </c>
      <c r="BD94" t="str">
        <f t="shared" si="93"/>
        <v>SxxRyy_EOAT02</v>
      </c>
      <c r="BE94" t="s">
        <v>406</v>
      </c>
      <c r="BF94" t="str">
        <f t="shared" ca="1" si="94"/>
        <v>assets\SNS_ProxSwitch30mm</v>
      </c>
      <c r="BS94" t="str">
        <f t="shared" si="92"/>
        <v>ROBOTS:SxxRyy\MH|ROBOTS_NOPLC:SxxRyy\MH</v>
      </c>
      <c r="BT94" t="str">
        <f>IF(VALUE(Header_Config14)&gt;1,Prep!$L$5,"X")</f>
        <v/>
      </c>
      <c r="BV94" s="30" t="s">
        <v>546</v>
      </c>
      <c r="BY94" s="42"/>
      <c r="CB94" s="42"/>
      <c r="CE94" s="30"/>
      <c r="CH94" s="42"/>
      <c r="CN94" s="30"/>
      <c r="CP94" t="s">
        <v>12</v>
      </c>
      <c r="CQ94" s="40"/>
      <c r="CR94" s="30"/>
    </row>
    <row r="95" spans="2:96" x14ac:dyDescent="0.35">
      <c r="B95" s="4" t="str">
        <f t="shared" si="62"/>
        <v>FANUC_SxxRyy</v>
      </c>
      <c r="C95" s="4"/>
      <c r="D95" s="4" t="str">
        <f t="shared" si="63"/>
        <v>From_SNS_EOAT03_PartPresent</v>
      </c>
      <c r="E95" s="4" t="str">
        <f t="shared" si="64"/>
        <v>SNS_SxxRyy_EOAT03_PartPresent</v>
      </c>
      <c r="F95" s="4" t="str">
        <f t="shared" si="65"/>
        <v>I</v>
      </c>
      <c r="G95" s="4" t="str">
        <f t="shared" si="66"/>
        <v/>
      </c>
      <c r="H95" s="4" t="str">
        <f t="shared" si="67"/>
        <v/>
      </c>
      <c r="I95" s="4" t="str">
        <f t="shared" ca="1" si="68"/>
        <v/>
      </c>
      <c r="J95" s="4"/>
      <c r="K95" s="56" t="str">
        <f t="shared" si="69"/>
        <v>BOOL</v>
      </c>
      <c r="L95" s="56" t="str">
        <f t="shared" si="4"/>
        <v>ROBOTS\SxxRyy</v>
      </c>
      <c r="M95" s="56" t="str">
        <f t="shared" si="5"/>
        <v>STELLANTIS\Common\ToolPrototype\Robots</v>
      </c>
      <c r="N95" s="56" t="str">
        <f t="shared" si="6"/>
        <v>STELLANTIS_DN_FANUC_ROBOT_128_BIT_INTEGRATED_SAFETY_SxxRyy.v00</v>
      </c>
      <c r="O95" s="56" t="str">
        <f t="shared" ca="1" si="70"/>
        <v>assets\SNS_ProxSwitch30mm</v>
      </c>
      <c r="P95" s="56" t="str">
        <f t="shared" si="71"/>
        <v/>
      </c>
      <c r="Q95" s="56" t="str">
        <f t="shared" si="72"/>
        <v>ROBOTS\SxxRyy</v>
      </c>
      <c r="R95" s="56" t="str">
        <f t="shared" si="73"/>
        <v>PHOTOELECTRIC</v>
      </c>
      <c r="S95" s="56" t="str">
        <f t="shared" si="74"/>
        <v/>
      </c>
      <c r="T95" s="56" t="str">
        <f t="shared" si="75"/>
        <v/>
      </c>
      <c r="U95" s="56" t="str">
        <f t="shared" si="76"/>
        <v/>
      </c>
      <c r="V95" s="56" t="str">
        <f t="shared" si="77"/>
        <v/>
      </c>
      <c r="W95" s="56"/>
      <c r="X95" s="56"/>
      <c r="Y95" s="56"/>
      <c r="Z95" s="56" t="str">
        <f t="shared" si="78"/>
        <v/>
      </c>
      <c r="AA95" s="56" t="str">
        <f t="shared" si="79"/>
        <v/>
      </c>
      <c r="AB95" s="56" t="str">
        <f t="shared" si="9"/>
        <v>ToolPrototype</v>
      </c>
      <c r="AC95" s="56" t="str">
        <f t="shared" si="80"/>
        <v>Optional</v>
      </c>
      <c r="AD95" s="56" t="str">
        <f t="shared" si="10"/>
        <v>&lt;device&gt;
&lt;name&gt;SxxRyy&lt;/name&gt;
&lt;type&gt;FCA_DN_FANUC&lt;/type&gt;
&lt;deviceNetwork&gt;201&lt;/deviceNetwork&gt;
&lt;deviceNode&gt;56&lt;/deviceNode&gt;
&lt;/device&gt;</v>
      </c>
      <c r="AE95" s="56" t="str">
        <f t="shared" si="11"/>
        <v/>
      </c>
      <c r="AF95" s="56" t="str">
        <f t="shared" si="12"/>
        <v/>
      </c>
      <c r="AG95" s="56" t="str">
        <f t="shared" si="13"/>
        <v/>
      </c>
      <c r="AH95" s="56" t="str">
        <f t="shared" si="14"/>
        <v/>
      </c>
      <c r="AI95" s="56" t="str">
        <f t="shared" si="15"/>
        <v/>
      </c>
      <c r="AJ95" s="56" t="str">
        <f t="shared" si="16"/>
        <v/>
      </c>
      <c r="AK95" s="56" t="str">
        <f t="shared" si="17"/>
        <v/>
      </c>
      <c r="AL95" s="56" t="str">
        <f t="shared" si="18"/>
        <v/>
      </c>
      <c r="AM95" s="56" t="str">
        <f t="shared" si="19"/>
        <v/>
      </c>
      <c r="AN95" s="56" t="str">
        <f t="shared" si="81"/>
        <v/>
      </c>
      <c r="AO95" s="56" t="str">
        <f t="shared" si="82"/>
        <v>ROBOTS:SxxRyy\MH|ROBOTS_NOPLC:SxxRyy\MH</v>
      </c>
      <c r="AP95" s="56" t="str">
        <f t="shared" si="83"/>
        <v>SNS</v>
      </c>
      <c r="AQ95" s="56" t="str">
        <f t="shared" si="84"/>
        <v>ENTRY</v>
      </c>
      <c r="AR95" s="39" t="s">
        <v>130</v>
      </c>
      <c r="AT95" s="44" t="str">
        <f t="shared" si="85"/>
        <v>BOOL</v>
      </c>
      <c r="AU95" s="23" t="str">
        <f t="shared" si="86"/>
        <v/>
      </c>
      <c r="AV95" s="23" t="str">
        <f t="shared" si="87"/>
        <v/>
      </c>
      <c r="AW95" s="23" t="str">
        <f t="shared" si="88"/>
        <v/>
      </c>
      <c r="AX95" s="23" t="str">
        <f t="shared" si="89"/>
        <v/>
      </c>
      <c r="AY95" s="36" t="str">
        <f t="shared" si="90"/>
        <v/>
      </c>
      <c r="BB95" s="42" t="s">
        <v>15</v>
      </c>
      <c r="BC95" t="s">
        <v>104</v>
      </c>
      <c r="BD95" t="str">
        <f t="shared" si="93"/>
        <v>SxxRyy_EOAT03</v>
      </c>
      <c r="BE95" t="s">
        <v>407</v>
      </c>
      <c r="BF95" t="str">
        <f t="shared" ca="1" si="94"/>
        <v>assets\SNS_ProxSwitch30mm</v>
      </c>
      <c r="BS95" t="str">
        <f t="shared" si="92"/>
        <v>ROBOTS:SxxRyy\MH|ROBOTS_NOPLC:SxxRyy\MH</v>
      </c>
      <c r="BT95" t="str">
        <f>IF(VALUE(Header_Config14)&gt;2,Prep!$L$5,"X")</f>
        <v/>
      </c>
      <c r="BV95" s="30" t="s">
        <v>546</v>
      </c>
      <c r="BY95" s="42"/>
      <c r="CB95" s="42"/>
      <c r="CE95" s="30"/>
      <c r="CH95" s="42"/>
      <c r="CN95" s="30"/>
      <c r="CP95" t="s">
        <v>12</v>
      </c>
      <c r="CQ95" s="40"/>
      <c r="CR95" s="30"/>
    </row>
    <row r="96" spans="2:96" x14ac:dyDescent="0.35">
      <c r="B96" s="4" t="str">
        <f t="shared" si="62"/>
        <v>FANUC_SxxRyy</v>
      </c>
      <c r="C96" s="4"/>
      <c r="D96" s="4" t="str">
        <f t="shared" si="63"/>
        <v>From_SNS_EOAT04_PartPresent</v>
      </c>
      <c r="E96" s="4" t="str">
        <f t="shared" si="64"/>
        <v>SNS_SxxRyy_EOAT04_PartPresent</v>
      </c>
      <c r="F96" s="4" t="str">
        <f t="shared" si="65"/>
        <v>I</v>
      </c>
      <c r="G96" s="4" t="str">
        <f t="shared" si="66"/>
        <v/>
      </c>
      <c r="H96" s="4" t="str">
        <f t="shared" si="67"/>
        <v/>
      </c>
      <c r="I96" s="4" t="str">
        <f t="shared" ca="1" si="68"/>
        <v/>
      </c>
      <c r="J96" s="4"/>
      <c r="K96" s="56" t="str">
        <f t="shared" si="69"/>
        <v>BOOL</v>
      </c>
      <c r="L96" s="56" t="str">
        <f t="shared" si="4"/>
        <v>ROBOTS\SxxRyy</v>
      </c>
      <c r="M96" s="56" t="str">
        <f t="shared" si="5"/>
        <v>STELLANTIS\Common\ToolPrototype\Robots</v>
      </c>
      <c r="N96" s="56" t="str">
        <f t="shared" si="6"/>
        <v>STELLANTIS_DN_FANUC_ROBOT_128_BIT_INTEGRATED_SAFETY_SxxRyy.v00</v>
      </c>
      <c r="O96" s="56" t="str">
        <f t="shared" ca="1" si="70"/>
        <v>assets\SNS_ProxSwitch30mm</v>
      </c>
      <c r="P96" s="56" t="str">
        <f t="shared" si="71"/>
        <v/>
      </c>
      <c r="Q96" s="56" t="str">
        <f t="shared" si="72"/>
        <v>ROBOTS\SxxRyy</v>
      </c>
      <c r="R96" s="56" t="str">
        <f t="shared" si="73"/>
        <v>PHOTOELECTRIC</v>
      </c>
      <c r="S96" s="56" t="str">
        <f t="shared" si="74"/>
        <v/>
      </c>
      <c r="T96" s="56" t="str">
        <f t="shared" si="75"/>
        <v/>
      </c>
      <c r="U96" s="56" t="str">
        <f t="shared" si="76"/>
        <v/>
      </c>
      <c r="V96" s="56" t="str">
        <f t="shared" si="77"/>
        <v/>
      </c>
      <c r="W96" s="56"/>
      <c r="X96" s="56"/>
      <c r="Y96" s="56"/>
      <c r="Z96" s="56" t="str">
        <f t="shared" si="78"/>
        <v/>
      </c>
      <c r="AA96" s="56" t="str">
        <f t="shared" si="79"/>
        <v/>
      </c>
      <c r="AB96" s="56" t="str">
        <f t="shared" si="9"/>
        <v>ToolPrototype</v>
      </c>
      <c r="AC96" s="56" t="str">
        <f t="shared" si="80"/>
        <v>Optional</v>
      </c>
      <c r="AD96" s="56" t="str">
        <f t="shared" si="10"/>
        <v>&lt;device&gt;
&lt;name&gt;SxxRyy&lt;/name&gt;
&lt;type&gt;FCA_DN_FANUC&lt;/type&gt;
&lt;deviceNetwork&gt;201&lt;/deviceNetwork&gt;
&lt;deviceNode&gt;56&lt;/deviceNode&gt;
&lt;/device&gt;</v>
      </c>
      <c r="AE96" s="56" t="str">
        <f t="shared" si="11"/>
        <v/>
      </c>
      <c r="AF96" s="56" t="str">
        <f t="shared" si="12"/>
        <v/>
      </c>
      <c r="AG96" s="56" t="str">
        <f t="shared" si="13"/>
        <v/>
      </c>
      <c r="AH96" s="56" t="str">
        <f t="shared" si="14"/>
        <v/>
      </c>
      <c r="AI96" s="56" t="str">
        <f t="shared" si="15"/>
        <v/>
      </c>
      <c r="AJ96" s="56" t="str">
        <f t="shared" si="16"/>
        <v/>
      </c>
      <c r="AK96" s="56" t="str">
        <f t="shared" si="17"/>
        <v/>
      </c>
      <c r="AL96" s="56" t="str">
        <f t="shared" si="18"/>
        <v/>
      </c>
      <c r="AM96" s="56" t="str">
        <f t="shared" si="19"/>
        <v/>
      </c>
      <c r="AN96" s="56" t="str">
        <f t="shared" si="81"/>
        <v/>
      </c>
      <c r="AO96" s="56" t="str">
        <f t="shared" si="82"/>
        <v>ROBOTS:SxxRyy\MH|ROBOTS_NOPLC:SxxRyy\MH</v>
      </c>
      <c r="AP96" s="56" t="str">
        <f t="shared" si="83"/>
        <v>SNS</v>
      </c>
      <c r="AQ96" s="56" t="str">
        <f t="shared" si="84"/>
        <v>ENTRY</v>
      </c>
      <c r="AR96" s="39" t="s">
        <v>130</v>
      </c>
      <c r="AT96" s="44" t="str">
        <f t="shared" si="85"/>
        <v>BOOL</v>
      </c>
      <c r="AU96" s="23" t="str">
        <f t="shared" si="86"/>
        <v/>
      </c>
      <c r="AV96" s="23" t="str">
        <f t="shared" si="87"/>
        <v/>
      </c>
      <c r="AW96" s="23" t="str">
        <f t="shared" si="88"/>
        <v/>
      </c>
      <c r="AX96" s="23" t="str">
        <f t="shared" si="89"/>
        <v/>
      </c>
      <c r="AY96" s="36" t="str">
        <f t="shared" si="90"/>
        <v/>
      </c>
      <c r="BB96" s="42" t="s">
        <v>15</v>
      </c>
      <c r="BC96" t="s">
        <v>104</v>
      </c>
      <c r="BD96" t="str">
        <f t="shared" si="93"/>
        <v>SxxRyy_EOAT04</v>
      </c>
      <c r="BE96" t="s">
        <v>408</v>
      </c>
      <c r="BF96" t="str">
        <f t="shared" ca="1" si="94"/>
        <v>assets\SNS_ProxSwitch30mm</v>
      </c>
      <c r="BS96" t="str">
        <f t="shared" si="92"/>
        <v>ROBOTS:SxxRyy\MH|ROBOTS_NOPLC:SxxRyy\MH</v>
      </c>
      <c r="BT96" t="str">
        <f>IF(VALUE(Header_Config14)&gt;3,Prep!$L$5,"X")</f>
        <v/>
      </c>
      <c r="BV96" s="30" t="s">
        <v>546</v>
      </c>
      <c r="BY96" s="42"/>
      <c r="CB96" s="42"/>
      <c r="CE96" s="30"/>
      <c r="CH96" s="42"/>
      <c r="CN96" s="30"/>
      <c r="CP96" t="s">
        <v>12</v>
      </c>
      <c r="CQ96" s="40"/>
      <c r="CR96" s="30"/>
    </row>
    <row r="97" spans="2:96" x14ac:dyDescent="0.35">
      <c r="B97" s="4" t="str">
        <f t="shared" si="62"/>
        <v>FANUC_SxxRyy</v>
      </c>
      <c r="C97" s="4"/>
      <c r="D97" s="4" t="str">
        <f t="shared" si="63"/>
        <v>From_SNS_EOAT05_PartPresent</v>
      </c>
      <c r="E97" s="4" t="str">
        <f t="shared" si="64"/>
        <v>SNS_SxxRyy_EOAT05_PartPresent</v>
      </c>
      <c r="F97" s="4" t="str">
        <f t="shared" si="65"/>
        <v>I</v>
      </c>
      <c r="G97" s="4" t="str">
        <f t="shared" si="66"/>
        <v/>
      </c>
      <c r="H97" s="4" t="str">
        <f t="shared" si="67"/>
        <v/>
      </c>
      <c r="I97" s="4" t="str">
        <f t="shared" ca="1" si="68"/>
        <v/>
      </c>
      <c r="J97" s="4"/>
      <c r="K97" s="56" t="str">
        <f t="shared" si="69"/>
        <v>BOOL</v>
      </c>
      <c r="L97" s="56" t="str">
        <f t="shared" si="4"/>
        <v>ROBOTS\SxxRyy</v>
      </c>
      <c r="M97" s="56" t="str">
        <f t="shared" si="5"/>
        <v>STELLANTIS\Common\ToolPrototype\Robots</v>
      </c>
      <c r="N97" s="56" t="str">
        <f t="shared" si="6"/>
        <v>STELLANTIS_DN_FANUC_ROBOT_128_BIT_INTEGRATED_SAFETY_SxxRyy.v00</v>
      </c>
      <c r="O97" s="56" t="str">
        <f t="shared" ca="1" si="70"/>
        <v>assets\SNS_ProxSwitch30mm</v>
      </c>
      <c r="P97" s="56" t="str">
        <f t="shared" si="71"/>
        <v/>
      </c>
      <c r="Q97" s="56" t="str">
        <f t="shared" si="72"/>
        <v>ROBOTS\SxxRyy</v>
      </c>
      <c r="R97" s="56" t="str">
        <f t="shared" si="73"/>
        <v>PHOTOELECTRIC</v>
      </c>
      <c r="S97" s="56" t="str">
        <f t="shared" si="74"/>
        <v/>
      </c>
      <c r="T97" s="56" t="str">
        <f t="shared" si="75"/>
        <v/>
      </c>
      <c r="U97" s="56" t="str">
        <f t="shared" si="76"/>
        <v/>
      </c>
      <c r="V97" s="56" t="str">
        <f t="shared" si="77"/>
        <v/>
      </c>
      <c r="W97" s="56"/>
      <c r="X97" s="56"/>
      <c r="Y97" s="56"/>
      <c r="Z97" s="56" t="str">
        <f t="shared" si="78"/>
        <v/>
      </c>
      <c r="AA97" s="56" t="str">
        <f t="shared" si="79"/>
        <v/>
      </c>
      <c r="AB97" s="56" t="str">
        <f t="shared" si="9"/>
        <v>ToolPrototype</v>
      </c>
      <c r="AC97" s="56" t="str">
        <f t="shared" si="80"/>
        <v>Optional</v>
      </c>
      <c r="AD97" s="56" t="str">
        <f t="shared" si="10"/>
        <v>&lt;device&gt;
&lt;name&gt;SxxRyy&lt;/name&gt;
&lt;type&gt;FCA_DN_FANUC&lt;/type&gt;
&lt;deviceNetwork&gt;201&lt;/deviceNetwork&gt;
&lt;deviceNode&gt;56&lt;/deviceNode&gt;
&lt;/device&gt;</v>
      </c>
      <c r="AE97" s="56" t="str">
        <f t="shared" si="11"/>
        <v/>
      </c>
      <c r="AF97" s="56" t="str">
        <f t="shared" si="12"/>
        <v/>
      </c>
      <c r="AG97" s="56" t="str">
        <f t="shared" si="13"/>
        <v/>
      </c>
      <c r="AH97" s="56" t="str">
        <f t="shared" si="14"/>
        <v/>
      </c>
      <c r="AI97" s="56" t="str">
        <f t="shared" si="15"/>
        <v/>
      </c>
      <c r="AJ97" s="56" t="str">
        <f t="shared" si="16"/>
        <v/>
      </c>
      <c r="AK97" s="56" t="str">
        <f t="shared" si="17"/>
        <v/>
      </c>
      <c r="AL97" s="56" t="str">
        <f t="shared" si="18"/>
        <v/>
      </c>
      <c r="AM97" s="56" t="str">
        <f t="shared" si="19"/>
        <v/>
      </c>
      <c r="AN97" s="56" t="str">
        <f t="shared" si="81"/>
        <v/>
      </c>
      <c r="AO97" s="56" t="str">
        <f t="shared" si="82"/>
        <v>ROBOTS:SxxRyy\MH|ROBOTS_NOPLC:SxxRyy\MH</v>
      </c>
      <c r="AP97" s="56" t="str">
        <f t="shared" si="83"/>
        <v>SNS</v>
      </c>
      <c r="AQ97" s="56" t="str">
        <f t="shared" si="84"/>
        <v>ENTRY</v>
      </c>
      <c r="AR97" s="39" t="s">
        <v>130</v>
      </c>
      <c r="AT97" s="44" t="str">
        <f t="shared" si="85"/>
        <v>BOOL</v>
      </c>
      <c r="AU97" s="23" t="str">
        <f t="shared" si="86"/>
        <v/>
      </c>
      <c r="AV97" s="23" t="str">
        <f t="shared" si="87"/>
        <v/>
      </c>
      <c r="AW97" s="23" t="str">
        <f t="shared" si="88"/>
        <v/>
      </c>
      <c r="AX97" s="23" t="str">
        <f t="shared" si="89"/>
        <v/>
      </c>
      <c r="AY97" s="36" t="str">
        <f t="shared" si="90"/>
        <v/>
      </c>
      <c r="BB97" s="42" t="s">
        <v>15</v>
      </c>
      <c r="BC97" t="s">
        <v>104</v>
      </c>
      <c r="BD97" t="str">
        <f t="shared" si="93"/>
        <v>SxxRyy_EOAT05</v>
      </c>
      <c r="BE97" t="s">
        <v>409</v>
      </c>
      <c r="BF97" t="str">
        <f t="shared" ca="1" si="94"/>
        <v>assets\SNS_ProxSwitch30mm</v>
      </c>
      <c r="BS97" t="str">
        <f t="shared" si="92"/>
        <v>ROBOTS:SxxRyy\MH|ROBOTS_NOPLC:SxxRyy\MH</v>
      </c>
      <c r="BT97" t="str">
        <f>IF(VALUE(Header_Config14)&gt;4,Prep!$L$5,"X")</f>
        <v/>
      </c>
      <c r="BV97" s="30" t="s">
        <v>546</v>
      </c>
      <c r="BY97" s="42"/>
      <c r="CB97" s="42"/>
      <c r="CE97" s="30"/>
      <c r="CH97" s="42"/>
      <c r="CN97" s="30"/>
      <c r="CP97" t="s">
        <v>12</v>
      </c>
      <c r="CQ97" s="40"/>
      <c r="CR97" s="30"/>
    </row>
    <row r="98" spans="2:96" x14ac:dyDescent="0.35">
      <c r="B98" s="4" t="str">
        <f t="shared" si="62"/>
        <v>FANUC_SxxRyy</v>
      </c>
      <c r="C98" s="4"/>
      <c r="D98" s="4" t="str">
        <f t="shared" si="63"/>
        <v>From_SNS_EOAT06_PartPresent</v>
      </c>
      <c r="E98" s="4" t="str">
        <f t="shared" si="64"/>
        <v>SNS_SxxRyy_EOAT06_PartPresent</v>
      </c>
      <c r="F98" s="4" t="str">
        <f t="shared" si="65"/>
        <v>I</v>
      </c>
      <c r="G98" s="4" t="str">
        <f t="shared" si="66"/>
        <v/>
      </c>
      <c r="H98" s="4" t="str">
        <f t="shared" si="67"/>
        <v/>
      </c>
      <c r="I98" s="4" t="str">
        <f t="shared" ca="1" si="68"/>
        <v/>
      </c>
      <c r="J98" s="4"/>
      <c r="K98" s="56" t="str">
        <f t="shared" si="69"/>
        <v>BOOL</v>
      </c>
      <c r="L98" s="56" t="str">
        <f t="shared" si="4"/>
        <v>ROBOTS\SxxRyy</v>
      </c>
      <c r="M98" s="56" t="str">
        <f t="shared" si="5"/>
        <v>STELLANTIS\Common\ToolPrototype\Robots</v>
      </c>
      <c r="N98" s="56" t="str">
        <f t="shared" si="6"/>
        <v>STELLANTIS_DN_FANUC_ROBOT_128_BIT_INTEGRATED_SAFETY_SxxRyy.v00</v>
      </c>
      <c r="O98" s="56" t="str">
        <f t="shared" ca="1" si="70"/>
        <v>assets\SNS_ProxSwitch30mm</v>
      </c>
      <c r="P98" s="56" t="str">
        <f t="shared" si="71"/>
        <v/>
      </c>
      <c r="Q98" s="56" t="str">
        <f t="shared" si="72"/>
        <v>ROBOTS\SxxRyy</v>
      </c>
      <c r="R98" s="56" t="str">
        <f t="shared" si="73"/>
        <v>PHOTOELECTRIC</v>
      </c>
      <c r="S98" s="56" t="str">
        <f t="shared" si="74"/>
        <v/>
      </c>
      <c r="T98" s="56" t="str">
        <f t="shared" si="75"/>
        <v/>
      </c>
      <c r="U98" s="56" t="str">
        <f t="shared" si="76"/>
        <v/>
      </c>
      <c r="V98" s="56" t="str">
        <f t="shared" si="77"/>
        <v/>
      </c>
      <c r="W98" s="56"/>
      <c r="X98" s="56"/>
      <c r="Y98" s="56"/>
      <c r="Z98" s="56" t="str">
        <f t="shared" si="78"/>
        <v/>
      </c>
      <c r="AA98" s="56" t="str">
        <f t="shared" si="79"/>
        <v/>
      </c>
      <c r="AB98" s="56" t="str">
        <f t="shared" si="9"/>
        <v>ToolPrototype</v>
      </c>
      <c r="AC98" s="56" t="str">
        <f t="shared" si="80"/>
        <v>Optional</v>
      </c>
      <c r="AD98" s="56" t="str">
        <f t="shared" si="10"/>
        <v>&lt;device&gt;
&lt;name&gt;SxxRyy&lt;/name&gt;
&lt;type&gt;FCA_DN_FANUC&lt;/type&gt;
&lt;deviceNetwork&gt;201&lt;/deviceNetwork&gt;
&lt;deviceNode&gt;56&lt;/deviceNode&gt;
&lt;/device&gt;</v>
      </c>
      <c r="AE98" s="56" t="str">
        <f t="shared" si="11"/>
        <v/>
      </c>
      <c r="AF98" s="56" t="str">
        <f t="shared" si="12"/>
        <v/>
      </c>
      <c r="AG98" s="56" t="str">
        <f t="shared" si="13"/>
        <v/>
      </c>
      <c r="AH98" s="56" t="str">
        <f t="shared" si="14"/>
        <v/>
      </c>
      <c r="AI98" s="56" t="str">
        <f t="shared" si="15"/>
        <v/>
      </c>
      <c r="AJ98" s="56" t="str">
        <f t="shared" si="16"/>
        <v/>
      </c>
      <c r="AK98" s="56" t="str">
        <f t="shared" si="17"/>
        <v/>
      </c>
      <c r="AL98" s="56" t="str">
        <f t="shared" si="18"/>
        <v/>
      </c>
      <c r="AM98" s="56" t="str">
        <f t="shared" si="19"/>
        <v/>
      </c>
      <c r="AN98" s="56" t="str">
        <f t="shared" si="81"/>
        <v/>
      </c>
      <c r="AO98" s="56" t="str">
        <f t="shared" si="82"/>
        <v>ROBOTS:SxxRyy\MH|ROBOTS_NOPLC:SxxRyy\MH</v>
      </c>
      <c r="AP98" s="56" t="str">
        <f t="shared" si="83"/>
        <v>SNS</v>
      </c>
      <c r="AQ98" s="56" t="str">
        <f t="shared" si="84"/>
        <v>ENTRY</v>
      </c>
      <c r="AR98" s="39" t="s">
        <v>130</v>
      </c>
      <c r="AT98" s="44" t="str">
        <f t="shared" si="85"/>
        <v>BOOL</v>
      </c>
      <c r="AU98" s="23" t="str">
        <f t="shared" si="86"/>
        <v/>
      </c>
      <c r="AV98" s="23" t="str">
        <f t="shared" si="87"/>
        <v/>
      </c>
      <c r="AW98" s="23" t="str">
        <f t="shared" si="88"/>
        <v/>
      </c>
      <c r="AX98" s="23" t="str">
        <f t="shared" si="89"/>
        <v/>
      </c>
      <c r="AY98" s="36" t="str">
        <f t="shared" si="90"/>
        <v/>
      </c>
      <c r="BB98" s="42" t="s">
        <v>15</v>
      </c>
      <c r="BC98" t="s">
        <v>104</v>
      </c>
      <c r="BD98" t="str">
        <f t="shared" si="93"/>
        <v>SxxRyy_EOAT06</v>
      </c>
      <c r="BE98" t="s">
        <v>410</v>
      </c>
      <c r="BF98" t="str">
        <f t="shared" ca="1" si="94"/>
        <v>assets\SNS_ProxSwitch30mm</v>
      </c>
      <c r="BS98" t="str">
        <f t="shared" si="92"/>
        <v>ROBOTS:SxxRyy\MH|ROBOTS_NOPLC:SxxRyy\MH</v>
      </c>
      <c r="BT98" t="str">
        <f>IF(VALUE(Header_Config14)&gt;5,Prep!$L$5,"X")</f>
        <v/>
      </c>
      <c r="BV98" s="30" t="s">
        <v>546</v>
      </c>
      <c r="BY98" s="42"/>
      <c r="CB98" s="42"/>
      <c r="CE98" s="30"/>
      <c r="CH98" s="42"/>
      <c r="CN98" s="30"/>
      <c r="CP98" t="s">
        <v>12</v>
      </c>
      <c r="CQ98" s="40"/>
      <c r="CR98" s="30"/>
    </row>
    <row r="99" spans="2:96" x14ac:dyDescent="0.35">
      <c r="B99" s="4" t="str">
        <f t="shared" si="62"/>
        <v>FANUC_SxxRyy</v>
      </c>
      <c r="C99" s="4"/>
      <c r="D99" s="4" t="str">
        <f t="shared" si="63"/>
        <v>From_SNS_EOAT07_PartPresent</v>
      </c>
      <c r="E99" s="4" t="str">
        <f t="shared" si="64"/>
        <v>SNS_SxxRyy_EOAT07_PartPresent</v>
      </c>
      <c r="F99" s="4" t="str">
        <f t="shared" si="65"/>
        <v>I</v>
      </c>
      <c r="G99" s="4" t="str">
        <f t="shared" si="66"/>
        <v/>
      </c>
      <c r="H99" s="4" t="str">
        <f t="shared" si="67"/>
        <v/>
      </c>
      <c r="I99" s="4" t="str">
        <f t="shared" ca="1" si="68"/>
        <v/>
      </c>
      <c r="J99" s="4"/>
      <c r="K99" s="56" t="str">
        <f t="shared" si="69"/>
        <v>BOOL</v>
      </c>
      <c r="L99" s="56" t="str">
        <f t="shared" si="4"/>
        <v>ROBOTS\SxxRyy</v>
      </c>
      <c r="M99" s="56" t="str">
        <f t="shared" si="5"/>
        <v>STELLANTIS\Common\ToolPrototype\Robots</v>
      </c>
      <c r="N99" s="56" t="str">
        <f t="shared" si="6"/>
        <v>STELLANTIS_DN_FANUC_ROBOT_128_BIT_INTEGRATED_SAFETY_SxxRyy.v00</v>
      </c>
      <c r="O99" s="56" t="str">
        <f t="shared" ca="1" si="70"/>
        <v>assets\SNS_ProxSwitch30mm</v>
      </c>
      <c r="P99" s="56" t="str">
        <f t="shared" si="71"/>
        <v/>
      </c>
      <c r="Q99" s="56" t="str">
        <f t="shared" si="72"/>
        <v>ROBOTS\SxxRyy</v>
      </c>
      <c r="R99" s="56" t="str">
        <f t="shared" si="73"/>
        <v>PHOTOELECTRIC</v>
      </c>
      <c r="S99" s="56" t="str">
        <f t="shared" si="74"/>
        <v/>
      </c>
      <c r="T99" s="56" t="str">
        <f t="shared" si="75"/>
        <v/>
      </c>
      <c r="U99" s="56" t="str">
        <f t="shared" si="76"/>
        <v/>
      </c>
      <c r="V99" s="56" t="str">
        <f t="shared" si="77"/>
        <v/>
      </c>
      <c r="W99" s="56"/>
      <c r="X99" s="56"/>
      <c r="Y99" s="56"/>
      <c r="Z99" s="56" t="str">
        <f t="shared" si="78"/>
        <v/>
      </c>
      <c r="AA99" s="56" t="str">
        <f t="shared" si="79"/>
        <v/>
      </c>
      <c r="AB99" s="56" t="str">
        <f t="shared" si="9"/>
        <v>ToolPrototype</v>
      </c>
      <c r="AC99" s="56" t="str">
        <f t="shared" si="80"/>
        <v>Optional</v>
      </c>
      <c r="AD99" s="56" t="str">
        <f t="shared" si="10"/>
        <v>&lt;device&gt;
&lt;name&gt;SxxRyy&lt;/name&gt;
&lt;type&gt;FCA_DN_FANUC&lt;/type&gt;
&lt;deviceNetwork&gt;201&lt;/deviceNetwork&gt;
&lt;deviceNode&gt;56&lt;/deviceNode&gt;
&lt;/device&gt;</v>
      </c>
      <c r="AE99" s="56" t="str">
        <f t="shared" si="11"/>
        <v/>
      </c>
      <c r="AF99" s="56" t="str">
        <f t="shared" si="12"/>
        <v/>
      </c>
      <c r="AG99" s="56" t="str">
        <f t="shared" si="13"/>
        <v/>
      </c>
      <c r="AH99" s="56" t="str">
        <f t="shared" si="14"/>
        <v/>
      </c>
      <c r="AI99" s="56" t="str">
        <f t="shared" si="15"/>
        <v/>
      </c>
      <c r="AJ99" s="56" t="str">
        <f t="shared" si="16"/>
        <v/>
      </c>
      <c r="AK99" s="56" t="str">
        <f t="shared" si="17"/>
        <v/>
      </c>
      <c r="AL99" s="56" t="str">
        <f t="shared" si="18"/>
        <v/>
      </c>
      <c r="AM99" s="56" t="str">
        <f t="shared" si="19"/>
        <v/>
      </c>
      <c r="AN99" s="56" t="str">
        <f t="shared" si="81"/>
        <v/>
      </c>
      <c r="AO99" s="56" t="str">
        <f t="shared" si="82"/>
        <v>ROBOTS:SxxRyy\MH|ROBOTS_NOPLC:SxxRyy\MH</v>
      </c>
      <c r="AP99" s="56" t="str">
        <f t="shared" si="83"/>
        <v>SNS</v>
      </c>
      <c r="AQ99" s="56" t="str">
        <f t="shared" si="84"/>
        <v>ENTRY</v>
      </c>
      <c r="AR99" s="39" t="s">
        <v>130</v>
      </c>
      <c r="AT99" s="44" t="str">
        <f t="shared" si="85"/>
        <v>BOOL</v>
      </c>
      <c r="AU99" s="23" t="str">
        <f t="shared" si="86"/>
        <v/>
      </c>
      <c r="AV99" s="23" t="str">
        <f t="shared" si="87"/>
        <v/>
      </c>
      <c r="AW99" s="23" t="str">
        <f t="shared" si="88"/>
        <v/>
      </c>
      <c r="AX99" s="23" t="str">
        <f t="shared" si="89"/>
        <v/>
      </c>
      <c r="AY99" s="36" t="str">
        <f t="shared" si="90"/>
        <v/>
      </c>
      <c r="BB99" s="42" t="s">
        <v>15</v>
      </c>
      <c r="BC99" t="s">
        <v>104</v>
      </c>
      <c r="BD99" t="str">
        <f t="shared" si="93"/>
        <v>SxxRyy_EOAT07</v>
      </c>
      <c r="BE99" t="s">
        <v>411</v>
      </c>
      <c r="BF99" t="str">
        <f t="shared" ca="1" si="94"/>
        <v>assets\SNS_ProxSwitch30mm</v>
      </c>
      <c r="BS99" t="str">
        <f t="shared" si="92"/>
        <v>ROBOTS:SxxRyy\MH|ROBOTS_NOPLC:SxxRyy\MH</v>
      </c>
      <c r="BT99" t="str">
        <f>IF(VALUE(Header_Config14)&gt;6,Prep!$L$5,"X")</f>
        <v/>
      </c>
      <c r="BV99" s="30" t="s">
        <v>546</v>
      </c>
      <c r="BY99" s="42"/>
      <c r="CB99" s="42"/>
      <c r="CE99" s="30"/>
      <c r="CH99" s="42"/>
      <c r="CN99" s="30"/>
      <c r="CP99" t="s">
        <v>12</v>
      </c>
      <c r="CQ99" s="40"/>
      <c r="CR99" s="30"/>
    </row>
    <row r="100" spans="2:96" x14ac:dyDescent="0.35">
      <c r="B100" s="4" t="str">
        <f t="shared" si="62"/>
        <v>FANUC_SxxRyy</v>
      </c>
      <c r="C100" s="4"/>
      <c r="D100" s="4" t="str">
        <f t="shared" si="63"/>
        <v>From_KEY_DIST_PANEL_CB_Trip</v>
      </c>
      <c r="E100" s="4" t="str">
        <f t="shared" si="64"/>
        <v>KEY_DPyy_Cbaaaaaaa_Trip</v>
      </c>
      <c r="F100" s="4" t="str">
        <f t="shared" si="65"/>
        <v>I</v>
      </c>
      <c r="G100" s="4" t="str">
        <f t="shared" si="66"/>
        <v/>
      </c>
      <c r="H100" s="4" t="str">
        <f t="shared" si="67"/>
        <v/>
      </c>
      <c r="I100" s="4" t="str">
        <f t="shared" si="68"/>
        <v/>
      </c>
      <c r="J100" s="4"/>
      <c r="K100" s="56" t="str">
        <f t="shared" si="69"/>
        <v>BOOL</v>
      </c>
      <c r="L100" s="56" t="str">
        <f t="shared" si="4"/>
        <v>ROBOTS\SxxRyy</v>
      </c>
      <c r="M100" s="56" t="str">
        <f t="shared" si="5"/>
        <v>STELLANTIS\Common\ToolPrototype\Robots</v>
      </c>
      <c r="N100" s="56" t="str">
        <f t="shared" si="6"/>
        <v>STELLANTIS_DN_FANUC_ROBOT_128_BIT_INTEGRATED_SAFETY_SxxRyy.v00</v>
      </c>
      <c r="O100" s="56" t="str">
        <f t="shared" si="70"/>
        <v/>
      </c>
      <c r="P100" s="56" t="str">
        <f t="shared" si="71"/>
        <v/>
      </c>
      <c r="Q100" s="56" t="str">
        <f t="shared" si="72"/>
        <v/>
      </c>
      <c r="R100" s="56" t="str">
        <f t="shared" si="73"/>
        <v/>
      </c>
      <c r="S100" s="56" t="str">
        <f t="shared" si="74"/>
        <v/>
      </c>
      <c r="T100" s="56" t="str">
        <f t="shared" si="75"/>
        <v/>
      </c>
      <c r="U100" s="56" t="str">
        <f t="shared" si="76"/>
        <v/>
      </c>
      <c r="V100" s="56" t="str">
        <f t="shared" si="77"/>
        <v/>
      </c>
      <c r="W100" s="56"/>
      <c r="X100" s="56"/>
      <c r="Y100" s="56"/>
      <c r="Z100" s="56" t="str">
        <f t="shared" si="78"/>
        <v/>
      </c>
      <c r="AA100" s="56" t="str">
        <f t="shared" si="79"/>
        <v/>
      </c>
      <c r="AB100" s="56" t="str">
        <f t="shared" si="9"/>
        <v>ToolPrototype</v>
      </c>
      <c r="AC100" s="56" t="str">
        <f t="shared" si="80"/>
        <v/>
      </c>
      <c r="AD100" s="56" t="str">
        <f t="shared" si="10"/>
        <v>&lt;device&gt;
&lt;name&gt;SxxRyy&lt;/name&gt;
&lt;type&gt;FCA_DN_FANUC&lt;/type&gt;
&lt;deviceNetwork&gt;201&lt;/deviceNetwork&gt;
&lt;deviceNode&gt;56&lt;/deviceNode&gt;
&lt;/device&gt;</v>
      </c>
      <c r="AE100" s="56" t="str">
        <f t="shared" si="11"/>
        <v/>
      </c>
      <c r="AF100" s="56" t="str">
        <f t="shared" si="12"/>
        <v/>
      </c>
      <c r="AG100" s="56" t="str">
        <f t="shared" si="13"/>
        <v/>
      </c>
      <c r="AH100" s="56" t="str">
        <f t="shared" si="14"/>
        <v/>
      </c>
      <c r="AI100" s="56" t="str">
        <f t="shared" si="15"/>
        <v/>
      </c>
      <c r="AJ100" s="56" t="str">
        <f t="shared" si="16"/>
        <v/>
      </c>
      <c r="AK100" s="56" t="str">
        <f t="shared" si="17"/>
        <v/>
      </c>
      <c r="AL100" s="56" t="str">
        <f t="shared" si="18"/>
        <v/>
      </c>
      <c r="AM100" s="56" t="str">
        <f t="shared" si="19"/>
        <v/>
      </c>
      <c r="AN100" s="56" t="str">
        <f t="shared" si="81"/>
        <v/>
      </c>
      <c r="AO100" s="56" t="str">
        <f t="shared" si="82"/>
        <v>KEYS_LIGHTS_HORNS:PANELS\DP\Cbaaaaaaa</v>
      </c>
      <c r="AP100" s="56" t="str">
        <f t="shared" si="83"/>
        <v>KEY</v>
      </c>
      <c r="AQ100" s="56" t="str">
        <f t="shared" si="84"/>
        <v>ENTRY</v>
      </c>
      <c r="AR100" s="39" t="s">
        <v>130</v>
      </c>
      <c r="AT100" s="44" t="str">
        <f t="shared" si="85"/>
        <v>BOOL</v>
      </c>
      <c r="AU100" s="23" t="str">
        <f t="shared" si="86"/>
        <v/>
      </c>
      <c r="AV100" s="23" t="str">
        <f t="shared" si="87"/>
        <v/>
      </c>
      <c r="AW100" s="23" t="str">
        <f t="shared" si="88"/>
        <v/>
      </c>
      <c r="AX100" s="23" t="str">
        <f t="shared" si="89"/>
        <v/>
      </c>
      <c r="AY100" s="36" t="str">
        <f t="shared" si="90"/>
        <v/>
      </c>
      <c r="BB100" s="42" t="s">
        <v>15</v>
      </c>
      <c r="BC100" t="s">
        <v>103</v>
      </c>
      <c r="BD100" t="str">
        <f>SUBSTITUTE(Header_Config06,":","_")</f>
        <v>DPyy_Cbaaaaaaa</v>
      </c>
      <c r="BE100" t="s">
        <v>247</v>
      </c>
      <c r="BS100" t="str">
        <f>"KEYS_LIGHTS_HORNS:PANELS\DP\"&amp;MID(Header_Config06,FIND(":",Header_Config06)+1,LEN(Header_Config06)-FIND(":",Header_Config06))</f>
        <v>KEYS_LIGHTS_HORNS:PANELS\DP\Cbaaaaaaa</v>
      </c>
      <c r="BV100" s="30" t="s">
        <v>253</v>
      </c>
      <c r="BY100" s="42"/>
      <c r="CB100" s="42"/>
      <c r="CE100" s="30"/>
      <c r="CH100" s="42"/>
      <c r="CN100" s="30"/>
      <c r="CP100" t="s">
        <v>12</v>
      </c>
      <c r="CQ100" s="40"/>
      <c r="CR100" s="30"/>
    </row>
    <row r="101" spans="2:96" x14ac:dyDescent="0.35">
      <c r="B101" s="4" t="str">
        <f t="shared" si="62"/>
        <v>FANUC_SxxRyy</v>
      </c>
      <c r="C101" s="4"/>
      <c r="D101" s="4" t="str">
        <f t="shared" si="63"/>
        <v>From_KEY_TriggerSftyModuleFault</v>
      </c>
      <c r="E101" s="4" t="str">
        <f t="shared" si="64"/>
        <v>KEY_SxxRyy_TriggerSftyModuleFault</v>
      </c>
      <c r="F101" s="4" t="str">
        <f t="shared" si="65"/>
        <v>I</v>
      </c>
      <c r="G101" s="4" t="str">
        <f t="shared" si="66"/>
        <v/>
      </c>
      <c r="H101" s="4" t="str">
        <f t="shared" si="67"/>
        <v/>
      </c>
      <c r="I101" s="4" t="str">
        <f t="shared" si="68"/>
        <v/>
      </c>
      <c r="J101" s="4"/>
      <c r="K101" s="56" t="str">
        <f t="shared" si="69"/>
        <v>BOOL</v>
      </c>
      <c r="L101" s="56" t="str">
        <f t="shared" si="4"/>
        <v>ROBOTS\SxxRyy</v>
      </c>
      <c r="M101" s="56" t="str">
        <f t="shared" si="5"/>
        <v>STELLANTIS\Common\ToolPrototype\Robots</v>
      </c>
      <c r="N101" s="56" t="str">
        <f t="shared" si="6"/>
        <v>STELLANTIS_DN_FANUC_ROBOT_128_BIT_INTEGRATED_SAFETY_SxxRyy.v00</v>
      </c>
      <c r="O101" s="56" t="str">
        <f t="shared" si="70"/>
        <v/>
      </c>
      <c r="P101" s="56" t="str">
        <f t="shared" si="71"/>
        <v/>
      </c>
      <c r="Q101" s="56" t="str">
        <f t="shared" si="72"/>
        <v/>
      </c>
      <c r="R101" s="56" t="str">
        <f t="shared" si="73"/>
        <v/>
      </c>
      <c r="S101" s="56" t="str">
        <f t="shared" si="74"/>
        <v/>
      </c>
      <c r="T101" s="56" t="str">
        <f t="shared" si="75"/>
        <v/>
      </c>
      <c r="U101" s="56" t="str">
        <f t="shared" si="76"/>
        <v/>
      </c>
      <c r="V101" s="56" t="str">
        <f t="shared" si="77"/>
        <v/>
      </c>
      <c r="W101" s="56"/>
      <c r="X101" s="56"/>
      <c r="Y101" s="56"/>
      <c r="Z101" s="56" t="str">
        <f t="shared" si="78"/>
        <v/>
      </c>
      <c r="AA101" s="56" t="str">
        <f t="shared" si="79"/>
        <v/>
      </c>
      <c r="AB101" s="56" t="str">
        <f t="shared" si="9"/>
        <v>ToolPrototype</v>
      </c>
      <c r="AC101" s="56" t="str">
        <f t="shared" si="80"/>
        <v/>
      </c>
      <c r="AD101" s="56" t="str">
        <f t="shared" si="10"/>
        <v>&lt;device&gt;
&lt;name&gt;SxxRyy&lt;/name&gt;
&lt;type&gt;FCA_DN_FANUC&lt;/type&gt;
&lt;deviceNetwork&gt;201&lt;/deviceNetwork&gt;
&lt;deviceNode&gt;56&lt;/deviceNode&gt;
&lt;/device&gt;</v>
      </c>
      <c r="AE101" s="56" t="str">
        <f t="shared" si="11"/>
        <v/>
      </c>
      <c r="AF101" s="56" t="str">
        <f t="shared" si="12"/>
        <v/>
      </c>
      <c r="AG101" s="56" t="str">
        <f t="shared" si="13"/>
        <v/>
      </c>
      <c r="AH101" s="56" t="str">
        <f t="shared" si="14"/>
        <v/>
      </c>
      <c r="AI101" s="56" t="str">
        <f t="shared" si="15"/>
        <v/>
      </c>
      <c r="AJ101" s="56" t="str">
        <f t="shared" si="16"/>
        <v/>
      </c>
      <c r="AK101" s="56" t="str">
        <f t="shared" si="17"/>
        <v/>
      </c>
      <c r="AL101" s="56" t="str">
        <f t="shared" si="18"/>
        <v/>
      </c>
      <c r="AM101" s="56" t="str">
        <f t="shared" si="19"/>
        <v/>
      </c>
      <c r="AN101" s="56" t="str">
        <f t="shared" si="81"/>
        <v/>
      </c>
      <c r="AO101" s="56" t="str">
        <f t="shared" si="82"/>
        <v>ROBOTS:SxxRyy\KEYS|ROBOTS_NOPLC:SxxRyy\KEYS</v>
      </c>
      <c r="AP101" s="56" t="str">
        <f t="shared" si="83"/>
        <v>KEY</v>
      </c>
      <c r="AQ101" s="56" t="str">
        <f t="shared" si="84"/>
        <v>ENTRY</v>
      </c>
      <c r="AR101" s="39" t="s">
        <v>130</v>
      </c>
      <c r="AT101" s="44" t="str">
        <f t="shared" si="85"/>
        <v>BOOL</v>
      </c>
      <c r="AU101" s="23" t="str">
        <f t="shared" si="86"/>
        <v/>
      </c>
      <c r="AV101" s="23" t="str">
        <f t="shared" si="87"/>
        <v/>
      </c>
      <c r="AW101" s="23" t="str">
        <f t="shared" si="88"/>
        <v/>
      </c>
      <c r="AX101" s="23" t="str">
        <f t="shared" si="89"/>
        <v/>
      </c>
      <c r="AY101" s="36" t="str">
        <f t="shared" si="90"/>
        <v/>
      </c>
      <c r="BB101" s="42" t="s">
        <v>15</v>
      </c>
      <c r="BC101" t="s">
        <v>103</v>
      </c>
      <c r="BD101" t="str">
        <f t="shared" si="61"/>
        <v>SxxRyy</v>
      </c>
      <c r="BS101" t="str">
        <f>"ROBOTS:"&amp;Header_Config02&amp;"\KEYS|ROBOTS_NOPLC:"&amp;Header_Config02&amp;"\KEYS"</f>
        <v>ROBOTS:SxxRyy\KEYS|ROBOTS_NOPLC:SxxRyy\KEYS</v>
      </c>
      <c r="BV101" s="30" t="s">
        <v>547</v>
      </c>
      <c r="BY101" s="42"/>
      <c r="CB101" s="42"/>
      <c r="CE101" s="30"/>
      <c r="CH101" s="42"/>
      <c r="CN101" s="30"/>
      <c r="CP101" t="s">
        <v>12</v>
      </c>
      <c r="CQ101" s="40"/>
      <c r="CR101" s="30"/>
    </row>
    <row r="102" spans="2:96" x14ac:dyDescent="0.35">
      <c r="B102" s="4" t="str">
        <f t="shared" si="62"/>
        <v>FANUC_SxxRyy</v>
      </c>
      <c r="C102" s="4"/>
      <c r="D102" s="4" t="str">
        <f t="shared" si="63"/>
        <v>From_KEY_TriggerStdModuleFault</v>
      </c>
      <c r="E102" s="4" t="str">
        <f t="shared" si="64"/>
        <v>KEY_SxxRyy_TriggerStdModuleFault</v>
      </c>
      <c r="F102" s="4" t="str">
        <f t="shared" si="65"/>
        <v>I</v>
      </c>
      <c r="G102" s="4" t="str">
        <f t="shared" si="66"/>
        <v/>
      </c>
      <c r="H102" s="4" t="str">
        <f t="shared" si="67"/>
        <v/>
      </c>
      <c r="I102" s="4" t="str">
        <f t="shared" si="68"/>
        <v/>
      </c>
      <c r="J102" s="4"/>
      <c r="K102" s="56" t="str">
        <f t="shared" si="69"/>
        <v>BOOL</v>
      </c>
      <c r="L102" s="56" t="str">
        <f t="shared" si="4"/>
        <v>ROBOTS\SxxRyy</v>
      </c>
      <c r="M102" s="56" t="str">
        <f t="shared" si="5"/>
        <v>STELLANTIS\Common\ToolPrototype\Robots</v>
      </c>
      <c r="N102" s="56" t="str">
        <f t="shared" si="6"/>
        <v>STELLANTIS_DN_FANUC_ROBOT_128_BIT_INTEGRATED_SAFETY_SxxRyy.v00</v>
      </c>
      <c r="O102" s="56" t="str">
        <f t="shared" si="70"/>
        <v/>
      </c>
      <c r="P102" s="56" t="str">
        <f t="shared" si="71"/>
        <v/>
      </c>
      <c r="Q102" s="56" t="str">
        <f t="shared" si="72"/>
        <v/>
      </c>
      <c r="R102" s="56" t="str">
        <f t="shared" si="73"/>
        <v/>
      </c>
      <c r="S102" s="56" t="str">
        <f t="shared" si="74"/>
        <v/>
      </c>
      <c r="T102" s="56" t="str">
        <f t="shared" si="75"/>
        <v/>
      </c>
      <c r="U102" s="56" t="str">
        <f t="shared" si="76"/>
        <v/>
      </c>
      <c r="V102" s="56" t="str">
        <f t="shared" si="77"/>
        <v/>
      </c>
      <c r="W102" s="56"/>
      <c r="X102" s="56"/>
      <c r="Y102" s="56"/>
      <c r="Z102" s="56" t="str">
        <f t="shared" si="78"/>
        <v/>
      </c>
      <c r="AA102" s="56" t="str">
        <f t="shared" si="79"/>
        <v/>
      </c>
      <c r="AB102" s="56" t="str">
        <f t="shared" si="9"/>
        <v>ToolPrototype</v>
      </c>
      <c r="AC102" s="56" t="str">
        <f t="shared" si="80"/>
        <v/>
      </c>
      <c r="AD102" s="56" t="str">
        <f t="shared" si="10"/>
        <v>&lt;device&gt;
&lt;name&gt;SxxRyy&lt;/name&gt;
&lt;type&gt;FCA_DN_FANUC&lt;/type&gt;
&lt;deviceNetwork&gt;201&lt;/deviceNetwork&gt;
&lt;deviceNode&gt;56&lt;/deviceNode&gt;
&lt;/device&gt;</v>
      </c>
      <c r="AE102" s="56" t="str">
        <f t="shared" si="11"/>
        <v/>
      </c>
      <c r="AF102" s="56" t="str">
        <f t="shared" si="12"/>
        <v/>
      </c>
      <c r="AG102" s="56" t="str">
        <f t="shared" si="13"/>
        <v/>
      </c>
      <c r="AH102" s="56" t="str">
        <f t="shared" si="14"/>
        <v/>
      </c>
      <c r="AI102" s="56" t="str">
        <f t="shared" si="15"/>
        <v/>
      </c>
      <c r="AJ102" s="56" t="str">
        <f t="shared" si="16"/>
        <v/>
      </c>
      <c r="AK102" s="56" t="str">
        <f t="shared" si="17"/>
        <v/>
      </c>
      <c r="AL102" s="56" t="str">
        <f t="shared" si="18"/>
        <v/>
      </c>
      <c r="AM102" s="56" t="str">
        <f t="shared" si="19"/>
        <v/>
      </c>
      <c r="AN102" s="56" t="str">
        <f t="shared" si="81"/>
        <v/>
      </c>
      <c r="AO102" s="56" t="str">
        <f t="shared" si="82"/>
        <v>ROBOTS:SxxRyy\KEYS|ROBOTS_NOPLC:SxxRyy\KEYS</v>
      </c>
      <c r="AP102" s="56" t="str">
        <f t="shared" si="83"/>
        <v>KEY</v>
      </c>
      <c r="AQ102" s="56" t="str">
        <f t="shared" si="84"/>
        <v>ENTRY</v>
      </c>
      <c r="AR102" s="39" t="s">
        <v>130</v>
      </c>
      <c r="AT102" s="44" t="str">
        <f t="shared" si="85"/>
        <v>BOOL</v>
      </c>
      <c r="AU102" s="23" t="str">
        <f t="shared" si="86"/>
        <v/>
      </c>
      <c r="AV102" s="23" t="str">
        <f t="shared" si="87"/>
        <v/>
      </c>
      <c r="AW102" s="23" t="str">
        <f t="shared" si="88"/>
        <v/>
      </c>
      <c r="AX102" s="23" t="str">
        <f t="shared" si="89"/>
        <v/>
      </c>
      <c r="AY102" s="36" t="str">
        <f t="shared" si="90"/>
        <v/>
      </c>
      <c r="BB102" s="42" t="s">
        <v>15</v>
      </c>
      <c r="BC102" t="s">
        <v>103</v>
      </c>
      <c r="BD102" t="str">
        <f t="shared" si="61"/>
        <v>SxxRyy</v>
      </c>
      <c r="BS102" t="str">
        <f>"ROBOTS:"&amp;Header_Config02&amp;"\KEYS|ROBOTS_NOPLC:"&amp;Header_Config02&amp;"\KEYS"</f>
        <v>ROBOTS:SxxRyy\KEYS|ROBOTS_NOPLC:SxxRyy\KEYS</v>
      </c>
      <c r="BV102" s="30" t="s">
        <v>548</v>
      </c>
      <c r="BY102" s="42"/>
      <c r="CB102" s="42"/>
      <c r="CE102" s="30"/>
      <c r="CH102" s="42"/>
      <c r="CN102" s="30"/>
      <c r="CP102" t="s">
        <v>12</v>
      </c>
      <c r="CQ102" s="40"/>
      <c r="CR102" s="30"/>
    </row>
    <row r="103" spans="2:96" x14ac:dyDescent="0.35">
      <c r="B103" s="4" t="str">
        <f t="shared" si="62"/>
        <v>FANUC_SxxRyy</v>
      </c>
      <c r="C103" s="4"/>
      <c r="D103" s="4" t="str">
        <f t="shared" si="63"/>
        <v>From_KEY_UnplugDnet</v>
      </c>
      <c r="E103" s="4" t="str">
        <f t="shared" si="64"/>
        <v>KEY_SxxRyy_UnplugDnet</v>
      </c>
      <c r="F103" s="4" t="str">
        <f t="shared" si="65"/>
        <v>I</v>
      </c>
      <c r="G103" s="4" t="str">
        <f t="shared" si="66"/>
        <v/>
      </c>
      <c r="H103" s="4" t="str">
        <f t="shared" si="67"/>
        <v/>
      </c>
      <c r="I103" s="4" t="str">
        <f t="shared" si="68"/>
        <v/>
      </c>
      <c r="J103" s="4"/>
      <c r="K103" s="56" t="str">
        <f t="shared" si="69"/>
        <v>BOOL</v>
      </c>
      <c r="L103" s="56" t="str">
        <f t="shared" si="4"/>
        <v>ROBOTS\SxxRyy</v>
      </c>
      <c r="M103" s="56" t="str">
        <f t="shared" si="5"/>
        <v>STELLANTIS\Common\ToolPrototype\Robots</v>
      </c>
      <c r="N103" s="56" t="str">
        <f t="shared" si="6"/>
        <v>STELLANTIS_DN_FANUC_ROBOT_128_BIT_INTEGRATED_SAFETY_SxxRyy.v00</v>
      </c>
      <c r="O103" s="56" t="str">
        <f t="shared" si="70"/>
        <v/>
      </c>
      <c r="P103" s="56" t="str">
        <f t="shared" si="71"/>
        <v/>
      </c>
      <c r="Q103" s="56" t="str">
        <f t="shared" si="72"/>
        <v/>
      </c>
      <c r="R103" s="56" t="str">
        <f t="shared" si="73"/>
        <v/>
      </c>
      <c r="S103" s="56" t="str">
        <f t="shared" si="74"/>
        <v/>
      </c>
      <c r="T103" s="56" t="str">
        <f t="shared" si="75"/>
        <v/>
      </c>
      <c r="U103" s="56" t="str">
        <f t="shared" si="76"/>
        <v/>
      </c>
      <c r="V103" s="56" t="str">
        <f t="shared" si="77"/>
        <v/>
      </c>
      <c r="W103" s="56"/>
      <c r="X103" s="56"/>
      <c r="Y103" s="56"/>
      <c r="Z103" s="56" t="str">
        <f t="shared" si="78"/>
        <v/>
      </c>
      <c r="AA103" s="56" t="str">
        <f t="shared" si="79"/>
        <v/>
      </c>
      <c r="AB103" s="56" t="str">
        <f t="shared" si="9"/>
        <v>ToolPrototype</v>
      </c>
      <c r="AC103" s="56" t="str">
        <f t="shared" si="80"/>
        <v/>
      </c>
      <c r="AD103" s="56" t="str">
        <f t="shared" si="10"/>
        <v>&lt;device&gt;
&lt;name&gt;SxxRyy&lt;/name&gt;
&lt;type&gt;FCA_DN_FANUC&lt;/type&gt;
&lt;deviceNetwork&gt;201&lt;/deviceNetwork&gt;
&lt;deviceNode&gt;56&lt;/deviceNode&gt;
&lt;/device&gt;</v>
      </c>
      <c r="AE103" s="56" t="str">
        <f t="shared" si="11"/>
        <v/>
      </c>
      <c r="AF103" s="56" t="str">
        <f t="shared" si="12"/>
        <v/>
      </c>
      <c r="AG103" s="56" t="str">
        <f t="shared" si="13"/>
        <v/>
      </c>
      <c r="AH103" s="56" t="str">
        <f t="shared" si="14"/>
        <v/>
      </c>
      <c r="AI103" s="56" t="str">
        <f t="shared" si="15"/>
        <v/>
      </c>
      <c r="AJ103" s="56" t="str">
        <f t="shared" si="16"/>
        <v/>
      </c>
      <c r="AK103" s="56" t="str">
        <f t="shared" si="17"/>
        <v/>
      </c>
      <c r="AL103" s="56" t="str">
        <f t="shared" si="18"/>
        <v/>
      </c>
      <c r="AM103" s="56" t="str">
        <f t="shared" si="19"/>
        <v/>
      </c>
      <c r="AN103" s="56" t="str">
        <f t="shared" si="81"/>
        <v/>
      </c>
      <c r="AO103" s="56" t="str">
        <f t="shared" si="82"/>
        <v>ROBOTS:SxxRyy\KEYS|ROBOTS_NOPLC:SxxRyy\KEYS</v>
      </c>
      <c r="AP103" s="56" t="str">
        <f t="shared" si="83"/>
        <v>KEY</v>
      </c>
      <c r="AQ103" s="56" t="str">
        <f t="shared" si="84"/>
        <v>ENTRY</v>
      </c>
      <c r="AR103" s="39" t="s">
        <v>130</v>
      </c>
      <c r="AT103" s="44" t="str">
        <f t="shared" si="85"/>
        <v>BOOL</v>
      </c>
      <c r="AU103" s="23" t="str">
        <f t="shared" si="86"/>
        <v/>
      </c>
      <c r="AV103" s="23" t="str">
        <f t="shared" si="87"/>
        <v/>
      </c>
      <c r="AW103" s="23" t="str">
        <f t="shared" si="88"/>
        <v/>
      </c>
      <c r="AX103" s="23" t="str">
        <f t="shared" si="89"/>
        <v/>
      </c>
      <c r="AY103" s="36" t="str">
        <f t="shared" si="90"/>
        <v/>
      </c>
      <c r="BB103" s="42" t="s">
        <v>15</v>
      </c>
      <c r="BC103" t="s">
        <v>103</v>
      </c>
      <c r="BD103" t="str">
        <f t="shared" si="61"/>
        <v>SxxRyy</v>
      </c>
      <c r="BS103" t="str">
        <f>"ROBOTS:"&amp;Header_Config02&amp;"\KEYS|ROBOTS_NOPLC:"&amp;Header_Config02&amp;"\KEYS"</f>
        <v>ROBOTS:SxxRyy\KEYS|ROBOTS_NOPLC:SxxRyy\KEYS</v>
      </c>
      <c r="BV103" s="30" t="s">
        <v>255</v>
      </c>
      <c r="BY103" s="42"/>
      <c r="CB103" s="42"/>
      <c r="CE103" s="30"/>
      <c r="CH103" s="42"/>
      <c r="CN103" s="30"/>
      <c r="CP103" t="s">
        <v>12</v>
      </c>
      <c r="CQ103" s="40"/>
      <c r="CR103" s="30"/>
    </row>
    <row r="104" spans="2:96" x14ac:dyDescent="0.35">
      <c r="B104" s="4" t="str">
        <f t="shared" si="62"/>
        <v>FANUC_SxxRyy</v>
      </c>
      <c r="C104" s="4"/>
      <c r="D104" s="4" t="str">
        <f t="shared" si="63"/>
        <v>From_KEY_TurnOffDisconnect</v>
      </c>
      <c r="E104" s="4" t="str">
        <f t="shared" si="64"/>
        <v>KEY_SxxRyy_TurnOffDisconnect</v>
      </c>
      <c r="F104" s="4" t="str">
        <f t="shared" si="65"/>
        <v>I</v>
      </c>
      <c r="G104" s="4" t="str">
        <f t="shared" si="66"/>
        <v/>
      </c>
      <c r="H104" s="4" t="str">
        <f t="shared" si="67"/>
        <v/>
      </c>
      <c r="I104" s="4" t="str">
        <f t="shared" si="68"/>
        <v/>
      </c>
      <c r="J104" s="4"/>
      <c r="K104" s="56" t="str">
        <f t="shared" si="69"/>
        <v>BOOL</v>
      </c>
      <c r="L104" s="56" t="str">
        <f t="shared" si="4"/>
        <v>ROBOTS\SxxRyy</v>
      </c>
      <c r="M104" s="56" t="str">
        <f t="shared" si="5"/>
        <v>STELLANTIS\Common\ToolPrototype\Robots</v>
      </c>
      <c r="N104" s="56" t="str">
        <f t="shared" si="6"/>
        <v>STELLANTIS_DN_FANUC_ROBOT_128_BIT_INTEGRATED_SAFETY_SxxRyy.v00</v>
      </c>
      <c r="O104" s="56" t="str">
        <f t="shared" si="70"/>
        <v/>
      </c>
      <c r="P104" s="56" t="str">
        <f t="shared" si="71"/>
        <v/>
      </c>
      <c r="Q104" s="56" t="str">
        <f t="shared" si="72"/>
        <v/>
      </c>
      <c r="R104" s="56" t="str">
        <f t="shared" si="73"/>
        <v/>
      </c>
      <c r="S104" s="56" t="str">
        <f t="shared" si="74"/>
        <v/>
      </c>
      <c r="T104" s="56" t="str">
        <f t="shared" si="75"/>
        <v/>
      </c>
      <c r="U104" s="56" t="str">
        <f t="shared" si="76"/>
        <v/>
      </c>
      <c r="V104" s="56" t="str">
        <f t="shared" si="77"/>
        <v/>
      </c>
      <c r="W104" s="56"/>
      <c r="X104" s="56"/>
      <c r="Y104" s="56"/>
      <c r="Z104" s="56" t="str">
        <f t="shared" si="78"/>
        <v/>
      </c>
      <c r="AA104" s="56" t="str">
        <f t="shared" si="79"/>
        <v/>
      </c>
      <c r="AB104" s="56" t="str">
        <f t="shared" si="9"/>
        <v>ToolPrototype</v>
      </c>
      <c r="AC104" s="56" t="str">
        <f t="shared" si="80"/>
        <v/>
      </c>
      <c r="AD104" s="56" t="str">
        <f t="shared" si="10"/>
        <v>&lt;device&gt;
&lt;name&gt;SxxRyy&lt;/name&gt;
&lt;type&gt;FCA_DN_FANUC&lt;/type&gt;
&lt;deviceNetwork&gt;201&lt;/deviceNetwork&gt;
&lt;deviceNode&gt;56&lt;/deviceNode&gt;
&lt;/device&gt;</v>
      </c>
      <c r="AE104" s="56" t="str">
        <f t="shared" si="11"/>
        <v/>
      </c>
      <c r="AF104" s="56" t="str">
        <f t="shared" si="12"/>
        <v/>
      </c>
      <c r="AG104" s="56" t="str">
        <f t="shared" si="13"/>
        <v/>
      </c>
      <c r="AH104" s="56" t="str">
        <f t="shared" si="14"/>
        <v/>
      </c>
      <c r="AI104" s="56" t="str">
        <f t="shared" si="15"/>
        <v/>
      </c>
      <c r="AJ104" s="56" t="str">
        <f t="shared" si="16"/>
        <v/>
      </c>
      <c r="AK104" s="56" t="str">
        <f t="shared" si="17"/>
        <v/>
      </c>
      <c r="AL104" s="56" t="str">
        <f t="shared" si="18"/>
        <v/>
      </c>
      <c r="AM104" s="56" t="str">
        <f t="shared" si="19"/>
        <v/>
      </c>
      <c r="AN104" s="56" t="str">
        <f t="shared" si="81"/>
        <v/>
      </c>
      <c r="AO104" s="56" t="str">
        <f t="shared" si="82"/>
        <v>ROBOTS:SxxRyy\KEYS|ROBOTS_NOPLC:SxxRyy\KEYS</v>
      </c>
      <c r="AP104" s="56" t="str">
        <f t="shared" si="83"/>
        <v>KEY</v>
      </c>
      <c r="AQ104" s="56" t="str">
        <f t="shared" si="84"/>
        <v>ENTRY</v>
      </c>
      <c r="AR104" s="39" t="s">
        <v>130</v>
      </c>
      <c r="AT104" s="44" t="str">
        <f t="shared" si="85"/>
        <v>BOOL</v>
      </c>
      <c r="AU104" s="23" t="str">
        <f t="shared" si="86"/>
        <v/>
      </c>
      <c r="AV104" s="23" t="str">
        <f t="shared" si="87"/>
        <v/>
      </c>
      <c r="AW104" s="23" t="str">
        <f t="shared" si="88"/>
        <v/>
      </c>
      <c r="AX104" s="23" t="str">
        <f t="shared" si="89"/>
        <v/>
      </c>
      <c r="AY104" s="36" t="str">
        <f t="shared" si="90"/>
        <v/>
      </c>
      <c r="BB104" s="42" t="s">
        <v>15</v>
      </c>
      <c r="BC104" t="s">
        <v>103</v>
      </c>
      <c r="BD104" t="str">
        <f t="shared" si="61"/>
        <v>SxxRyy</v>
      </c>
      <c r="BS104" t="str">
        <f>"ROBOTS:"&amp;Header_Config02&amp;"\KEYS|ROBOTS_NOPLC:"&amp;Header_Config02&amp;"\KEYS"</f>
        <v>ROBOTS:SxxRyy\KEYS|ROBOTS_NOPLC:SxxRyy\KEYS</v>
      </c>
      <c r="BV104" s="30" t="s">
        <v>254</v>
      </c>
      <c r="BY104" s="42"/>
      <c r="CB104" s="42"/>
      <c r="CE104" s="30"/>
      <c r="CH104" s="42"/>
      <c r="CN104" s="30"/>
      <c r="CP104" t="s">
        <v>12</v>
      </c>
      <c r="CQ104" s="40"/>
      <c r="CR104" s="30"/>
    </row>
    <row r="105" spans="2:96" x14ac:dyDescent="0.35">
      <c r="B105" s="4" t="str">
        <f t="shared" si="62"/>
        <v>FANUC_SxxRyy</v>
      </c>
      <c r="C105" s="4"/>
      <c r="D105" s="4" t="str">
        <f t="shared" si="63"/>
        <v>From_KEY_PressEStop</v>
      </c>
      <c r="E105" s="4" t="str">
        <f t="shared" si="64"/>
        <v>KEY_SxxRyy_PressEStop</v>
      </c>
      <c r="F105" s="4" t="str">
        <f t="shared" si="65"/>
        <v>I</v>
      </c>
      <c r="G105" s="4" t="str">
        <f t="shared" si="66"/>
        <v/>
      </c>
      <c r="H105" s="4" t="str">
        <f t="shared" si="67"/>
        <v/>
      </c>
      <c r="I105" s="4" t="str">
        <f t="shared" si="68"/>
        <v/>
      </c>
      <c r="J105" s="4"/>
      <c r="K105" s="56" t="str">
        <f t="shared" si="69"/>
        <v>BOOL</v>
      </c>
      <c r="L105" s="56" t="str">
        <f t="shared" si="4"/>
        <v>ROBOTS\SxxRyy</v>
      </c>
      <c r="M105" s="56" t="str">
        <f t="shared" si="5"/>
        <v>STELLANTIS\Common\ToolPrototype\Robots</v>
      </c>
      <c r="N105" s="56" t="str">
        <f t="shared" si="6"/>
        <v>STELLANTIS_DN_FANUC_ROBOT_128_BIT_INTEGRATED_SAFETY_SxxRyy.v00</v>
      </c>
      <c r="O105" s="56" t="str">
        <f t="shared" si="70"/>
        <v/>
      </c>
      <c r="P105" s="56" t="str">
        <f t="shared" si="71"/>
        <v/>
      </c>
      <c r="Q105" s="56" t="str">
        <f t="shared" si="72"/>
        <v/>
      </c>
      <c r="R105" s="56" t="str">
        <f t="shared" si="73"/>
        <v/>
      </c>
      <c r="S105" s="56" t="str">
        <f t="shared" si="74"/>
        <v/>
      </c>
      <c r="T105" s="56" t="str">
        <f t="shared" si="75"/>
        <v/>
      </c>
      <c r="U105" s="56" t="str">
        <f t="shared" si="76"/>
        <v/>
      </c>
      <c r="V105" s="56" t="str">
        <f t="shared" si="77"/>
        <v/>
      </c>
      <c r="W105" s="56"/>
      <c r="X105" s="56"/>
      <c r="Y105" s="56"/>
      <c r="Z105" s="56" t="str">
        <f t="shared" si="78"/>
        <v/>
      </c>
      <c r="AA105" s="56" t="str">
        <f t="shared" si="79"/>
        <v/>
      </c>
      <c r="AB105" s="56" t="str">
        <f t="shared" si="9"/>
        <v>ToolPrototype</v>
      </c>
      <c r="AC105" s="56" t="str">
        <f t="shared" si="80"/>
        <v/>
      </c>
      <c r="AD105" s="56" t="str">
        <f t="shared" si="10"/>
        <v>&lt;device&gt;
&lt;name&gt;SxxRyy&lt;/name&gt;
&lt;type&gt;FCA_DN_FANUC&lt;/type&gt;
&lt;deviceNetwork&gt;201&lt;/deviceNetwork&gt;
&lt;deviceNode&gt;56&lt;/deviceNode&gt;
&lt;/device&gt;</v>
      </c>
      <c r="AE105" s="56" t="str">
        <f t="shared" si="11"/>
        <v/>
      </c>
      <c r="AF105" s="56" t="str">
        <f t="shared" si="12"/>
        <v/>
      </c>
      <c r="AG105" s="56" t="str">
        <f t="shared" si="13"/>
        <v/>
      </c>
      <c r="AH105" s="56" t="str">
        <f t="shared" si="14"/>
        <v/>
      </c>
      <c r="AI105" s="56" t="str">
        <f t="shared" si="15"/>
        <v/>
      </c>
      <c r="AJ105" s="56" t="str">
        <f t="shared" si="16"/>
        <v/>
      </c>
      <c r="AK105" s="56" t="str">
        <f t="shared" si="17"/>
        <v/>
      </c>
      <c r="AL105" s="56" t="str">
        <f t="shared" si="18"/>
        <v/>
      </c>
      <c r="AM105" s="56" t="str">
        <f t="shared" si="19"/>
        <v/>
      </c>
      <c r="AN105" s="56" t="str">
        <f t="shared" si="81"/>
        <v/>
      </c>
      <c r="AO105" s="56" t="str">
        <f t="shared" si="82"/>
        <v>ROBOTS:SxxRyy\KEYS|ROBOTS_NOPLC:SxxRyy\KEYS|DIAGS:ROBOTS\SxxRyy</v>
      </c>
      <c r="AP105" s="56" t="str">
        <f t="shared" si="83"/>
        <v>KEY</v>
      </c>
      <c r="AQ105" s="56" t="str">
        <f t="shared" si="84"/>
        <v>ENTRY</v>
      </c>
      <c r="AR105" s="39" t="s">
        <v>130</v>
      </c>
      <c r="AT105" s="44" t="str">
        <f t="shared" si="85"/>
        <v>BOOL</v>
      </c>
      <c r="AU105" s="23" t="str">
        <f t="shared" si="86"/>
        <v/>
      </c>
      <c r="AV105" s="23" t="str">
        <f t="shared" si="87"/>
        <v/>
      </c>
      <c r="AW105" s="23" t="str">
        <f t="shared" si="88"/>
        <v/>
      </c>
      <c r="AX105" s="23" t="str">
        <f t="shared" si="89"/>
        <v/>
      </c>
      <c r="AY105" s="36" t="str">
        <f t="shared" si="90"/>
        <v/>
      </c>
      <c r="BB105" s="42" t="s">
        <v>15</v>
      </c>
      <c r="BC105" t="s">
        <v>103</v>
      </c>
      <c r="BD105" t="str">
        <f t="shared" si="61"/>
        <v>SxxRyy</v>
      </c>
      <c r="BS105" t="str">
        <f>"ROBOTS:"&amp;Header_Config02&amp;"\KEYS|ROBOTS_NOPLC:"&amp;Header_Config02&amp;"\KEYS"&amp;"|DIAGS:ROBOTS\"&amp;Header_Config02</f>
        <v>ROBOTS:SxxRyy\KEYS|ROBOTS_NOPLC:SxxRyy\KEYS|DIAGS:ROBOTS\SxxRyy</v>
      </c>
      <c r="BV105" s="30" t="s">
        <v>549</v>
      </c>
      <c r="BY105" s="42"/>
      <c r="CB105" s="42"/>
      <c r="CE105" s="30"/>
      <c r="CH105" s="42"/>
      <c r="CN105" s="30"/>
      <c r="CP105" t="s">
        <v>12</v>
      </c>
      <c r="CQ105" s="40"/>
      <c r="CR105" s="30"/>
    </row>
    <row r="106" spans="2:96" x14ac:dyDescent="0.35">
      <c r="B106" s="4" t="str">
        <f t="shared" si="62"/>
        <v>FANUC_SxxRyy</v>
      </c>
      <c r="C106" s="4"/>
      <c r="D106" s="4" t="str">
        <f t="shared" si="63"/>
        <v>From_KEY_NotAutoSS</v>
      </c>
      <c r="E106" s="4" t="str">
        <f t="shared" si="64"/>
        <v>KEY_SxxRyy_NotAutoSS</v>
      </c>
      <c r="F106" s="4" t="str">
        <f t="shared" si="65"/>
        <v>I</v>
      </c>
      <c r="G106" s="4" t="str">
        <f t="shared" si="66"/>
        <v/>
      </c>
      <c r="H106" s="4" t="str">
        <f t="shared" si="67"/>
        <v/>
      </c>
      <c r="I106" s="4" t="str">
        <f t="shared" si="68"/>
        <v/>
      </c>
      <c r="J106" s="4"/>
      <c r="K106" s="56" t="str">
        <f t="shared" si="69"/>
        <v>BOOL</v>
      </c>
      <c r="L106" s="56" t="str">
        <f t="shared" si="4"/>
        <v>ROBOTS\SxxRyy</v>
      </c>
      <c r="M106" s="56" t="str">
        <f t="shared" si="5"/>
        <v>STELLANTIS\Common\ToolPrototype\Robots</v>
      </c>
      <c r="N106" s="56" t="str">
        <f t="shared" si="6"/>
        <v>STELLANTIS_DN_FANUC_ROBOT_128_BIT_INTEGRATED_SAFETY_SxxRyy.v00</v>
      </c>
      <c r="O106" s="56" t="str">
        <f t="shared" si="70"/>
        <v/>
      </c>
      <c r="P106" s="56" t="str">
        <f t="shared" si="71"/>
        <v/>
      </c>
      <c r="Q106" s="56" t="str">
        <f t="shared" si="72"/>
        <v/>
      </c>
      <c r="R106" s="56" t="str">
        <f t="shared" si="73"/>
        <v/>
      </c>
      <c r="S106" s="56" t="str">
        <f t="shared" si="74"/>
        <v/>
      </c>
      <c r="T106" s="56" t="str">
        <f t="shared" si="75"/>
        <v/>
      </c>
      <c r="U106" s="56" t="str">
        <f t="shared" si="76"/>
        <v/>
      </c>
      <c r="V106" s="56" t="str">
        <f t="shared" si="77"/>
        <v/>
      </c>
      <c r="W106" s="56"/>
      <c r="X106" s="56"/>
      <c r="Y106" s="56"/>
      <c r="Z106" s="56" t="str">
        <f t="shared" si="78"/>
        <v/>
      </c>
      <c r="AA106" s="56" t="str">
        <f t="shared" si="79"/>
        <v/>
      </c>
      <c r="AB106" s="56" t="str">
        <f t="shared" si="9"/>
        <v>ToolPrototype</v>
      </c>
      <c r="AC106" s="56" t="str">
        <f t="shared" si="80"/>
        <v/>
      </c>
      <c r="AD106" s="56" t="str">
        <f t="shared" si="10"/>
        <v>&lt;device&gt;
&lt;name&gt;SxxRyy&lt;/name&gt;
&lt;type&gt;FCA_DN_FANUC&lt;/type&gt;
&lt;deviceNetwork&gt;201&lt;/deviceNetwork&gt;
&lt;deviceNode&gt;56&lt;/deviceNode&gt;
&lt;/device&gt;</v>
      </c>
      <c r="AE106" s="56" t="str">
        <f t="shared" si="11"/>
        <v/>
      </c>
      <c r="AF106" s="56" t="str">
        <f t="shared" si="12"/>
        <v/>
      </c>
      <c r="AG106" s="56" t="str">
        <f t="shared" si="13"/>
        <v/>
      </c>
      <c r="AH106" s="56" t="str">
        <f t="shared" si="14"/>
        <v/>
      </c>
      <c r="AI106" s="56" t="str">
        <f t="shared" si="15"/>
        <v/>
      </c>
      <c r="AJ106" s="56" t="str">
        <f t="shared" si="16"/>
        <v/>
      </c>
      <c r="AK106" s="56" t="str">
        <f t="shared" si="17"/>
        <v/>
      </c>
      <c r="AL106" s="56" t="str">
        <f t="shared" si="18"/>
        <v/>
      </c>
      <c r="AM106" s="56" t="str">
        <f t="shared" si="19"/>
        <v/>
      </c>
      <c r="AN106" s="56" t="str">
        <f t="shared" si="81"/>
        <v/>
      </c>
      <c r="AO106" s="56" t="str">
        <f t="shared" si="82"/>
        <v>ROBOTS:SxxRyy\KEYS|ROBOTS_NOPLC:SxxRyy\KEYS</v>
      </c>
      <c r="AP106" s="56" t="str">
        <f t="shared" si="83"/>
        <v>KEY</v>
      </c>
      <c r="AQ106" s="56" t="str">
        <f t="shared" si="84"/>
        <v>ENTRY</v>
      </c>
      <c r="AR106" s="39" t="s">
        <v>130</v>
      </c>
      <c r="AT106" s="44" t="str">
        <f t="shared" si="85"/>
        <v>BOOL</v>
      </c>
      <c r="AU106" s="23" t="str">
        <f t="shared" si="86"/>
        <v/>
      </c>
      <c r="AV106" s="23" t="str">
        <f t="shared" si="87"/>
        <v/>
      </c>
      <c r="AW106" s="23" t="str">
        <f t="shared" si="88"/>
        <v/>
      </c>
      <c r="AX106" s="23" t="str">
        <f t="shared" si="89"/>
        <v/>
      </c>
      <c r="AY106" s="36" t="str">
        <f t="shared" si="90"/>
        <v/>
      </c>
      <c r="BB106" s="42" t="s">
        <v>15</v>
      </c>
      <c r="BC106" t="s">
        <v>103</v>
      </c>
      <c r="BD106" t="str">
        <f t="shared" si="61"/>
        <v>SxxRyy</v>
      </c>
      <c r="BS106" t="str">
        <f t="shared" ref="BS106:BS118" si="95">"ROBOTS:"&amp;Header_Config02&amp;"\KEYS|ROBOTS_NOPLC:"&amp;Header_Config02&amp;"\KEYS"</f>
        <v>ROBOTS:SxxRyy\KEYS|ROBOTS_NOPLC:SxxRyy\KEYS</v>
      </c>
      <c r="BV106" s="30" t="s">
        <v>550</v>
      </c>
      <c r="BY106" s="42"/>
      <c r="CB106" s="42"/>
      <c r="CE106" s="30"/>
      <c r="CH106" s="42"/>
      <c r="CN106" s="30"/>
      <c r="CP106" t="s">
        <v>12</v>
      </c>
      <c r="CQ106" s="40"/>
      <c r="CR106" s="30"/>
    </row>
    <row r="107" spans="2:96" x14ac:dyDescent="0.35">
      <c r="B107" s="4" t="str">
        <f t="shared" si="62"/>
        <v>FANUC_SxxRyy</v>
      </c>
      <c r="C107" s="4"/>
      <c r="D107" s="4" t="str">
        <f t="shared" si="63"/>
        <v>From_KEY_RobotNotHoldSS</v>
      </c>
      <c r="E107" s="4" t="str">
        <f t="shared" si="64"/>
        <v>KEY_SxxRyy_RobotNotHoldSS</v>
      </c>
      <c r="F107" s="4" t="str">
        <f t="shared" si="65"/>
        <v>I</v>
      </c>
      <c r="G107" s="4" t="str">
        <f t="shared" si="66"/>
        <v/>
      </c>
      <c r="H107" s="4" t="str">
        <f t="shared" si="67"/>
        <v/>
      </c>
      <c r="I107" s="4" t="str">
        <f t="shared" si="68"/>
        <v/>
      </c>
      <c r="J107" s="4"/>
      <c r="K107" s="56" t="str">
        <f t="shared" si="69"/>
        <v>BOOL</v>
      </c>
      <c r="L107" s="56" t="str">
        <f t="shared" si="4"/>
        <v>ROBOTS\SxxRyy</v>
      </c>
      <c r="M107" s="56" t="str">
        <f t="shared" si="5"/>
        <v>STELLANTIS\Common\ToolPrototype\Robots</v>
      </c>
      <c r="N107" s="56" t="str">
        <f t="shared" si="6"/>
        <v>STELLANTIS_DN_FANUC_ROBOT_128_BIT_INTEGRATED_SAFETY_SxxRyy.v00</v>
      </c>
      <c r="O107" s="56" t="str">
        <f t="shared" si="70"/>
        <v/>
      </c>
      <c r="P107" s="56" t="str">
        <f t="shared" si="71"/>
        <v/>
      </c>
      <c r="Q107" s="56" t="str">
        <f t="shared" si="72"/>
        <v/>
      </c>
      <c r="R107" s="56" t="str">
        <f t="shared" si="73"/>
        <v/>
      </c>
      <c r="S107" s="56" t="str">
        <f t="shared" si="74"/>
        <v/>
      </c>
      <c r="T107" s="56" t="str">
        <f t="shared" si="75"/>
        <v/>
      </c>
      <c r="U107" s="56" t="str">
        <f t="shared" si="76"/>
        <v/>
      </c>
      <c r="V107" s="56" t="str">
        <f t="shared" si="77"/>
        <v/>
      </c>
      <c r="W107" s="56"/>
      <c r="X107" s="56"/>
      <c r="Y107" s="56"/>
      <c r="Z107" s="56" t="str">
        <f t="shared" si="78"/>
        <v/>
      </c>
      <c r="AA107" s="56" t="str">
        <f t="shared" si="79"/>
        <v/>
      </c>
      <c r="AB107" s="56" t="str">
        <f t="shared" si="9"/>
        <v>ToolPrototype</v>
      </c>
      <c r="AC107" s="56" t="str">
        <f t="shared" si="80"/>
        <v/>
      </c>
      <c r="AD107" s="56" t="str">
        <f t="shared" si="10"/>
        <v>&lt;device&gt;
&lt;name&gt;SxxRyy&lt;/name&gt;
&lt;type&gt;FCA_DN_FANUC&lt;/type&gt;
&lt;deviceNetwork&gt;201&lt;/deviceNetwork&gt;
&lt;deviceNode&gt;56&lt;/deviceNode&gt;
&lt;/device&gt;</v>
      </c>
      <c r="AE107" s="56" t="str">
        <f t="shared" si="11"/>
        <v/>
      </c>
      <c r="AF107" s="56" t="str">
        <f t="shared" si="12"/>
        <v/>
      </c>
      <c r="AG107" s="56" t="str">
        <f t="shared" si="13"/>
        <v/>
      </c>
      <c r="AH107" s="56" t="str">
        <f t="shared" si="14"/>
        <v/>
      </c>
      <c r="AI107" s="56" t="str">
        <f t="shared" si="15"/>
        <v/>
      </c>
      <c r="AJ107" s="56" t="str">
        <f t="shared" si="16"/>
        <v/>
      </c>
      <c r="AK107" s="56" t="str">
        <f t="shared" si="17"/>
        <v/>
      </c>
      <c r="AL107" s="56" t="str">
        <f t="shared" si="18"/>
        <v/>
      </c>
      <c r="AM107" s="56" t="str">
        <f t="shared" si="19"/>
        <v/>
      </c>
      <c r="AN107" s="56" t="str">
        <f t="shared" si="81"/>
        <v/>
      </c>
      <c r="AO107" s="56" t="str">
        <f t="shared" si="82"/>
        <v>ROBOTS:SxxRyy\KEYS|ROBOTS_NOPLC:SxxRyy\KEYS</v>
      </c>
      <c r="AP107" s="56" t="str">
        <f t="shared" si="83"/>
        <v>KEY</v>
      </c>
      <c r="AQ107" s="56" t="str">
        <f t="shared" si="84"/>
        <v>ENTRY</v>
      </c>
      <c r="AR107" s="39" t="s">
        <v>130</v>
      </c>
      <c r="AT107" s="44" t="str">
        <f t="shared" si="85"/>
        <v>BOOL</v>
      </c>
      <c r="AU107" s="23" t="str">
        <f t="shared" si="86"/>
        <v/>
      </c>
      <c r="AV107" s="23" t="str">
        <f t="shared" si="87"/>
        <v/>
      </c>
      <c r="AW107" s="23" t="str">
        <f t="shared" si="88"/>
        <v/>
      </c>
      <c r="AX107" s="23" t="str">
        <f t="shared" si="89"/>
        <v/>
      </c>
      <c r="AY107" s="36" t="str">
        <f t="shared" si="90"/>
        <v/>
      </c>
      <c r="BB107" s="42" t="s">
        <v>15</v>
      </c>
      <c r="BC107" t="s">
        <v>103</v>
      </c>
      <c r="BD107" t="str">
        <f t="shared" si="61"/>
        <v>SxxRyy</v>
      </c>
      <c r="BS107" t="str">
        <f t="shared" si="95"/>
        <v>ROBOTS:SxxRyy\KEYS|ROBOTS_NOPLC:SxxRyy\KEYS</v>
      </c>
      <c r="BV107" s="30" t="s">
        <v>551</v>
      </c>
      <c r="BY107" s="42"/>
      <c r="CB107" s="42"/>
      <c r="CE107" s="30"/>
      <c r="CH107" s="42"/>
      <c r="CN107" s="30"/>
      <c r="CP107" t="s">
        <v>12</v>
      </c>
      <c r="CQ107" s="40"/>
      <c r="CR107" s="30"/>
    </row>
    <row r="108" spans="2:96" x14ac:dyDescent="0.35">
      <c r="B108" s="4" t="str">
        <f t="shared" si="62"/>
        <v>FANUC_SxxRyy</v>
      </c>
      <c r="C108" s="4"/>
      <c r="D108" s="4" t="str">
        <f t="shared" si="63"/>
        <v>From_KEY_EnablePendant</v>
      </c>
      <c r="E108" s="4" t="str">
        <f t="shared" si="64"/>
        <v>KEY_SxxRyy_EnablePendant</v>
      </c>
      <c r="F108" s="4" t="str">
        <f t="shared" si="65"/>
        <v>I</v>
      </c>
      <c r="G108" s="4" t="str">
        <f t="shared" si="66"/>
        <v/>
      </c>
      <c r="H108" s="4" t="str">
        <f t="shared" si="67"/>
        <v/>
      </c>
      <c r="I108" s="4" t="str">
        <f t="shared" si="68"/>
        <v/>
      </c>
      <c r="J108" s="4"/>
      <c r="K108" s="56" t="str">
        <f t="shared" si="69"/>
        <v>BOOL</v>
      </c>
      <c r="L108" s="56" t="str">
        <f t="shared" si="4"/>
        <v>ROBOTS\SxxRyy</v>
      </c>
      <c r="M108" s="56" t="str">
        <f t="shared" si="5"/>
        <v>STELLANTIS\Common\ToolPrototype\Robots</v>
      </c>
      <c r="N108" s="56" t="str">
        <f t="shared" si="6"/>
        <v>STELLANTIS_DN_FANUC_ROBOT_128_BIT_INTEGRATED_SAFETY_SxxRyy.v00</v>
      </c>
      <c r="O108" s="56" t="str">
        <f t="shared" si="70"/>
        <v/>
      </c>
      <c r="P108" s="56" t="str">
        <f t="shared" si="71"/>
        <v/>
      </c>
      <c r="Q108" s="56" t="str">
        <f t="shared" si="72"/>
        <v/>
      </c>
      <c r="R108" s="56" t="str">
        <f t="shared" si="73"/>
        <v/>
      </c>
      <c r="S108" s="56" t="str">
        <f t="shared" si="74"/>
        <v/>
      </c>
      <c r="T108" s="56" t="str">
        <f t="shared" si="75"/>
        <v/>
      </c>
      <c r="U108" s="56" t="str">
        <f t="shared" si="76"/>
        <v/>
      </c>
      <c r="V108" s="56" t="str">
        <f t="shared" si="77"/>
        <v/>
      </c>
      <c r="W108" s="56"/>
      <c r="X108" s="56"/>
      <c r="Y108" s="56"/>
      <c r="Z108" s="56" t="str">
        <f t="shared" si="78"/>
        <v/>
      </c>
      <c r="AA108" s="56" t="str">
        <f t="shared" si="79"/>
        <v/>
      </c>
      <c r="AB108" s="56" t="str">
        <f t="shared" si="9"/>
        <v>ToolPrototype</v>
      </c>
      <c r="AC108" s="56" t="str">
        <f t="shared" si="80"/>
        <v/>
      </c>
      <c r="AD108" s="56" t="str">
        <f t="shared" si="10"/>
        <v>&lt;device&gt;
&lt;name&gt;SxxRyy&lt;/name&gt;
&lt;type&gt;FCA_DN_FANUC&lt;/type&gt;
&lt;deviceNetwork&gt;201&lt;/deviceNetwork&gt;
&lt;deviceNode&gt;56&lt;/deviceNode&gt;
&lt;/device&gt;</v>
      </c>
      <c r="AE108" s="56" t="str">
        <f t="shared" si="11"/>
        <v/>
      </c>
      <c r="AF108" s="56" t="str">
        <f t="shared" si="12"/>
        <v/>
      </c>
      <c r="AG108" s="56" t="str">
        <f t="shared" si="13"/>
        <v/>
      </c>
      <c r="AH108" s="56" t="str">
        <f t="shared" si="14"/>
        <v/>
      </c>
      <c r="AI108" s="56" t="str">
        <f t="shared" si="15"/>
        <v/>
      </c>
      <c r="AJ108" s="56" t="str">
        <f t="shared" si="16"/>
        <v/>
      </c>
      <c r="AK108" s="56" t="str">
        <f t="shared" si="17"/>
        <v/>
      </c>
      <c r="AL108" s="56" t="str">
        <f t="shared" si="18"/>
        <v/>
      </c>
      <c r="AM108" s="56" t="str">
        <f t="shared" si="19"/>
        <v/>
      </c>
      <c r="AN108" s="56" t="str">
        <f t="shared" si="81"/>
        <v/>
      </c>
      <c r="AO108" s="56" t="str">
        <f t="shared" si="82"/>
        <v>ROBOTS:SxxRyy\KEYS|ROBOTS_NOPLC:SxxRyy\KEYS</v>
      </c>
      <c r="AP108" s="56" t="str">
        <f t="shared" si="83"/>
        <v>KEY</v>
      </c>
      <c r="AQ108" s="56" t="str">
        <f t="shared" si="84"/>
        <v>ENTRY</v>
      </c>
      <c r="AR108" s="39" t="s">
        <v>130</v>
      </c>
      <c r="AT108" s="44" t="str">
        <f t="shared" si="85"/>
        <v>BOOL</v>
      </c>
      <c r="AU108" s="23" t="str">
        <f t="shared" si="86"/>
        <v/>
      </c>
      <c r="AV108" s="23" t="str">
        <f t="shared" si="87"/>
        <v/>
      </c>
      <c r="AW108" s="23" t="str">
        <f t="shared" si="88"/>
        <v/>
      </c>
      <c r="AX108" s="23" t="str">
        <f t="shared" si="89"/>
        <v/>
      </c>
      <c r="AY108" s="36" t="str">
        <f t="shared" si="90"/>
        <v/>
      </c>
      <c r="BB108" s="42" t="s">
        <v>15</v>
      </c>
      <c r="BC108" t="s">
        <v>103</v>
      </c>
      <c r="BD108" t="str">
        <f t="shared" si="61"/>
        <v>SxxRyy</v>
      </c>
      <c r="BS108" t="str">
        <f t="shared" si="95"/>
        <v>ROBOTS:SxxRyy\KEYS|ROBOTS_NOPLC:SxxRyy\KEYS</v>
      </c>
      <c r="BV108" s="30" t="s">
        <v>552</v>
      </c>
      <c r="BY108" s="42"/>
      <c r="CB108" s="42"/>
      <c r="CE108" s="30"/>
      <c r="CH108" s="42"/>
      <c r="CN108" s="30"/>
      <c r="CP108" t="s">
        <v>12</v>
      </c>
      <c r="CQ108" s="40"/>
      <c r="CR108" s="30"/>
    </row>
    <row r="109" spans="2:96" x14ac:dyDescent="0.35">
      <c r="B109" s="4" t="str">
        <f t="shared" si="62"/>
        <v>FANUC_SxxRyy</v>
      </c>
      <c r="C109" s="4"/>
      <c r="D109" s="4" t="str">
        <f t="shared" si="63"/>
        <v>From_KEY_TriggerMinorFault</v>
      </c>
      <c r="E109" s="4" t="str">
        <f t="shared" si="64"/>
        <v>KEY_SxxRyy_TriggerMinorFault</v>
      </c>
      <c r="F109" s="4" t="str">
        <f t="shared" si="65"/>
        <v>I</v>
      </c>
      <c r="G109" s="4" t="str">
        <f t="shared" si="66"/>
        <v/>
      </c>
      <c r="H109" s="4" t="str">
        <f t="shared" si="67"/>
        <v/>
      </c>
      <c r="I109" s="4" t="str">
        <f t="shared" si="68"/>
        <v/>
      </c>
      <c r="J109" s="4"/>
      <c r="K109" s="56" t="str">
        <f t="shared" si="69"/>
        <v>BOOL</v>
      </c>
      <c r="L109" s="56" t="str">
        <f t="shared" si="4"/>
        <v>ROBOTS\SxxRyy</v>
      </c>
      <c r="M109" s="56" t="str">
        <f t="shared" si="5"/>
        <v>STELLANTIS\Common\ToolPrototype\Robots</v>
      </c>
      <c r="N109" s="56" t="str">
        <f t="shared" si="6"/>
        <v>STELLANTIS_DN_FANUC_ROBOT_128_BIT_INTEGRATED_SAFETY_SxxRyy.v00</v>
      </c>
      <c r="O109" s="56" t="str">
        <f t="shared" si="70"/>
        <v/>
      </c>
      <c r="P109" s="56" t="str">
        <f t="shared" si="71"/>
        <v/>
      </c>
      <c r="Q109" s="56" t="str">
        <f t="shared" si="72"/>
        <v/>
      </c>
      <c r="R109" s="56" t="str">
        <f t="shared" si="73"/>
        <v/>
      </c>
      <c r="S109" s="56" t="str">
        <f t="shared" si="74"/>
        <v/>
      </c>
      <c r="T109" s="56" t="str">
        <f t="shared" si="75"/>
        <v/>
      </c>
      <c r="U109" s="56" t="str">
        <f t="shared" si="76"/>
        <v/>
      </c>
      <c r="V109" s="56" t="str">
        <f t="shared" si="77"/>
        <v/>
      </c>
      <c r="W109" s="56"/>
      <c r="X109" s="56"/>
      <c r="Y109" s="56"/>
      <c r="Z109" s="56" t="str">
        <f t="shared" si="78"/>
        <v/>
      </c>
      <c r="AA109" s="56" t="str">
        <f t="shared" si="79"/>
        <v/>
      </c>
      <c r="AB109" s="56" t="str">
        <f t="shared" si="9"/>
        <v>ToolPrototype</v>
      </c>
      <c r="AC109" s="56" t="str">
        <f t="shared" si="80"/>
        <v/>
      </c>
      <c r="AD109" s="56" t="str">
        <f t="shared" si="10"/>
        <v>&lt;device&gt;
&lt;name&gt;SxxRyy&lt;/name&gt;
&lt;type&gt;FCA_DN_FANUC&lt;/type&gt;
&lt;deviceNetwork&gt;201&lt;/deviceNetwork&gt;
&lt;deviceNode&gt;56&lt;/deviceNode&gt;
&lt;/device&gt;</v>
      </c>
      <c r="AE109" s="56" t="str">
        <f t="shared" si="11"/>
        <v/>
      </c>
      <c r="AF109" s="56" t="str">
        <f t="shared" si="12"/>
        <v/>
      </c>
      <c r="AG109" s="56" t="str">
        <f t="shared" si="13"/>
        <v/>
      </c>
      <c r="AH109" s="56" t="str">
        <f t="shared" si="14"/>
        <v/>
      </c>
      <c r="AI109" s="56" t="str">
        <f t="shared" si="15"/>
        <v/>
      </c>
      <c r="AJ109" s="56" t="str">
        <f t="shared" si="16"/>
        <v/>
      </c>
      <c r="AK109" s="56" t="str">
        <f t="shared" si="17"/>
        <v/>
      </c>
      <c r="AL109" s="56" t="str">
        <f t="shared" si="18"/>
        <v/>
      </c>
      <c r="AM109" s="56" t="str">
        <f t="shared" si="19"/>
        <v/>
      </c>
      <c r="AN109" s="56" t="str">
        <f t="shared" si="81"/>
        <v/>
      </c>
      <c r="AO109" s="56" t="str">
        <f t="shared" si="82"/>
        <v>ROBOTS:SxxRyy\KEYS|ROBOTS_NOPLC:SxxRyy\KEYS</v>
      </c>
      <c r="AP109" s="56" t="str">
        <f t="shared" si="83"/>
        <v>KEY</v>
      </c>
      <c r="AQ109" s="56" t="str">
        <f t="shared" si="84"/>
        <v>ENTRY</v>
      </c>
      <c r="AR109" s="39" t="s">
        <v>130</v>
      </c>
      <c r="AT109" s="44" t="str">
        <f t="shared" si="85"/>
        <v>BOOL</v>
      </c>
      <c r="AU109" s="23" t="str">
        <f t="shared" si="86"/>
        <v/>
      </c>
      <c r="AV109" s="23" t="str">
        <f t="shared" si="87"/>
        <v/>
      </c>
      <c r="AW109" s="23" t="str">
        <f t="shared" si="88"/>
        <v/>
      </c>
      <c r="AX109" s="23" t="str">
        <f t="shared" si="89"/>
        <v/>
      </c>
      <c r="AY109" s="36" t="str">
        <f t="shared" si="90"/>
        <v/>
      </c>
      <c r="BB109" s="42" t="s">
        <v>15</v>
      </c>
      <c r="BC109" t="s">
        <v>103</v>
      </c>
      <c r="BD109" t="str">
        <f t="shared" si="61"/>
        <v>SxxRyy</v>
      </c>
      <c r="BS109" t="str">
        <f t="shared" si="95"/>
        <v>ROBOTS:SxxRyy\KEYS|ROBOTS_NOPLC:SxxRyy\KEYS</v>
      </c>
      <c r="BV109" s="30" t="s">
        <v>553</v>
      </c>
      <c r="BY109" s="42"/>
      <c r="CB109" s="42"/>
      <c r="CE109" s="30"/>
      <c r="CH109" s="42"/>
      <c r="CN109" s="30"/>
      <c r="CP109" t="s">
        <v>12</v>
      </c>
      <c r="CQ109" s="40"/>
      <c r="CR109" s="30"/>
    </row>
    <row r="110" spans="2:96" x14ac:dyDescent="0.35">
      <c r="B110" s="4" t="str">
        <f t="shared" si="62"/>
        <v>FANUC_SxxRyy</v>
      </c>
      <c r="C110" s="4"/>
      <c r="D110" s="4" t="str">
        <f t="shared" si="63"/>
        <v>From_KEY_TriggerMajorFault</v>
      </c>
      <c r="E110" s="4" t="str">
        <f t="shared" si="64"/>
        <v>KEY_SxxRyy_TriggerMajorFault</v>
      </c>
      <c r="F110" s="4" t="str">
        <f t="shared" si="65"/>
        <v>I</v>
      </c>
      <c r="G110" s="4" t="str">
        <f t="shared" si="66"/>
        <v/>
      </c>
      <c r="H110" s="4" t="str">
        <f t="shared" si="67"/>
        <v/>
      </c>
      <c r="I110" s="4" t="str">
        <f t="shared" si="68"/>
        <v/>
      </c>
      <c r="J110" s="4"/>
      <c r="K110" s="56" t="str">
        <f t="shared" si="69"/>
        <v>BOOL</v>
      </c>
      <c r="L110" s="56" t="str">
        <f t="shared" si="4"/>
        <v>ROBOTS\SxxRyy</v>
      </c>
      <c r="M110" s="56" t="str">
        <f t="shared" si="5"/>
        <v>STELLANTIS\Common\ToolPrototype\Robots</v>
      </c>
      <c r="N110" s="56" t="str">
        <f t="shared" si="6"/>
        <v>STELLANTIS_DN_FANUC_ROBOT_128_BIT_INTEGRATED_SAFETY_SxxRyy.v00</v>
      </c>
      <c r="O110" s="56" t="str">
        <f t="shared" si="70"/>
        <v/>
      </c>
      <c r="P110" s="56" t="str">
        <f t="shared" si="71"/>
        <v/>
      </c>
      <c r="Q110" s="56" t="str">
        <f t="shared" si="72"/>
        <v/>
      </c>
      <c r="R110" s="56" t="str">
        <f t="shared" si="73"/>
        <v/>
      </c>
      <c r="S110" s="56" t="str">
        <f t="shared" si="74"/>
        <v/>
      </c>
      <c r="T110" s="56" t="str">
        <f t="shared" si="75"/>
        <v/>
      </c>
      <c r="U110" s="56" t="str">
        <f t="shared" si="76"/>
        <v/>
      </c>
      <c r="V110" s="56" t="str">
        <f t="shared" si="77"/>
        <v/>
      </c>
      <c r="W110" s="56"/>
      <c r="X110" s="56"/>
      <c r="Y110" s="56"/>
      <c r="Z110" s="56" t="str">
        <f t="shared" si="78"/>
        <v/>
      </c>
      <c r="AA110" s="56" t="str">
        <f t="shared" si="79"/>
        <v/>
      </c>
      <c r="AB110" s="56" t="str">
        <f t="shared" si="9"/>
        <v>ToolPrototype</v>
      </c>
      <c r="AC110" s="56" t="str">
        <f t="shared" si="80"/>
        <v/>
      </c>
      <c r="AD110" s="56" t="str">
        <f t="shared" si="10"/>
        <v>&lt;device&gt;
&lt;name&gt;SxxRyy&lt;/name&gt;
&lt;type&gt;FCA_DN_FANUC&lt;/type&gt;
&lt;deviceNetwork&gt;201&lt;/deviceNetwork&gt;
&lt;deviceNode&gt;56&lt;/deviceNode&gt;
&lt;/device&gt;</v>
      </c>
      <c r="AE110" s="56" t="str">
        <f t="shared" si="11"/>
        <v/>
      </c>
      <c r="AF110" s="56" t="str">
        <f t="shared" si="12"/>
        <v/>
      </c>
      <c r="AG110" s="56" t="str">
        <f t="shared" si="13"/>
        <v/>
      </c>
      <c r="AH110" s="56" t="str">
        <f t="shared" si="14"/>
        <v/>
      </c>
      <c r="AI110" s="56" t="str">
        <f t="shared" si="15"/>
        <v/>
      </c>
      <c r="AJ110" s="56" t="str">
        <f t="shared" si="16"/>
        <v/>
      </c>
      <c r="AK110" s="56" t="str">
        <f t="shared" si="17"/>
        <v/>
      </c>
      <c r="AL110" s="56" t="str">
        <f t="shared" si="18"/>
        <v/>
      </c>
      <c r="AM110" s="56" t="str">
        <f t="shared" si="19"/>
        <v/>
      </c>
      <c r="AN110" s="56" t="str">
        <f t="shared" si="81"/>
        <v/>
      </c>
      <c r="AO110" s="56" t="str">
        <f t="shared" si="82"/>
        <v>ROBOTS:SxxRyy\KEYS|ROBOTS_NOPLC:SxxRyy\KEYS</v>
      </c>
      <c r="AP110" s="56" t="str">
        <f t="shared" si="83"/>
        <v>KEY</v>
      </c>
      <c r="AQ110" s="56" t="str">
        <f t="shared" si="84"/>
        <v>ENTRY</v>
      </c>
      <c r="AR110" s="39" t="s">
        <v>130</v>
      </c>
      <c r="AT110" s="44" t="str">
        <f t="shared" si="85"/>
        <v>BOOL</v>
      </c>
      <c r="AU110" s="23" t="str">
        <f t="shared" si="86"/>
        <v/>
      </c>
      <c r="AV110" s="23" t="str">
        <f t="shared" si="87"/>
        <v/>
      </c>
      <c r="AW110" s="23" t="str">
        <f t="shared" si="88"/>
        <v/>
      </c>
      <c r="AX110" s="23" t="str">
        <f t="shared" si="89"/>
        <v/>
      </c>
      <c r="AY110" s="36" t="str">
        <f t="shared" si="90"/>
        <v/>
      </c>
      <c r="BB110" s="42" t="s">
        <v>15</v>
      </c>
      <c r="BC110" t="s">
        <v>103</v>
      </c>
      <c r="BD110" t="str">
        <f t="shared" si="61"/>
        <v>SxxRyy</v>
      </c>
      <c r="BS110" t="str">
        <f t="shared" si="95"/>
        <v>ROBOTS:SxxRyy\KEYS|ROBOTS_NOPLC:SxxRyy\KEYS</v>
      </c>
      <c r="BV110" s="30" t="s">
        <v>554</v>
      </c>
      <c r="BY110" s="42"/>
      <c r="CB110" s="42"/>
      <c r="CE110" s="30"/>
      <c r="CH110" s="42"/>
      <c r="CN110" s="30"/>
      <c r="CP110" t="s">
        <v>12</v>
      </c>
      <c r="CQ110" s="40"/>
      <c r="CR110" s="30"/>
    </row>
    <row r="111" spans="2:96" x14ac:dyDescent="0.35">
      <c r="B111" s="4" t="str">
        <f t="shared" si="62"/>
        <v>FANUC_SxxRyy</v>
      </c>
      <c r="C111" s="4"/>
      <c r="D111" s="4" t="str">
        <f t="shared" si="63"/>
        <v>From_KEY_ClearMajorFault</v>
      </c>
      <c r="E111" s="4" t="str">
        <f t="shared" si="64"/>
        <v>KEY_SxxRyy_ClearMajorFault</v>
      </c>
      <c r="F111" s="4" t="str">
        <f t="shared" si="65"/>
        <v>I</v>
      </c>
      <c r="G111" s="4" t="str">
        <f t="shared" si="66"/>
        <v/>
      </c>
      <c r="H111" s="4" t="str">
        <f t="shared" si="67"/>
        <v/>
      </c>
      <c r="I111" s="4" t="str">
        <f t="shared" si="68"/>
        <v/>
      </c>
      <c r="J111" s="4"/>
      <c r="K111" s="56" t="str">
        <f t="shared" si="69"/>
        <v>BOOL</v>
      </c>
      <c r="L111" s="56" t="str">
        <f t="shared" si="4"/>
        <v>ROBOTS\SxxRyy</v>
      </c>
      <c r="M111" s="56" t="str">
        <f t="shared" si="5"/>
        <v>STELLANTIS\Common\ToolPrototype\Robots</v>
      </c>
      <c r="N111" s="56" t="str">
        <f t="shared" si="6"/>
        <v>STELLANTIS_DN_FANUC_ROBOT_128_BIT_INTEGRATED_SAFETY_SxxRyy.v00</v>
      </c>
      <c r="O111" s="56" t="str">
        <f t="shared" si="70"/>
        <v/>
      </c>
      <c r="P111" s="56" t="str">
        <f t="shared" si="71"/>
        <v/>
      </c>
      <c r="Q111" s="56" t="str">
        <f t="shared" si="72"/>
        <v/>
      </c>
      <c r="R111" s="56" t="str">
        <f t="shared" si="73"/>
        <v/>
      </c>
      <c r="S111" s="56" t="str">
        <f t="shared" si="74"/>
        <v/>
      </c>
      <c r="T111" s="56" t="str">
        <f t="shared" si="75"/>
        <v/>
      </c>
      <c r="U111" s="56" t="str">
        <f t="shared" si="76"/>
        <v/>
      </c>
      <c r="V111" s="56" t="str">
        <f t="shared" si="77"/>
        <v/>
      </c>
      <c r="W111" s="56"/>
      <c r="X111" s="56"/>
      <c r="Y111" s="56"/>
      <c r="Z111" s="56" t="str">
        <f t="shared" si="78"/>
        <v/>
      </c>
      <c r="AA111" s="56" t="str">
        <f t="shared" si="79"/>
        <v/>
      </c>
      <c r="AB111" s="56" t="str">
        <f t="shared" si="9"/>
        <v>ToolPrototype</v>
      </c>
      <c r="AC111" s="56" t="str">
        <f t="shared" si="80"/>
        <v/>
      </c>
      <c r="AD111" s="56" t="str">
        <f t="shared" si="10"/>
        <v>&lt;device&gt;
&lt;name&gt;SxxRyy&lt;/name&gt;
&lt;type&gt;FCA_DN_FANUC&lt;/type&gt;
&lt;deviceNetwork&gt;201&lt;/deviceNetwork&gt;
&lt;deviceNode&gt;56&lt;/deviceNode&gt;
&lt;/device&gt;</v>
      </c>
      <c r="AE111" s="56" t="str">
        <f t="shared" si="11"/>
        <v/>
      </c>
      <c r="AF111" s="56" t="str">
        <f t="shared" si="12"/>
        <v/>
      </c>
      <c r="AG111" s="56" t="str">
        <f t="shared" si="13"/>
        <v/>
      </c>
      <c r="AH111" s="56" t="str">
        <f t="shared" si="14"/>
        <v/>
      </c>
      <c r="AI111" s="56" t="str">
        <f t="shared" si="15"/>
        <v/>
      </c>
      <c r="AJ111" s="56" t="str">
        <f t="shared" si="16"/>
        <v/>
      </c>
      <c r="AK111" s="56" t="str">
        <f t="shared" si="17"/>
        <v/>
      </c>
      <c r="AL111" s="56" t="str">
        <f t="shared" si="18"/>
        <v/>
      </c>
      <c r="AM111" s="56" t="str">
        <f t="shared" si="19"/>
        <v/>
      </c>
      <c r="AN111" s="56" t="str">
        <f t="shared" si="81"/>
        <v/>
      </c>
      <c r="AO111" s="56" t="str">
        <f t="shared" si="82"/>
        <v>ROBOTS:SxxRyy\KEYS|ROBOTS_NOPLC:SxxRyy\KEYS</v>
      </c>
      <c r="AP111" s="56" t="str">
        <f t="shared" si="83"/>
        <v>KEY</v>
      </c>
      <c r="AQ111" s="56" t="str">
        <f t="shared" si="84"/>
        <v>ENTRY</v>
      </c>
      <c r="AR111" s="39" t="s">
        <v>130</v>
      </c>
      <c r="AT111" s="44" t="str">
        <f t="shared" si="85"/>
        <v>BOOL</v>
      </c>
      <c r="AU111" s="23" t="str">
        <f t="shared" si="86"/>
        <v/>
      </c>
      <c r="AV111" s="23" t="str">
        <f t="shared" si="87"/>
        <v/>
      </c>
      <c r="AW111" s="23" t="str">
        <f t="shared" si="88"/>
        <v/>
      </c>
      <c r="AX111" s="23" t="str">
        <f t="shared" si="89"/>
        <v/>
      </c>
      <c r="AY111" s="36" t="str">
        <f t="shared" si="90"/>
        <v/>
      </c>
      <c r="BB111" s="42" t="s">
        <v>15</v>
      </c>
      <c r="BC111" t="s">
        <v>103</v>
      </c>
      <c r="BD111" t="str">
        <f t="shared" si="61"/>
        <v>SxxRyy</v>
      </c>
      <c r="BS111" t="str">
        <f t="shared" si="95"/>
        <v>ROBOTS:SxxRyy\KEYS|ROBOTS_NOPLC:SxxRyy\KEYS</v>
      </c>
      <c r="BV111" s="30" t="s">
        <v>555</v>
      </c>
      <c r="BY111" s="42"/>
      <c r="CB111" s="42"/>
      <c r="CE111" s="30"/>
      <c r="CH111" s="42"/>
      <c r="CN111" s="30"/>
      <c r="CP111" t="s">
        <v>12</v>
      </c>
      <c r="CQ111" s="40"/>
      <c r="CR111" s="30"/>
    </row>
    <row r="112" spans="2:96" x14ac:dyDescent="0.35">
      <c r="B112" s="4" t="str">
        <f t="shared" si="62"/>
        <v>FANUC_SxxRyy</v>
      </c>
      <c r="C112" s="4"/>
      <c r="D112" s="4" t="str">
        <f t="shared" si="63"/>
        <v>From_KEY_AppErrorSource</v>
      </c>
      <c r="E112" s="4" t="str">
        <f t="shared" si="64"/>
        <v>KEY_SxxRyy_AppErrorSource</v>
      </c>
      <c r="F112" s="4" t="str">
        <f t="shared" si="65"/>
        <v>I</v>
      </c>
      <c r="G112" s="4" t="str">
        <f t="shared" si="66"/>
        <v/>
      </c>
      <c r="H112" s="4" t="str">
        <f t="shared" si="67"/>
        <v/>
      </c>
      <c r="I112" s="4" t="str">
        <f t="shared" si="68"/>
        <v/>
      </c>
      <c r="J112" s="4"/>
      <c r="K112" s="56" t="str">
        <f t="shared" si="69"/>
        <v>BYTE</v>
      </c>
      <c r="L112" s="56" t="str">
        <f t="shared" si="4"/>
        <v>ROBOTS\SxxRyy</v>
      </c>
      <c r="M112" s="56" t="str">
        <f t="shared" si="5"/>
        <v>STELLANTIS\Common\ToolPrototype\Robots</v>
      </c>
      <c r="N112" s="56" t="str">
        <f t="shared" si="6"/>
        <v>STELLANTIS_DN_FANUC_ROBOT_128_BIT_INTEGRATED_SAFETY_SxxRyy.v00</v>
      </c>
      <c r="O112" s="56" t="str">
        <f t="shared" si="70"/>
        <v/>
      </c>
      <c r="P112" s="56" t="str">
        <f t="shared" si="71"/>
        <v/>
      </c>
      <c r="Q112" s="56" t="str">
        <f t="shared" si="72"/>
        <v/>
      </c>
      <c r="R112" s="56" t="str">
        <f t="shared" si="73"/>
        <v/>
      </c>
      <c r="S112" s="56" t="str">
        <f t="shared" si="74"/>
        <v/>
      </c>
      <c r="T112" s="56" t="str">
        <f t="shared" si="75"/>
        <v/>
      </c>
      <c r="U112" s="56" t="str">
        <f t="shared" si="76"/>
        <v/>
      </c>
      <c r="V112" s="56" t="str">
        <f t="shared" si="77"/>
        <v/>
      </c>
      <c r="W112" s="56"/>
      <c r="X112" s="56"/>
      <c r="Y112" s="56"/>
      <c r="Z112" s="56" t="str">
        <f t="shared" si="78"/>
        <v/>
      </c>
      <c r="AA112" s="56" t="str">
        <f t="shared" si="79"/>
        <v/>
      </c>
      <c r="AB112" s="56" t="str">
        <f t="shared" si="9"/>
        <v>ToolPrototype</v>
      </c>
      <c r="AC112" s="56" t="str">
        <f t="shared" si="80"/>
        <v/>
      </c>
      <c r="AD112" s="56" t="str">
        <f t="shared" si="10"/>
        <v>&lt;device&gt;
&lt;name&gt;SxxRyy&lt;/name&gt;
&lt;type&gt;FCA_DN_FANUC&lt;/type&gt;
&lt;deviceNetwork&gt;201&lt;/deviceNetwork&gt;
&lt;deviceNode&gt;56&lt;/deviceNode&gt;
&lt;/device&gt;</v>
      </c>
      <c r="AE112" s="56" t="str">
        <f t="shared" si="11"/>
        <v/>
      </c>
      <c r="AF112" s="56" t="str">
        <f t="shared" si="12"/>
        <v/>
      </c>
      <c r="AG112" s="56" t="str">
        <f t="shared" si="13"/>
        <v/>
      </c>
      <c r="AH112" s="56" t="str">
        <f t="shared" si="14"/>
        <v/>
      </c>
      <c r="AI112" s="56" t="str">
        <f t="shared" si="15"/>
        <v/>
      </c>
      <c r="AJ112" s="56" t="str">
        <f t="shared" si="16"/>
        <v/>
      </c>
      <c r="AK112" s="56" t="str">
        <f t="shared" si="17"/>
        <v/>
      </c>
      <c r="AL112" s="56" t="str">
        <f t="shared" si="18"/>
        <v/>
      </c>
      <c r="AM112" s="56" t="str">
        <f t="shared" si="19"/>
        <v/>
      </c>
      <c r="AN112" s="56" t="str">
        <f t="shared" si="81"/>
        <v/>
      </c>
      <c r="AO112" s="56" t="str">
        <f t="shared" si="82"/>
        <v>ROBOTS:SxxRyy\KEYS|ROBOTS_NOPLC:SxxRyy\KEYS</v>
      </c>
      <c r="AP112" s="56" t="str">
        <f t="shared" si="83"/>
        <v>KEY</v>
      </c>
      <c r="AQ112" s="56" t="str">
        <f t="shared" si="84"/>
        <v>ENTRY</v>
      </c>
      <c r="AR112" s="39" t="s">
        <v>130</v>
      </c>
      <c r="AT112" s="44" t="str">
        <f t="shared" si="85"/>
        <v>BYTE</v>
      </c>
      <c r="AU112" s="23" t="str">
        <f t="shared" si="86"/>
        <v/>
      </c>
      <c r="AV112" s="23" t="str">
        <f t="shared" si="87"/>
        <v/>
      </c>
      <c r="AW112" s="23" t="str">
        <f t="shared" si="88"/>
        <v/>
      </c>
      <c r="AX112" s="23" t="str">
        <f t="shared" si="89"/>
        <v/>
      </c>
      <c r="AY112" s="36" t="str">
        <f t="shared" si="90"/>
        <v/>
      </c>
      <c r="BB112" s="42" t="s">
        <v>15</v>
      </c>
      <c r="BC112" t="s">
        <v>103</v>
      </c>
      <c r="BD112" t="str">
        <f t="shared" si="61"/>
        <v>SxxRyy</v>
      </c>
      <c r="BS112" t="str">
        <f t="shared" si="95"/>
        <v>ROBOTS:SxxRyy\KEYS|ROBOTS_NOPLC:SxxRyy\KEYS</v>
      </c>
      <c r="BV112" s="30" t="s">
        <v>556</v>
      </c>
      <c r="BY112" s="42"/>
      <c r="CB112" s="42"/>
      <c r="CE112" s="30"/>
      <c r="CH112" s="42"/>
      <c r="CN112" s="30"/>
      <c r="CP112" t="s">
        <v>86</v>
      </c>
      <c r="CQ112" s="40"/>
      <c r="CR112" s="30"/>
    </row>
    <row r="113" spans="2:96" x14ac:dyDescent="0.35">
      <c r="B113" s="4" t="str">
        <f t="shared" si="62"/>
        <v>FANUC_SxxRyy</v>
      </c>
      <c r="C113" s="4"/>
      <c r="D113" s="4" t="str">
        <f t="shared" si="63"/>
        <v>From_KEY_AppErrorCode</v>
      </c>
      <c r="E113" s="4" t="str">
        <f t="shared" si="64"/>
        <v>KEY_SxxRyy_AppErrorCode</v>
      </c>
      <c r="F113" s="4" t="str">
        <f t="shared" si="65"/>
        <v>I</v>
      </c>
      <c r="G113" s="4" t="str">
        <f t="shared" si="66"/>
        <v/>
      </c>
      <c r="H113" s="4" t="str">
        <f t="shared" si="67"/>
        <v/>
      </c>
      <c r="I113" s="4" t="str">
        <f t="shared" si="68"/>
        <v/>
      </c>
      <c r="J113" s="4"/>
      <c r="K113" s="56" t="str">
        <f t="shared" si="69"/>
        <v>WORD</v>
      </c>
      <c r="L113" s="56" t="str">
        <f t="shared" si="4"/>
        <v>ROBOTS\SxxRyy</v>
      </c>
      <c r="M113" s="56" t="str">
        <f t="shared" si="5"/>
        <v>STELLANTIS\Common\ToolPrototype\Robots</v>
      </c>
      <c r="N113" s="56" t="str">
        <f t="shared" si="6"/>
        <v>STELLANTIS_DN_FANUC_ROBOT_128_BIT_INTEGRATED_SAFETY_SxxRyy.v00</v>
      </c>
      <c r="O113" s="56" t="str">
        <f t="shared" si="70"/>
        <v/>
      </c>
      <c r="P113" s="56" t="str">
        <f t="shared" si="71"/>
        <v/>
      </c>
      <c r="Q113" s="56" t="str">
        <f t="shared" si="72"/>
        <v/>
      </c>
      <c r="R113" s="56" t="str">
        <f t="shared" si="73"/>
        <v/>
      </c>
      <c r="S113" s="56" t="str">
        <f t="shared" si="74"/>
        <v/>
      </c>
      <c r="T113" s="56" t="str">
        <f t="shared" si="75"/>
        <v/>
      </c>
      <c r="U113" s="56" t="str">
        <f t="shared" si="76"/>
        <v/>
      </c>
      <c r="V113" s="56" t="str">
        <f t="shared" si="77"/>
        <v/>
      </c>
      <c r="W113" s="56"/>
      <c r="X113" s="56"/>
      <c r="Y113" s="56"/>
      <c r="Z113" s="56" t="str">
        <f t="shared" si="78"/>
        <v/>
      </c>
      <c r="AA113" s="56" t="str">
        <f t="shared" si="79"/>
        <v/>
      </c>
      <c r="AB113" s="56" t="str">
        <f t="shared" si="9"/>
        <v>ToolPrototype</v>
      </c>
      <c r="AC113" s="56" t="str">
        <f t="shared" si="80"/>
        <v/>
      </c>
      <c r="AD113" s="56" t="str">
        <f t="shared" si="10"/>
        <v>&lt;device&gt;
&lt;name&gt;SxxRyy&lt;/name&gt;
&lt;type&gt;FCA_DN_FANUC&lt;/type&gt;
&lt;deviceNetwork&gt;201&lt;/deviceNetwork&gt;
&lt;deviceNode&gt;56&lt;/deviceNode&gt;
&lt;/device&gt;</v>
      </c>
      <c r="AE113" s="56" t="str">
        <f t="shared" si="11"/>
        <v/>
      </c>
      <c r="AF113" s="56" t="str">
        <f t="shared" si="12"/>
        <v/>
      </c>
      <c r="AG113" s="56" t="str">
        <f t="shared" si="13"/>
        <v/>
      </c>
      <c r="AH113" s="56" t="str">
        <f t="shared" si="14"/>
        <v/>
      </c>
      <c r="AI113" s="56" t="str">
        <f t="shared" si="15"/>
        <v/>
      </c>
      <c r="AJ113" s="56" t="str">
        <f t="shared" si="16"/>
        <v/>
      </c>
      <c r="AK113" s="56" t="str">
        <f t="shared" si="17"/>
        <v/>
      </c>
      <c r="AL113" s="56" t="str">
        <f t="shared" si="18"/>
        <v/>
      </c>
      <c r="AM113" s="56" t="str">
        <f t="shared" si="19"/>
        <v/>
      </c>
      <c r="AN113" s="56" t="str">
        <f t="shared" si="81"/>
        <v/>
      </c>
      <c r="AO113" s="56" t="str">
        <f t="shared" si="82"/>
        <v>ROBOTS:SxxRyy\KEYS|ROBOTS_NOPLC:SxxRyy\KEYS</v>
      </c>
      <c r="AP113" s="56" t="str">
        <f t="shared" si="83"/>
        <v>KEY</v>
      </c>
      <c r="AQ113" s="56" t="str">
        <f t="shared" si="84"/>
        <v>ENTRY</v>
      </c>
      <c r="AR113" s="39" t="s">
        <v>130</v>
      </c>
      <c r="AT113" s="44" t="str">
        <f t="shared" si="85"/>
        <v>WORD</v>
      </c>
      <c r="AU113" s="23" t="str">
        <f t="shared" si="86"/>
        <v/>
      </c>
      <c r="AV113" s="23" t="str">
        <f t="shared" si="87"/>
        <v/>
      </c>
      <c r="AW113" s="23" t="str">
        <f t="shared" si="88"/>
        <v/>
      </c>
      <c r="AX113" s="23" t="str">
        <f t="shared" si="89"/>
        <v/>
      </c>
      <c r="AY113" s="36" t="str">
        <f t="shared" si="90"/>
        <v/>
      </c>
      <c r="BB113" s="42" t="s">
        <v>15</v>
      </c>
      <c r="BC113" t="s">
        <v>103</v>
      </c>
      <c r="BD113" t="str">
        <f t="shared" si="61"/>
        <v>SxxRyy</v>
      </c>
      <c r="BS113" t="str">
        <f t="shared" si="95"/>
        <v>ROBOTS:SxxRyy\KEYS|ROBOTS_NOPLC:SxxRyy\KEYS</v>
      </c>
      <c r="BV113" s="30" t="s">
        <v>557</v>
      </c>
      <c r="BY113" s="42"/>
      <c r="CB113" s="42"/>
      <c r="CE113" s="30"/>
      <c r="CH113" s="42"/>
      <c r="CN113" s="30"/>
      <c r="CP113" t="s">
        <v>87</v>
      </c>
      <c r="CQ113" s="40"/>
      <c r="CR113" s="30"/>
    </row>
    <row r="114" spans="2:96" x14ac:dyDescent="0.35">
      <c r="B114" s="4" t="str">
        <f t="shared" si="62"/>
        <v>&lt;BLANK&gt;</v>
      </c>
      <c r="C114" s="4"/>
      <c r="D114" s="4" t="str">
        <f t="shared" si="63"/>
        <v>From_KEY_TriggerProcessFault</v>
      </c>
      <c r="E114" s="4" t="str">
        <f t="shared" si="64"/>
        <v>KEY_SxxRyy_TriggerProcessFault</v>
      </c>
      <c r="F114" s="4" t="str">
        <f t="shared" si="65"/>
        <v>I</v>
      </c>
      <c r="G114" s="4" t="str">
        <f t="shared" si="66"/>
        <v/>
      </c>
      <c r="H114" s="4" t="str">
        <f t="shared" si="67"/>
        <v/>
      </c>
      <c r="I114" s="4" t="str">
        <f t="shared" si="68"/>
        <v/>
      </c>
      <c r="J114" s="4"/>
      <c r="K114" s="56" t="str">
        <f t="shared" si="69"/>
        <v>BOOL</v>
      </c>
      <c r="L114" s="56" t="str">
        <f t="shared" si="4"/>
        <v>ROBOTS\SxxRyy</v>
      </c>
      <c r="M114" s="56" t="str">
        <f t="shared" si="5"/>
        <v>STELLANTIS\Common\ToolPrototype\Robots</v>
      </c>
      <c r="N114" s="56" t="str">
        <f t="shared" si="6"/>
        <v>STELLANTIS_DN_FANUC_ROBOT_128_BIT_INTEGRATED_SAFETY_SxxRyy.v00</v>
      </c>
      <c r="O114" s="56" t="str">
        <f t="shared" si="70"/>
        <v/>
      </c>
      <c r="P114" s="56" t="str">
        <f t="shared" si="71"/>
        <v/>
      </c>
      <c r="Q114" s="56" t="str">
        <f t="shared" si="72"/>
        <v/>
      </c>
      <c r="R114" s="56" t="str">
        <f t="shared" si="73"/>
        <v/>
      </c>
      <c r="S114" s="56" t="str">
        <f t="shared" si="74"/>
        <v/>
      </c>
      <c r="T114" s="56" t="str">
        <f t="shared" si="75"/>
        <v/>
      </c>
      <c r="U114" s="56" t="str">
        <f t="shared" si="76"/>
        <v/>
      </c>
      <c r="V114" s="56" t="str">
        <f t="shared" si="77"/>
        <v/>
      </c>
      <c r="W114" s="56"/>
      <c r="X114" s="56"/>
      <c r="Y114" s="56"/>
      <c r="Z114" s="56" t="str">
        <f t="shared" si="78"/>
        <v/>
      </c>
      <c r="AA114" s="56" t="str">
        <f t="shared" si="79"/>
        <v/>
      </c>
      <c r="AB114" s="56" t="str">
        <f t="shared" si="9"/>
        <v>ToolPrototype</v>
      </c>
      <c r="AC114" s="56" t="str">
        <f t="shared" si="80"/>
        <v>Optional</v>
      </c>
      <c r="AD114" s="56" t="str">
        <f t="shared" si="10"/>
        <v>&lt;device&gt;
&lt;name&gt;SxxRyy&lt;/name&gt;
&lt;type&gt;FCA_DN_FANUC&lt;/type&gt;
&lt;deviceNetwork&gt;201&lt;/deviceNetwork&gt;
&lt;deviceNode&gt;56&lt;/deviceNode&gt;
&lt;/device&gt;</v>
      </c>
      <c r="AE114" s="56" t="str">
        <f t="shared" si="11"/>
        <v/>
      </c>
      <c r="AF114" s="56" t="str">
        <f t="shared" si="12"/>
        <v/>
      </c>
      <c r="AG114" s="56" t="str">
        <f t="shared" si="13"/>
        <v/>
      </c>
      <c r="AH114" s="56" t="str">
        <f t="shared" si="14"/>
        <v/>
      </c>
      <c r="AI114" s="56" t="str">
        <f t="shared" si="15"/>
        <v/>
      </c>
      <c r="AJ114" s="56" t="str">
        <f t="shared" si="16"/>
        <v/>
      </c>
      <c r="AK114" s="56" t="str">
        <f t="shared" si="17"/>
        <v/>
      </c>
      <c r="AL114" s="56" t="str">
        <f t="shared" si="18"/>
        <v/>
      </c>
      <c r="AM114" s="56" t="str">
        <f t="shared" si="19"/>
        <v/>
      </c>
      <c r="AN114" s="56" t="str">
        <f t="shared" si="81"/>
        <v/>
      </c>
      <c r="AO114" s="56" t="str">
        <f t="shared" si="82"/>
        <v>ROBOTS:SxxRyy\KEYS|ROBOTS_NOPLC:SxxRyy\KEYS</v>
      </c>
      <c r="AP114" s="56" t="str">
        <f t="shared" si="83"/>
        <v>KEY</v>
      </c>
      <c r="AQ114" s="56" t="str">
        <f t="shared" si="84"/>
        <v>ENTRY</v>
      </c>
      <c r="AR114" s="39" t="s">
        <v>130</v>
      </c>
      <c r="AT114" s="44" t="str">
        <f t="shared" si="85"/>
        <v>BOOL</v>
      </c>
      <c r="AU114" s="23" t="str">
        <f t="shared" si="86"/>
        <v/>
      </c>
      <c r="AV114" s="23" t="str">
        <f t="shared" si="87"/>
        <v/>
      </c>
      <c r="AW114" s="23" t="str">
        <f t="shared" si="88"/>
        <v/>
      </c>
      <c r="AX114" s="23" t="str">
        <f t="shared" si="89"/>
        <v/>
      </c>
      <c r="AY114" s="36" t="str">
        <f t="shared" si="90"/>
        <v/>
      </c>
      <c r="BB114" s="42" t="s">
        <v>15</v>
      </c>
      <c r="BC114" t="s">
        <v>103</v>
      </c>
      <c r="BD114" t="str">
        <f t="shared" si="61"/>
        <v>SxxRyy</v>
      </c>
      <c r="BS114" t="str">
        <f t="shared" si="95"/>
        <v>ROBOTS:SxxRyy\KEYS|ROBOTS_NOPLC:SxxRyy\KEYS</v>
      </c>
      <c r="BT114" t="str">
        <f>Prep!$G$3</f>
        <v>X</v>
      </c>
      <c r="BV114" s="30" t="s">
        <v>558</v>
      </c>
      <c r="BY114" s="42"/>
      <c r="CB114" s="42"/>
      <c r="CE114" s="30"/>
      <c r="CH114" s="42"/>
      <c r="CN114" s="30"/>
      <c r="CP114" t="s">
        <v>12</v>
      </c>
      <c r="CQ114" s="40"/>
      <c r="CR114" s="30"/>
    </row>
    <row r="115" spans="2:96" x14ac:dyDescent="0.35">
      <c r="B115" s="4" t="str">
        <f t="shared" si="62"/>
        <v>&lt;BLANK&gt;</v>
      </c>
      <c r="C115" s="4"/>
      <c r="D115" s="4" t="str">
        <f t="shared" si="63"/>
        <v>From_KEY_ClearProcessFault</v>
      </c>
      <c r="E115" s="4" t="str">
        <f t="shared" si="64"/>
        <v>KEY_SxxRyy_ClearProcessFault</v>
      </c>
      <c r="F115" s="4" t="str">
        <f t="shared" si="65"/>
        <v>I</v>
      </c>
      <c r="G115" s="4" t="str">
        <f t="shared" si="66"/>
        <v/>
      </c>
      <c r="H115" s="4" t="str">
        <f t="shared" si="67"/>
        <v/>
      </c>
      <c r="I115" s="4" t="str">
        <f t="shared" si="68"/>
        <v/>
      </c>
      <c r="J115" s="4"/>
      <c r="K115" s="56" t="str">
        <f t="shared" si="69"/>
        <v>BOOL</v>
      </c>
      <c r="L115" s="56" t="str">
        <f t="shared" si="4"/>
        <v>ROBOTS\SxxRyy</v>
      </c>
      <c r="M115" s="56" t="str">
        <f t="shared" si="5"/>
        <v>STELLANTIS\Common\ToolPrototype\Robots</v>
      </c>
      <c r="N115" s="56" t="str">
        <f t="shared" si="6"/>
        <v>STELLANTIS_DN_FANUC_ROBOT_128_BIT_INTEGRATED_SAFETY_SxxRyy.v00</v>
      </c>
      <c r="O115" s="56" t="str">
        <f t="shared" si="70"/>
        <v/>
      </c>
      <c r="P115" s="56" t="str">
        <f t="shared" si="71"/>
        <v/>
      </c>
      <c r="Q115" s="56" t="str">
        <f t="shared" si="72"/>
        <v/>
      </c>
      <c r="R115" s="56" t="str">
        <f t="shared" si="73"/>
        <v/>
      </c>
      <c r="S115" s="56" t="str">
        <f t="shared" si="74"/>
        <v/>
      </c>
      <c r="T115" s="56" t="str">
        <f t="shared" si="75"/>
        <v/>
      </c>
      <c r="U115" s="56" t="str">
        <f t="shared" si="76"/>
        <v/>
      </c>
      <c r="V115" s="56" t="str">
        <f t="shared" si="77"/>
        <v/>
      </c>
      <c r="W115" s="56"/>
      <c r="X115" s="56"/>
      <c r="Y115" s="56"/>
      <c r="Z115" s="56" t="str">
        <f t="shared" si="78"/>
        <v/>
      </c>
      <c r="AA115" s="56" t="str">
        <f t="shared" si="79"/>
        <v/>
      </c>
      <c r="AB115" s="56" t="str">
        <f t="shared" si="9"/>
        <v>ToolPrototype</v>
      </c>
      <c r="AC115" s="56" t="str">
        <f t="shared" si="80"/>
        <v>Optional</v>
      </c>
      <c r="AD115" s="56" t="str">
        <f t="shared" si="10"/>
        <v>&lt;device&gt;
&lt;name&gt;SxxRyy&lt;/name&gt;
&lt;type&gt;FCA_DN_FANUC&lt;/type&gt;
&lt;deviceNetwork&gt;201&lt;/deviceNetwork&gt;
&lt;deviceNode&gt;56&lt;/deviceNode&gt;
&lt;/device&gt;</v>
      </c>
      <c r="AE115" s="56" t="str">
        <f t="shared" si="11"/>
        <v/>
      </c>
      <c r="AF115" s="56" t="str">
        <f t="shared" si="12"/>
        <v/>
      </c>
      <c r="AG115" s="56" t="str">
        <f t="shared" si="13"/>
        <v/>
      </c>
      <c r="AH115" s="56" t="str">
        <f t="shared" si="14"/>
        <v/>
      </c>
      <c r="AI115" s="56" t="str">
        <f t="shared" si="15"/>
        <v/>
      </c>
      <c r="AJ115" s="56" t="str">
        <f t="shared" si="16"/>
        <v/>
      </c>
      <c r="AK115" s="56" t="str">
        <f t="shared" si="17"/>
        <v/>
      </c>
      <c r="AL115" s="56" t="str">
        <f t="shared" si="18"/>
        <v/>
      </c>
      <c r="AM115" s="56" t="str">
        <f t="shared" si="19"/>
        <v/>
      </c>
      <c r="AN115" s="56" t="str">
        <f t="shared" si="81"/>
        <v/>
      </c>
      <c r="AO115" s="56" t="str">
        <f t="shared" si="82"/>
        <v>ROBOTS:SxxRyy\KEYS|ROBOTS_NOPLC:SxxRyy\KEYS</v>
      </c>
      <c r="AP115" s="56" t="str">
        <f t="shared" si="83"/>
        <v>KEY</v>
      </c>
      <c r="AQ115" s="56" t="str">
        <f t="shared" si="84"/>
        <v>ENTRY</v>
      </c>
      <c r="AR115" s="39" t="s">
        <v>130</v>
      </c>
      <c r="AT115" s="44" t="str">
        <f t="shared" si="85"/>
        <v>BOOL</v>
      </c>
      <c r="AU115" s="23" t="str">
        <f t="shared" si="86"/>
        <v/>
      </c>
      <c r="AV115" s="23" t="str">
        <f t="shared" si="87"/>
        <v/>
      </c>
      <c r="AW115" s="23" t="str">
        <f t="shared" si="88"/>
        <v/>
      </c>
      <c r="AX115" s="23" t="str">
        <f t="shared" si="89"/>
        <v/>
      </c>
      <c r="AY115" s="36" t="str">
        <f t="shared" si="90"/>
        <v/>
      </c>
      <c r="BB115" s="42" t="s">
        <v>15</v>
      </c>
      <c r="BC115" t="s">
        <v>103</v>
      </c>
      <c r="BD115" t="str">
        <f t="shared" si="61"/>
        <v>SxxRyy</v>
      </c>
      <c r="BS115" t="str">
        <f t="shared" si="95"/>
        <v>ROBOTS:SxxRyy\KEYS|ROBOTS_NOPLC:SxxRyy\KEYS</v>
      </c>
      <c r="BT115" t="str">
        <f>Prep!$G$3</f>
        <v>X</v>
      </c>
      <c r="BV115" s="30" t="s">
        <v>559</v>
      </c>
      <c r="BY115" s="42"/>
      <c r="CB115" s="42"/>
      <c r="CE115" s="30"/>
      <c r="CH115" s="42"/>
      <c r="CN115" s="30"/>
      <c r="CP115" t="s">
        <v>12</v>
      </c>
      <c r="CQ115" s="40"/>
      <c r="CR115" s="30"/>
    </row>
    <row r="116" spans="2:96" x14ac:dyDescent="0.35">
      <c r="B116" s="4" t="str">
        <f t="shared" si="62"/>
        <v>FANUC_SxxRyy</v>
      </c>
      <c r="C116" s="4"/>
      <c r="D116" s="4" t="str">
        <f t="shared" si="63"/>
        <v>From_KEY_RestartRobot</v>
      </c>
      <c r="E116" s="4" t="str">
        <f t="shared" si="64"/>
        <v>KEY_SxxRyy_RestartRobot</v>
      </c>
      <c r="F116" s="4" t="str">
        <f t="shared" si="65"/>
        <v>I</v>
      </c>
      <c r="G116" s="4" t="str">
        <f t="shared" si="66"/>
        <v/>
      </c>
      <c r="H116" s="4" t="str">
        <f t="shared" si="67"/>
        <v/>
      </c>
      <c r="I116" s="4" t="str">
        <f t="shared" si="68"/>
        <v/>
      </c>
      <c r="J116" s="4"/>
      <c r="K116" s="56" t="str">
        <f t="shared" si="69"/>
        <v>BOOL</v>
      </c>
      <c r="L116" s="56" t="str">
        <f t="shared" si="4"/>
        <v>ROBOTS\SxxRyy</v>
      </c>
      <c r="M116" s="56" t="str">
        <f t="shared" si="5"/>
        <v>STELLANTIS\Common\ToolPrototype\Robots</v>
      </c>
      <c r="N116" s="56" t="str">
        <f t="shared" si="6"/>
        <v>STELLANTIS_DN_FANUC_ROBOT_128_BIT_INTEGRATED_SAFETY_SxxRyy.v00</v>
      </c>
      <c r="O116" s="56" t="str">
        <f t="shared" si="70"/>
        <v/>
      </c>
      <c r="P116" s="56" t="str">
        <f t="shared" si="71"/>
        <v/>
      </c>
      <c r="Q116" s="56" t="str">
        <f t="shared" si="72"/>
        <v/>
      </c>
      <c r="R116" s="56" t="str">
        <f t="shared" si="73"/>
        <v/>
      </c>
      <c r="S116" s="56" t="str">
        <f t="shared" si="74"/>
        <v/>
      </c>
      <c r="T116" s="56" t="str">
        <f t="shared" si="75"/>
        <v/>
      </c>
      <c r="U116" s="56" t="str">
        <f t="shared" si="76"/>
        <v/>
      </c>
      <c r="V116" s="56" t="str">
        <f t="shared" si="77"/>
        <v/>
      </c>
      <c r="W116" s="56"/>
      <c r="X116" s="56"/>
      <c r="Y116" s="56"/>
      <c r="Z116" s="56" t="str">
        <f t="shared" si="78"/>
        <v/>
      </c>
      <c r="AA116" s="56" t="str">
        <f t="shared" si="79"/>
        <v/>
      </c>
      <c r="AB116" s="56" t="str">
        <f t="shared" si="9"/>
        <v>ToolPrototype</v>
      </c>
      <c r="AC116" s="56" t="str">
        <f t="shared" si="80"/>
        <v/>
      </c>
      <c r="AD116" s="56" t="str">
        <f t="shared" si="10"/>
        <v>&lt;device&gt;
&lt;name&gt;SxxRyy&lt;/name&gt;
&lt;type&gt;FCA_DN_FANUC&lt;/type&gt;
&lt;deviceNetwork&gt;201&lt;/deviceNetwork&gt;
&lt;deviceNode&gt;56&lt;/deviceNode&gt;
&lt;/device&gt;</v>
      </c>
      <c r="AE116" s="56" t="str">
        <f t="shared" si="11"/>
        <v/>
      </c>
      <c r="AF116" s="56" t="str">
        <f t="shared" si="12"/>
        <v/>
      </c>
      <c r="AG116" s="56" t="str">
        <f t="shared" si="13"/>
        <v/>
      </c>
      <c r="AH116" s="56" t="str">
        <f t="shared" si="14"/>
        <v/>
      </c>
      <c r="AI116" s="56" t="str">
        <f t="shared" si="15"/>
        <v/>
      </c>
      <c r="AJ116" s="56" t="str">
        <f t="shared" si="16"/>
        <v/>
      </c>
      <c r="AK116" s="56" t="str">
        <f t="shared" si="17"/>
        <v/>
      </c>
      <c r="AL116" s="56" t="str">
        <f t="shared" si="18"/>
        <v/>
      </c>
      <c r="AM116" s="56" t="str">
        <f t="shared" si="19"/>
        <v/>
      </c>
      <c r="AN116" s="56" t="str">
        <f t="shared" si="81"/>
        <v/>
      </c>
      <c r="AO116" s="56" t="str">
        <f t="shared" si="82"/>
        <v>ROBOTS:SxxRyy\KEYS|ROBOTS_NOPLC:SxxRyy\KEYS</v>
      </c>
      <c r="AP116" s="56" t="str">
        <f t="shared" si="83"/>
        <v>KEY</v>
      </c>
      <c r="AQ116" s="56" t="str">
        <f t="shared" si="84"/>
        <v>ENTRY</v>
      </c>
      <c r="AR116" s="39" t="s">
        <v>130</v>
      </c>
      <c r="AT116" s="44" t="str">
        <f t="shared" si="85"/>
        <v>BOOL</v>
      </c>
      <c r="AU116" s="23" t="str">
        <f t="shared" si="86"/>
        <v/>
      </c>
      <c r="AV116" s="23" t="str">
        <f t="shared" si="87"/>
        <v/>
      </c>
      <c r="AW116" s="23" t="str">
        <f t="shared" si="88"/>
        <v/>
      </c>
      <c r="AX116" s="23" t="str">
        <f t="shared" si="89"/>
        <v/>
      </c>
      <c r="AY116" s="36" t="str">
        <f t="shared" si="90"/>
        <v/>
      </c>
      <c r="BB116" s="42" t="s">
        <v>15</v>
      </c>
      <c r="BC116" t="s">
        <v>103</v>
      </c>
      <c r="BD116" t="str">
        <f t="shared" si="61"/>
        <v>SxxRyy</v>
      </c>
      <c r="BS116" t="str">
        <f t="shared" si="95"/>
        <v>ROBOTS:SxxRyy\KEYS|ROBOTS_NOPLC:SxxRyy\KEYS</v>
      </c>
      <c r="BV116" s="30" t="s">
        <v>560</v>
      </c>
      <c r="BY116" s="42"/>
      <c r="CB116" s="42"/>
      <c r="CE116" s="30"/>
      <c r="CH116" s="42"/>
      <c r="CN116" s="30"/>
      <c r="CP116" t="s">
        <v>12</v>
      </c>
      <c r="CQ116" s="40"/>
      <c r="CR116" s="30"/>
    </row>
    <row r="117" spans="2:96" x14ac:dyDescent="0.35">
      <c r="B117" s="4" t="str">
        <f t="shared" si="62"/>
        <v>FANUC_SxxRyy</v>
      </c>
      <c r="C117" s="4"/>
      <c r="D117" s="4" t="str">
        <f t="shared" si="63"/>
        <v>From_KEY_AbortProgram</v>
      </c>
      <c r="E117" s="4" t="str">
        <f t="shared" si="64"/>
        <v>KEY_SxxRyy_AbortProgram</v>
      </c>
      <c r="F117" s="4" t="str">
        <f t="shared" si="65"/>
        <v>I</v>
      </c>
      <c r="G117" s="4" t="str">
        <f t="shared" si="66"/>
        <v/>
      </c>
      <c r="H117" s="4" t="str">
        <f t="shared" si="67"/>
        <v/>
      </c>
      <c r="I117" s="4" t="str">
        <f t="shared" si="68"/>
        <v/>
      </c>
      <c r="J117" s="4"/>
      <c r="K117" s="56" t="str">
        <f t="shared" si="69"/>
        <v>BOOL</v>
      </c>
      <c r="L117" s="56" t="str">
        <f t="shared" si="4"/>
        <v>ROBOTS\SxxRyy</v>
      </c>
      <c r="M117" s="56" t="str">
        <f t="shared" si="5"/>
        <v>STELLANTIS\Common\ToolPrototype\Robots</v>
      </c>
      <c r="N117" s="56" t="str">
        <f t="shared" si="6"/>
        <v>STELLANTIS_DN_FANUC_ROBOT_128_BIT_INTEGRATED_SAFETY_SxxRyy.v00</v>
      </c>
      <c r="O117" s="56" t="str">
        <f t="shared" si="70"/>
        <v/>
      </c>
      <c r="P117" s="56" t="str">
        <f t="shared" si="71"/>
        <v/>
      </c>
      <c r="Q117" s="56" t="str">
        <f t="shared" si="72"/>
        <v/>
      </c>
      <c r="R117" s="56" t="str">
        <f t="shared" si="73"/>
        <v/>
      </c>
      <c r="S117" s="56" t="str">
        <f t="shared" si="74"/>
        <v/>
      </c>
      <c r="T117" s="56" t="str">
        <f t="shared" si="75"/>
        <v/>
      </c>
      <c r="U117" s="56" t="str">
        <f t="shared" si="76"/>
        <v/>
      </c>
      <c r="V117" s="56" t="str">
        <f t="shared" si="77"/>
        <v/>
      </c>
      <c r="W117" s="56"/>
      <c r="X117" s="56"/>
      <c r="Y117" s="56"/>
      <c r="Z117" s="56" t="str">
        <f t="shared" si="78"/>
        <v/>
      </c>
      <c r="AA117" s="56" t="str">
        <f t="shared" si="79"/>
        <v/>
      </c>
      <c r="AB117" s="56" t="str">
        <f t="shared" si="9"/>
        <v>ToolPrototype</v>
      </c>
      <c r="AC117" s="56" t="str">
        <f t="shared" si="80"/>
        <v/>
      </c>
      <c r="AD117" s="56" t="str">
        <f t="shared" si="10"/>
        <v>&lt;device&gt;
&lt;name&gt;SxxRyy&lt;/name&gt;
&lt;type&gt;FCA_DN_FANUC&lt;/type&gt;
&lt;deviceNetwork&gt;201&lt;/deviceNetwork&gt;
&lt;deviceNode&gt;56&lt;/deviceNode&gt;
&lt;/device&gt;</v>
      </c>
      <c r="AE117" s="56" t="str">
        <f t="shared" si="11"/>
        <v/>
      </c>
      <c r="AF117" s="56" t="str">
        <f t="shared" si="12"/>
        <v/>
      </c>
      <c r="AG117" s="56" t="str">
        <f t="shared" si="13"/>
        <v/>
      </c>
      <c r="AH117" s="56" t="str">
        <f t="shared" si="14"/>
        <v/>
      </c>
      <c r="AI117" s="56" t="str">
        <f t="shared" si="15"/>
        <v/>
      </c>
      <c r="AJ117" s="56" t="str">
        <f t="shared" si="16"/>
        <v/>
      </c>
      <c r="AK117" s="56" t="str">
        <f t="shared" si="17"/>
        <v/>
      </c>
      <c r="AL117" s="56" t="str">
        <f t="shared" si="18"/>
        <v/>
      </c>
      <c r="AM117" s="56" t="str">
        <f t="shared" si="19"/>
        <v/>
      </c>
      <c r="AN117" s="56" t="str">
        <f t="shared" si="81"/>
        <v/>
      </c>
      <c r="AO117" s="56" t="str">
        <f t="shared" si="82"/>
        <v>ROBOTS:SxxRyy\KEYS|ROBOTS_NOPLC:SxxRyy\KEYS</v>
      </c>
      <c r="AP117" s="56" t="str">
        <f t="shared" si="83"/>
        <v>KEY</v>
      </c>
      <c r="AQ117" s="56" t="str">
        <f t="shared" si="84"/>
        <v>ENTRY</v>
      </c>
      <c r="AR117" s="39" t="s">
        <v>130</v>
      </c>
      <c r="AT117" s="44" t="str">
        <f t="shared" si="85"/>
        <v>BOOL</v>
      </c>
      <c r="AU117" s="23" t="str">
        <f t="shared" si="86"/>
        <v/>
      </c>
      <c r="AV117" s="23" t="str">
        <f t="shared" si="87"/>
        <v/>
      </c>
      <c r="AW117" s="23" t="str">
        <f t="shared" si="88"/>
        <v/>
      </c>
      <c r="AX117" s="23" t="str">
        <f t="shared" si="89"/>
        <v/>
      </c>
      <c r="AY117" s="36" t="str">
        <f t="shared" si="90"/>
        <v/>
      </c>
      <c r="BB117" s="42" t="s">
        <v>15</v>
      </c>
      <c r="BC117" t="s">
        <v>103</v>
      </c>
      <c r="BD117" t="str">
        <f t="shared" si="61"/>
        <v>SxxRyy</v>
      </c>
      <c r="BS117" t="str">
        <f t="shared" si="95"/>
        <v>ROBOTS:SxxRyy\KEYS|ROBOTS_NOPLC:SxxRyy\KEYS</v>
      </c>
      <c r="BV117" s="30" t="s">
        <v>391</v>
      </c>
      <c r="BY117" s="42"/>
      <c r="CB117" s="42"/>
      <c r="CE117" s="30"/>
      <c r="CH117" s="42"/>
      <c r="CN117" s="30"/>
      <c r="CP117" t="s">
        <v>12</v>
      </c>
      <c r="CQ117" s="40"/>
      <c r="CR117" s="30"/>
    </row>
    <row r="118" spans="2:96" x14ac:dyDescent="0.35">
      <c r="B118" s="4" t="str">
        <f t="shared" si="62"/>
        <v>FANUC_SxxRyy</v>
      </c>
      <c r="C118" s="4"/>
      <c r="D118" s="4" t="str">
        <f t="shared" si="63"/>
        <v>From_KEY_Initialize</v>
      </c>
      <c r="E118" s="4" t="str">
        <f t="shared" si="64"/>
        <v>KEY_SxxRyy_Initialize</v>
      </c>
      <c r="F118" s="4" t="str">
        <f t="shared" si="65"/>
        <v>I</v>
      </c>
      <c r="G118" s="4" t="str">
        <f t="shared" si="66"/>
        <v/>
      </c>
      <c r="H118" s="4" t="str">
        <f t="shared" si="67"/>
        <v/>
      </c>
      <c r="I118" s="4" t="str">
        <f t="shared" si="68"/>
        <v/>
      </c>
      <c r="J118" s="4"/>
      <c r="K118" s="56" t="str">
        <f t="shared" si="69"/>
        <v>BOOL</v>
      </c>
      <c r="L118" s="56" t="str">
        <f t="shared" si="4"/>
        <v>ROBOTS\SxxRyy</v>
      </c>
      <c r="M118" s="56" t="str">
        <f t="shared" si="5"/>
        <v>STELLANTIS\Common\ToolPrototype\Robots</v>
      </c>
      <c r="N118" s="56" t="str">
        <f t="shared" si="6"/>
        <v>STELLANTIS_DN_FANUC_ROBOT_128_BIT_INTEGRATED_SAFETY_SxxRyy.v00</v>
      </c>
      <c r="O118" s="56" t="str">
        <f t="shared" si="70"/>
        <v/>
      </c>
      <c r="P118" s="56" t="str">
        <f t="shared" si="71"/>
        <v/>
      </c>
      <c r="Q118" s="56" t="str">
        <f t="shared" si="72"/>
        <v/>
      </c>
      <c r="R118" s="56" t="str">
        <f t="shared" si="73"/>
        <v/>
      </c>
      <c r="S118" s="56" t="str">
        <f t="shared" si="74"/>
        <v/>
      </c>
      <c r="T118" s="56" t="str">
        <f t="shared" si="75"/>
        <v/>
      </c>
      <c r="U118" s="56" t="str">
        <f t="shared" si="76"/>
        <v/>
      </c>
      <c r="V118" s="56" t="str">
        <f t="shared" si="77"/>
        <v/>
      </c>
      <c r="W118" s="56"/>
      <c r="X118" s="56"/>
      <c r="Y118" s="56"/>
      <c r="Z118" s="56" t="str">
        <f t="shared" si="78"/>
        <v/>
      </c>
      <c r="AA118" s="56" t="str">
        <f t="shared" si="79"/>
        <v/>
      </c>
      <c r="AB118" s="56" t="str">
        <f t="shared" si="9"/>
        <v>ToolPrototype</v>
      </c>
      <c r="AC118" s="56" t="str">
        <f t="shared" si="80"/>
        <v/>
      </c>
      <c r="AD118" s="56" t="str">
        <f t="shared" si="10"/>
        <v>&lt;device&gt;
&lt;name&gt;SxxRyy&lt;/name&gt;
&lt;type&gt;FCA_DN_FANUC&lt;/type&gt;
&lt;deviceNetwork&gt;201&lt;/deviceNetwork&gt;
&lt;deviceNode&gt;56&lt;/deviceNode&gt;
&lt;/device&gt;</v>
      </c>
      <c r="AE118" s="56" t="str">
        <f t="shared" si="11"/>
        <v/>
      </c>
      <c r="AF118" s="56" t="str">
        <f t="shared" si="12"/>
        <v/>
      </c>
      <c r="AG118" s="56" t="str">
        <f t="shared" si="13"/>
        <v/>
      </c>
      <c r="AH118" s="56" t="str">
        <f t="shared" si="14"/>
        <v/>
      </c>
      <c r="AI118" s="56" t="str">
        <f t="shared" si="15"/>
        <v/>
      </c>
      <c r="AJ118" s="56" t="str">
        <f t="shared" si="16"/>
        <v/>
      </c>
      <c r="AK118" s="56" t="str">
        <f t="shared" si="17"/>
        <v/>
      </c>
      <c r="AL118" s="56" t="str">
        <f t="shared" si="18"/>
        <v/>
      </c>
      <c r="AM118" s="56" t="str">
        <f t="shared" si="19"/>
        <v/>
      </c>
      <c r="AN118" s="56" t="str">
        <f t="shared" si="81"/>
        <v/>
      </c>
      <c r="AO118" s="56" t="str">
        <f t="shared" si="82"/>
        <v>ROBOTS:SxxRyy\KEYS|ROBOTS_NOPLC:SxxRyy\KEYS</v>
      </c>
      <c r="AP118" s="56" t="str">
        <f t="shared" si="83"/>
        <v>KEY</v>
      </c>
      <c r="AQ118" s="56" t="str">
        <f t="shared" si="84"/>
        <v>ENTRY</v>
      </c>
      <c r="AR118" s="39" t="s">
        <v>130</v>
      </c>
      <c r="AT118" s="44" t="str">
        <f t="shared" si="85"/>
        <v>BOOL</v>
      </c>
      <c r="AU118" s="23" t="str">
        <f t="shared" si="86"/>
        <v/>
      </c>
      <c r="AV118" s="23" t="str">
        <f t="shared" si="87"/>
        <v/>
      </c>
      <c r="AW118" s="23" t="str">
        <f t="shared" si="88"/>
        <v/>
      </c>
      <c r="AX118" s="23" t="str">
        <f t="shared" si="89"/>
        <v/>
      </c>
      <c r="AY118" s="36" t="str">
        <f t="shared" si="90"/>
        <v/>
      </c>
      <c r="BB118" s="42" t="s">
        <v>15</v>
      </c>
      <c r="BC118" t="s">
        <v>103</v>
      </c>
      <c r="BD118" t="str">
        <f t="shared" si="61"/>
        <v>SxxRyy</v>
      </c>
      <c r="BS118" t="str">
        <f t="shared" si="95"/>
        <v>ROBOTS:SxxRyy\KEYS|ROBOTS_NOPLC:SxxRyy\KEYS</v>
      </c>
      <c r="BV118" s="30" t="s">
        <v>561</v>
      </c>
      <c r="BY118" s="42"/>
      <c r="CB118" s="42"/>
      <c r="CE118" s="30"/>
      <c r="CH118" s="42"/>
      <c r="CN118" s="30"/>
      <c r="CP118" t="s">
        <v>12</v>
      </c>
      <c r="CQ118" s="40"/>
      <c r="CR118" s="30"/>
    </row>
    <row r="119" spans="2:96" x14ac:dyDescent="0.35">
      <c r="B119" s="4" t="str">
        <f t="shared" si="62"/>
        <v>FANUC_SxxRyy</v>
      </c>
      <c r="C119" s="4"/>
      <c r="D119" s="4" t="str">
        <f t="shared" si="63"/>
        <v>From_SIM_480VACPowerOk</v>
      </c>
      <c r="E119" s="4" t="str">
        <f t="shared" si="64"/>
        <v>LBS_DPyy_DisconnectOn</v>
      </c>
      <c r="F119" s="4" t="str">
        <f t="shared" si="65"/>
        <v>I</v>
      </c>
      <c r="G119" s="4" t="str">
        <f t="shared" si="66"/>
        <v/>
      </c>
      <c r="H119" s="4" t="str">
        <f t="shared" si="67"/>
        <v/>
      </c>
      <c r="I119" s="4" t="str">
        <f t="shared" si="68"/>
        <v/>
      </c>
      <c r="J119" s="4"/>
      <c r="K119" s="56" t="str">
        <f t="shared" si="69"/>
        <v>BOOL</v>
      </c>
      <c r="L119" s="56" t="str">
        <f t="shared" si="4"/>
        <v>ROBOTS\SxxRyy</v>
      </c>
      <c r="M119" s="56" t="str">
        <f t="shared" si="5"/>
        <v>STELLANTIS\Common\ToolPrototype\Robots</v>
      </c>
      <c r="N119" s="56" t="str">
        <f t="shared" si="6"/>
        <v>STELLANTIS_DN_FANUC_ROBOT_128_BIT_INTEGRATED_SAFETY_SxxRyy.v00</v>
      </c>
      <c r="O119" s="56" t="str">
        <f t="shared" si="70"/>
        <v/>
      </c>
      <c r="P119" s="56" t="str">
        <f t="shared" si="71"/>
        <v/>
      </c>
      <c r="Q119" s="56" t="str">
        <f t="shared" si="72"/>
        <v/>
      </c>
      <c r="R119" s="56" t="str">
        <f t="shared" si="73"/>
        <v/>
      </c>
      <c r="S119" s="56" t="str">
        <f t="shared" si="74"/>
        <v/>
      </c>
      <c r="T119" s="56" t="str">
        <f t="shared" si="75"/>
        <v/>
      </c>
      <c r="U119" s="56" t="str">
        <f t="shared" si="76"/>
        <v/>
      </c>
      <c r="V119" s="56" t="str">
        <f t="shared" si="77"/>
        <v/>
      </c>
      <c r="W119" s="56"/>
      <c r="X119" s="56"/>
      <c r="Y119" s="56"/>
      <c r="Z119" s="56" t="str">
        <f t="shared" si="78"/>
        <v/>
      </c>
      <c r="AA119" s="56" t="str">
        <f t="shared" si="79"/>
        <v/>
      </c>
      <c r="AB119" s="56" t="str">
        <f t="shared" si="9"/>
        <v>ToolPrototype</v>
      </c>
      <c r="AC119" s="56" t="str">
        <f t="shared" si="80"/>
        <v/>
      </c>
      <c r="AD119" s="56" t="str">
        <f t="shared" si="10"/>
        <v>&lt;device&gt;
&lt;name&gt;SxxRyy&lt;/name&gt;
&lt;type&gt;FCA_DN_FANUC&lt;/type&gt;
&lt;deviceNetwork&gt;201&lt;/deviceNetwork&gt;
&lt;deviceNode&gt;56&lt;/deviceNode&gt;
&lt;/device&gt;</v>
      </c>
      <c r="AE119" s="56" t="str">
        <f t="shared" si="11"/>
        <v/>
      </c>
      <c r="AF119" s="56" t="str">
        <f t="shared" si="12"/>
        <v/>
      </c>
      <c r="AG119" s="56" t="str">
        <f t="shared" si="13"/>
        <v/>
      </c>
      <c r="AH119" s="56" t="str">
        <f t="shared" si="14"/>
        <v/>
      </c>
      <c r="AI119" s="56" t="str">
        <f t="shared" si="15"/>
        <v/>
      </c>
      <c r="AJ119" s="56" t="str">
        <f t="shared" si="16"/>
        <v/>
      </c>
      <c r="AK119" s="56" t="str">
        <f t="shared" si="17"/>
        <v/>
      </c>
      <c r="AL119" s="56" t="str">
        <f t="shared" si="18"/>
        <v/>
      </c>
      <c r="AM119" s="56" t="str">
        <f t="shared" si="19"/>
        <v/>
      </c>
      <c r="AN119" s="56" t="str">
        <f t="shared" si="81"/>
        <v/>
      </c>
      <c r="AO119" s="56" t="str">
        <f t="shared" si="82"/>
        <v/>
      </c>
      <c r="AP119" s="56" t="str">
        <f t="shared" si="83"/>
        <v>LBS</v>
      </c>
      <c r="AQ119" s="56" t="str">
        <f t="shared" si="84"/>
        <v>ENTRY</v>
      </c>
      <c r="AR119" s="39" t="s">
        <v>130</v>
      </c>
      <c r="AT119" s="44" t="str">
        <f t="shared" si="85"/>
        <v>BOOL</v>
      </c>
      <c r="AU119" s="23" t="str">
        <f t="shared" si="86"/>
        <v/>
      </c>
      <c r="AV119" s="23" t="str">
        <f t="shared" si="87"/>
        <v/>
      </c>
      <c r="AW119" s="23" t="str">
        <f t="shared" si="88"/>
        <v/>
      </c>
      <c r="AX119" s="23" t="str">
        <f t="shared" si="89"/>
        <v/>
      </c>
      <c r="AY119" s="36" t="str">
        <f t="shared" si="90"/>
        <v/>
      </c>
      <c r="BB119" s="42" t="s">
        <v>15</v>
      </c>
      <c r="BC119" t="s">
        <v>63</v>
      </c>
      <c r="BD119" t="str">
        <f>"LBS_"&amp;LEFT(Header_Config06,FIND(":",Header_Config06)-1)&amp;"_DisconnectOn"</f>
        <v>LBS_DPyy_DisconnectOn</v>
      </c>
      <c r="BE119" t="s">
        <v>64</v>
      </c>
      <c r="BU119" t="s">
        <v>105</v>
      </c>
      <c r="BV119" s="30" t="s">
        <v>562</v>
      </c>
      <c r="BY119" s="42"/>
      <c r="CB119" s="42"/>
      <c r="CE119" s="30"/>
      <c r="CH119" s="42"/>
      <c r="CN119" s="30"/>
      <c r="CP119" t="s">
        <v>12</v>
      </c>
      <c r="CQ119" s="40"/>
      <c r="CR119" s="30"/>
    </row>
    <row r="120" spans="2:96" x14ac:dyDescent="0.35">
      <c r="B120" s="4" t="str">
        <f t="shared" si="62"/>
        <v>FANUC_SxxRyy</v>
      </c>
      <c r="C120" s="4"/>
      <c r="D120" s="4" t="str">
        <f t="shared" si="63"/>
        <v>From_SIM_InputPwrOk</v>
      </c>
      <c r="E120" s="4" t="str">
        <f t="shared" si="64"/>
        <v>LBS_PSyy_AUX1_NMP</v>
      </c>
      <c r="F120" s="4" t="str">
        <f t="shared" si="65"/>
        <v>I</v>
      </c>
      <c r="G120" s="4" t="str">
        <f t="shared" si="66"/>
        <v/>
      </c>
      <c r="H120" s="4" t="str">
        <f t="shared" si="67"/>
        <v/>
      </c>
      <c r="I120" s="4" t="str">
        <f t="shared" si="68"/>
        <v/>
      </c>
      <c r="J120" s="4"/>
      <c r="K120" s="56" t="str">
        <f t="shared" si="69"/>
        <v>BOOL</v>
      </c>
      <c r="L120" s="56" t="str">
        <f t="shared" si="4"/>
        <v>ROBOTS\SxxRyy</v>
      </c>
      <c r="M120" s="56" t="str">
        <f t="shared" si="5"/>
        <v>STELLANTIS\Common\ToolPrototype\Robots</v>
      </c>
      <c r="N120" s="56" t="str">
        <f t="shared" si="6"/>
        <v>STELLANTIS_DN_FANUC_ROBOT_128_BIT_INTEGRATED_SAFETY_SxxRyy.v00</v>
      </c>
      <c r="O120" s="56" t="str">
        <f t="shared" si="70"/>
        <v/>
      </c>
      <c r="P120" s="56" t="str">
        <f t="shared" si="71"/>
        <v/>
      </c>
      <c r="Q120" s="56" t="str">
        <f t="shared" si="72"/>
        <v/>
      </c>
      <c r="R120" s="56" t="str">
        <f t="shared" si="73"/>
        <v/>
      </c>
      <c r="S120" s="56" t="str">
        <f t="shared" si="74"/>
        <v/>
      </c>
      <c r="T120" s="56" t="str">
        <f t="shared" si="75"/>
        <v/>
      </c>
      <c r="U120" s="56" t="str">
        <f t="shared" si="76"/>
        <v/>
      </c>
      <c r="V120" s="56" t="str">
        <f t="shared" si="77"/>
        <v/>
      </c>
      <c r="W120" s="56"/>
      <c r="X120" s="56"/>
      <c r="Y120" s="56"/>
      <c r="Z120" s="56" t="str">
        <f t="shared" si="78"/>
        <v/>
      </c>
      <c r="AA120" s="56" t="str">
        <f t="shared" si="79"/>
        <v/>
      </c>
      <c r="AB120" s="56" t="str">
        <f t="shared" si="9"/>
        <v>ToolPrototype</v>
      </c>
      <c r="AC120" s="56" t="str">
        <f t="shared" si="80"/>
        <v/>
      </c>
      <c r="AD120" s="56" t="str">
        <f t="shared" si="10"/>
        <v>&lt;device&gt;
&lt;name&gt;SxxRyy&lt;/name&gt;
&lt;type&gt;FCA_DN_FANUC&lt;/type&gt;
&lt;deviceNetwork&gt;201&lt;/deviceNetwork&gt;
&lt;deviceNode&gt;56&lt;/deviceNode&gt;
&lt;/device&gt;</v>
      </c>
      <c r="AE120" s="56" t="str">
        <f t="shared" si="11"/>
        <v/>
      </c>
      <c r="AF120" s="56" t="str">
        <f t="shared" si="12"/>
        <v/>
      </c>
      <c r="AG120" s="56" t="str">
        <f t="shared" si="13"/>
        <v/>
      </c>
      <c r="AH120" s="56" t="str">
        <f t="shared" si="14"/>
        <v/>
      </c>
      <c r="AI120" s="56" t="str">
        <f t="shared" si="15"/>
        <v/>
      </c>
      <c r="AJ120" s="56" t="str">
        <f t="shared" si="16"/>
        <v/>
      </c>
      <c r="AK120" s="56" t="str">
        <f t="shared" si="17"/>
        <v/>
      </c>
      <c r="AL120" s="56" t="str">
        <f t="shared" si="18"/>
        <v/>
      </c>
      <c r="AM120" s="56" t="str">
        <f t="shared" si="19"/>
        <v/>
      </c>
      <c r="AN120" s="56" t="str">
        <f t="shared" si="81"/>
        <v/>
      </c>
      <c r="AO120" s="56" t="str">
        <f t="shared" si="82"/>
        <v/>
      </c>
      <c r="AP120" s="56" t="str">
        <f t="shared" si="83"/>
        <v>LBS</v>
      </c>
      <c r="AQ120" s="56" t="str">
        <f t="shared" si="84"/>
        <v>ENTRY</v>
      </c>
      <c r="AR120" s="39" t="s">
        <v>130</v>
      </c>
      <c r="AT120" s="44" t="str">
        <f t="shared" si="85"/>
        <v>BOOL</v>
      </c>
      <c r="AU120" s="23" t="str">
        <f t="shared" si="86"/>
        <v/>
      </c>
      <c r="AV120" s="23" t="str">
        <f t="shared" si="87"/>
        <v/>
      </c>
      <c r="AW120" s="23" t="str">
        <f t="shared" si="88"/>
        <v/>
      </c>
      <c r="AX120" s="23" t="str">
        <f t="shared" si="89"/>
        <v/>
      </c>
      <c r="AY120" s="36" t="str">
        <f t="shared" si="90"/>
        <v/>
      </c>
      <c r="BB120" s="42" t="s">
        <v>15</v>
      </c>
      <c r="BC120" t="s">
        <v>63</v>
      </c>
      <c r="BD120" t="str">
        <f>"LBS_"&amp;SUBSTITUTE(Header_Config07,":","_")&amp;"_NMP"</f>
        <v>LBS_PSyy_AUX1_NMP</v>
      </c>
      <c r="BE120" t="s">
        <v>64</v>
      </c>
      <c r="BU120" t="s">
        <v>105</v>
      </c>
      <c r="BV120" s="30" t="s">
        <v>290</v>
      </c>
      <c r="BY120" s="42"/>
      <c r="CB120" s="42"/>
      <c r="CE120" s="30"/>
      <c r="CH120" s="42"/>
      <c r="CN120" s="30"/>
      <c r="CP120" t="s">
        <v>12</v>
      </c>
      <c r="CQ120" s="40"/>
      <c r="CR120" s="30"/>
    </row>
    <row r="121" spans="2:96" x14ac:dyDescent="0.35">
      <c r="B121" s="4" t="str">
        <f t="shared" si="62"/>
        <v>FANUC_SxxRyy</v>
      </c>
      <c r="C121" s="4"/>
      <c r="D121" s="4" t="str">
        <f t="shared" si="63"/>
        <v>From_SIM_ScannerOk</v>
      </c>
      <c r="E121" s="4" t="str">
        <f t="shared" si="64"/>
        <v>LBS_DNET_201_ScannerOk</v>
      </c>
      <c r="F121" s="4" t="str">
        <f t="shared" si="65"/>
        <v>I</v>
      </c>
      <c r="G121" s="4" t="str">
        <f t="shared" si="66"/>
        <v/>
      </c>
      <c r="H121" s="4" t="str">
        <f t="shared" si="67"/>
        <v/>
      </c>
      <c r="I121" s="4" t="str">
        <f t="shared" si="68"/>
        <v/>
      </c>
      <c r="J121" s="4"/>
      <c r="K121" s="56" t="str">
        <f t="shared" si="69"/>
        <v>BOOL</v>
      </c>
      <c r="L121" s="56" t="str">
        <f t="shared" si="4"/>
        <v>ROBOTS\SxxRyy</v>
      </c>
      <c r="M121" s="56" t="str">
        <f t="shared" si="5"/>
        <v>STELLANTIS\Common\ToolPrototype\Robots</v>
      </c>
      <c r="N121" s="56" t="str">
        <f t="shared" si="6"/>
        <v>STELLANTIS_DN_FANUC_ROBOT_128_BIT_INTEGRATED_SAFETY_SxxRyy.v00</v>
      </c>
      <c r="O121" s="56" t="str">
        <f t="shared" si="70"/>
        <v/>
      </c>
      <c r="P121" s="56" t="str">
        <f t="shared" si="71"/>
        <v/>
      </c>
      <c r="Q121" s="56" t="str">
        <f t="shared" si="72"/>
        <v/>
      </c>
      <c r="R121" s="56" t="str">
        <f t="shared" si="73"/>
        <v/>
      </c>
      <c r="S121" s="56" t="str">
        <f t="shared" si="74"/>
        <v/>
      </c>
      <c r="T121" s="56" t="str">
        <f t="shared" si="75"/>
        <v/>
      </c>
      <c r="U121" s="56" t="str">
        <f t="shared" si="76"/>
        <v/>
      </c>
      <c r="V121" s="56" t="str">
        <f t="shared" si="77"/>
        <v/>
      </c>
      <c r="W121" s="56"/>
      <c r="X121" s="56"/>
      <c r="Y121" s="56"/>
      <c r="Z121" s="56" t="str">
        <f t="shared" si="78"/>
        <v/>
      </c>
      <c r="AA121" s="56" t="str">
        <f t="shared" si="79"/>
        <v/>
      </c>
      <c r="AB121" s="56" t="str">
        <f t="shared" si="9"/>
        <v>ToolPrototype</v>
      </c>
      <c r="AC121" s="56" t="str">
        <f t="shared" si="80"/>
        <v/>
      </c>
      <c r="AD121" s="56" t="str">
        <f t="shared" si="10"/>
        <v>&lt;device&gt;
&lt;name&gt;SxxRyy&lt;/name&gt;
&lt;type&gt;FCA_DN_FANUC&lt;/type&gt;
&lt;deviceNetwork&gt;201&lt;/deviceNetwork&gt;
&lt;deviceNode&gt;56&lt;/deviceNode&gt;
&lt;/device&gt;</v>
      </c>
      <c r="AE121" s="56" t="str">
        <f t="shared" si="11"/>
        <v/>
      </c>
      <c r="AF121" s="56" t="str">
        <f t="shared" si="12"/>
        <v/>
      </c>
      <c r="AG121" s="56" t="str">
        <f t="shared" si="13"/>
        <v/>
      </c>
      <c r="AH121" s="56" t="str">
        <f t="shared" si="14"/>
        <v/>
      </c>
      <c r="AI121" s="56" t="str">
        <f t="shared" si="15"/>
        <v/>
      </c>
      <c r="AJ121" s="56" t="str">
        <f t="shared" si="16"/>
        <v/>
      </c>
      <c r="AK121" s="56" t="str">
        <f t="shared" si="17"/>
        <v/>
      </c>
      <c r="AL121" s="56" t="str">
        <f t="shared" si="18"/>
        <v/>
      </c>
      <c r="AM121" s="56" t="str">
        <f t="shared" si="19"/>
        <v/>
      </c>
      <c r="AN121" s="56" t="str">
        <f t="shared" si="81"/>
        <v/>
      </c>
      <c r="AO121" s="56" t="str">
        <f t="shared" si="82"/>
        <v/>
      </c>
      <c r="AP121" s="56" t="str">
        <f t="shared" si="83"/>
        <v>LBS</v>
      </c>
      <c r="AQ121" s="56" t="str">
        <f t="shared" si="84"/>
        <v>ENTRY</v>
      </c>
      <c r="AR121" s="39" t="s">
        <v>130</v>
      </c>
      <c r="AT121" s="44" t="str">
        <f t="shared" si="85"/>
        <v>BOOL</v>
      </c>
      <c r="AU121" s="23" t="str">
        <f t="shared" si="86"/>
        <v/>
      </c>
      <c r="AV121" s="23" t="str">
        <f t="shared" si="87"/>
        <v/>
      </c>
      <c r="AW121" s="23" t="str">
        <f t="shared" si="88"/>
        <v/>
      </c>
      <c r="AX121" s="23" t="str">
        <f t="shared" si="89"/>
        <v/>
      </c>
      <c r="AY121" s="36" t="str">
        <f t="shared" si="90"/>
        <v/>
      </c>
      <c r="BB121" s="42" t="s">
        <v>15</v>
      </c>
      <c r="BC121" t="s">
        <v>63</v>
      </c>
      <c r="BD121" t="str">
        <f>"LBS_DNET_"&amp;Header_Config03&amp;"_ScannerOk"</f>
        <v>LBS_DNET_201_ScannerOk</v>
      </c>
      <c r="BE121" t="s">
        <v>64</v>
      </c>
      <c r="BU121" t="s">
        <v>105</v>
      </c>
      <c r="BV121" s="30" t="s">
        <v>256</v>
      </c>
      <c r="BY121" s="42"/>
      <c r="CB121" s="42"/>
      <c r="CE121" s="30"/>
      <c r="CH121" s="42"/>
      <c r="CN121" s="30"/>
      <c r="CP121" t="s">
        <v>12</v>
      </c>
      <c r="CQ121" s="40"/>
      <c r="CR121" s="30"/>
    </row>
    <row r="122" spans="2:96" x14ac:dyDescent="0.35">
      <c r="B122" s="4" t="str">
        <f t="shared" si="62"/>
        <v>FANUC_SxxRyy</v>
      </c>
      <c r="C122" s="4"/>
      <c r="D122" s="4" t="str">
        <f t="shared" si="63"/>
        <v>To_PSF_RunMode</v>
      </c>
      <c r="E122" s="4" t="str">
        <f t="shared" si="64"/>
        <v>_VC_DNS201N56_I.RunMode</v>
      </c>
      <c r="F122" s="4" t="str">
        <f t="shared" si="65"/>
        <v>I</v>
      </c>
      <c r="G122" s="4" t="str">
        <f t="shared" si="66"/>
        <v/>
      </c>
      <c r="H122" s="4" t="str">
        <f t="shared" si="67"/>
        <v>Controller: &lt;SxxRyy_S.I1.RunMode&gt; - FIRST NODE IN RUN MODE</v>
      </c>
      <c r="I122" s="4" t="str">
        <f t="shared" si="68"/>
        <v>AB_RACKx_SLOTa</v>
      </c>
      <c r="J122" s="4"/>
      <c r="K122" s="56" t="str">
        <f t="shared" si="69"/>
        <v>BOOL</v>
      </c>
      <c r="L122" s="56" t="str">
        <f t="shared" si="4"/>
        <v>ROBOTS\SxxRyy</v>
      </c>
      <c r="M122" s="56" t="str">
        <f t="shared" si="5"/>
        <v>STELLANTIS\Common\ToolPrototype\Robots</v>
      </c>
      <c r="N122" s="56" t="str">
        <f t="shared" si="6"/>
        <v>STELLANTIS_DN_FANUC_ROBOT_128_BIT_INTEGRATED_SAFETY_SxxRyy.v00</v>
      </c>
      <c r="O122" s="56" t="str">
        <f t="shared" si="70"/>
        <v/>
      </c>
      <c r="P122" s="56" t="str">
        <f t="shared" si="71"/>
        <v/>
      </c>
      <c r="Q122" s="56" t="str">
        <f t="shared" si="72"/>
        <v/>
      </c>
      <c r="R122" s="56" t="str">
        <f t="shared" si="73"/>
        <v/>
      </c>
      <c r="S122" s="56" t="str">
        <f t="shared" si="74"/>
        <v/>
      </c>
      <c r="T122" s="56" t="str">
        <f t="shared" si="75"/>
        <v>DNS201N56:I.RunMode</v>
      </c>
      <c r="U122" s="56" t="str">
        <f t="shared" si="76"/>
        <v/>
      </c>
      <c r="V122" s="56" t="str">
        <f t="shared" si="77"/>
        <v/>
      </c>
      <c r="W122" s="56"/>
      <c r="X122" s="56"/>
      <c r="Y122" s="56"/>
      <c r="Z122" s="56" t="str">
        <f t="shared" si="78"/>
        <v/>
      </c>
      <c r="AA122" s="56" t="str">
        <f t="shared" si="79"/>
        <v/>
      </c>
      <c r="AB122" s="56" t="str">
        <f t="shared" si="9"/>
        <v>ToolPrototype</v>
      </c>
      <c r="AC122" s="56" t="str">
        <f t="shared" si="80"/>
        <v/>
      </c>
      <c r="AD122" s="56" t="str">
        <f t="shared" si="10"/>
        <v>&lt;device&gt;
&lt;name&gt;SxxRyy&lt;/name&gt;
&lt;type&gt;FCA_DN_FANUC&lt;/type&gt;
&lt;deviceNetwork&gt;201&lt;/deviceNetwork&gt;
&lt;deviceNode&gt;56&lt;/deviceNode&gt;
&lt;/device&gt;</v>
      </c>
      <c r="AE122" s="56" t="str">
        <f t="shared" si="11"/>
        <v/>
      </c>
      <c r="AF122" s="56" t="str">
        <f t="shared" si="12"/>
        <v/>
      </c>
      <c r="AG122" s="56" t="str">
        <f t="shared" si="13"/>
        <v/>
      </c>
      <c r="AH122" s="56" t="str">
        <f t="shared" si="14"/>
        <v/>
      </c>
      <c r="AI122" s="56" t="str">
        <f t="shared" si="15"/>
        <v/>
      </c>
      <c r="AJ122" s="56" t="str">
        <f t="shared" si="16"/>
        <v/>
      </c>
      <c r="AK122" s="56" t="str">
        <f t="shared" si="17"/>
        <v/>
      </c>
      <c r="AL122" s="56" t="str">
        <f t="shared" si="18"/>
        <v/>
      </c>
      <c r="AM122" s="56" t="str">
        <f t="shared" si="19"/>
        <v/>
      </c>
      <c r="AN122" s="56" t="str">
        <f t="shared" si="81"/>
        <v/>
      </c>
      <c r="AO122" s="56" t="str">
        <f t="shared" si="82"/>
        <v/>
      </c>
      <c r="AP122" s="56" t="str">
        <f t="shared" si="83"/>
        <v>PSF</v>
      </c>
      <c r="AQ122" s="56" t="str">
        <f t="shared" si="84"/>
        <v>EXIT</v>
      </c>
      <c r="AR122" s="39" t="s">
        <v>130</v>
      </c>
      <c r="AT122" s="44" t="str">
        <f t="shared" si="85"/>
        <v>BOOL</v>
      </c>
      <c r="AU122" s="23">
        <f t="shared" si="86"/>
        <v>0</v>
      </c>
      <c r="AV122" s="23" t="str">
        <f t="shared" si="87"/>
        <v>I</v>
      </c>
      <c r="AW122" s="23" t="str">
        <f t="shared" si="88"/>
        <v xml:space="preserve">I.: </v>
      </c>
      <c r="AX122" s="23" t="str">
        <f t="shared" si="89"/>
        <v>_VC_DNS201N56_I.RunMode</v>
      </c>
      <c r="AY122" s="36" t="str">
        <f t="shared" si="90"/>
        <v xml:space="preserve">Controller: &lt;SxxRyy_S.I1.RunMode&gt; - </v>
      </c>
      <c r="BB122" s="42" t="s">
        <v>17</v>
      </c>
      <c r="BC122" t="s">
        <v>22</v>
      </c>
      <c r="BD122" t="str">
        <f t="shared" ref="BD122:BD132" si="96">Header_Config01</f>
        <v>AB_RACKx_SLOTa</v>
      </c>
      <c r="BV122" s="30" t="s">
        <v>20</v>
      </c>
      <c r="BY122" s="42"/>
      <c r="CB122" s="42"/>
      <c r="CE122" s="30"/>
      <c r="CH122" s="42" t="s">
        <v>66</v>
      </c>
      <c r="CI122" t="s">
        <v>99</v>
      </c>
      <c r="CJ122" t="str">
        <f>Prep!$U$2&amp;":I."</f>
        <v>DNS201N56:I.</v>
      </c>
      <c r="CK122" t="s">
        <v>20</v>
      </c>
      <c r="CL122" t="s">
        <v>1166</v>
      </c>
      <c r="CM122" t="s">
        <v>75</v>
      </c>
      <c r="CN122" s="30" t="str">
        <f t="shared" ref="CN122:CN132" si="97">Header_Config02&amp;"_S.I1."</f>
        <v>SxxRyy_S.I1.</v>
      </c>
      <c r="CO122" t="s">
        <v>20</v>
      </c>
      <c r="CP122" t="s">
        <v>12</v>
      </c>
      <c r="CQ122" s="40"/>
      <c r="CR122" s="30" t="s">
        <v>563</v>
      </c>
    </row>
    <row r="123" spans="2:96" x14ac:dyDescent="0.35">
      <c r="B123" s="4" t="str">
        <f t="shared" si="62"/>
        <v>FANUC_SxxRyy</v>
      </c>
      <c r="C123" s="4"/>
      <c r="D123" s="4" t="str">
        <f t="shared" si="63"/>
        <v>To_PSF_ConnectionFaulted</v>
      </c>
      <c r="E123" s="4" t="str">
        <f t="shared" si="64"/>
        <v>_VC_DNS201N56_I.ConnectionFaulted</v>
      </c>
      <c r="F123" s="4" t="str">
        <f t="shared" si="65"/>
        <v>I</v>
      </c>
      <c r="G123" s="4" t="str">
        <f t="shared" si="66"/>
        <v/>
      </c>
      <c r="H123" s="4" t="str">
        <f t="shared" si="67"/>
        <v>Controller: &lt;SxxRyy_S.I1.ConnectionFaulted&gt; - FIRST NODE CONNECTION FAULTED</v>
      </c>
      <c r="I123" s="4" t="str">
        <f t="shared" si="68"/>
        <v>AB_RACKx_SLOTa</v>
      </c>
      <c r="J123" s="4"/>
      <c r="K123" s="56" t="str">
        <f t="shared" si="69"/>
        <v>BOOL</v>
      </c>
      <c r="L123" s="56" t="str">
        <f t="shared" si="4"/>
        <v>ROBOTS\SxxRyy</v>
      </c>
      <c r="M123" s="56" t="str">
        <f t="shared" si="5"/>
        <v>STELLANTIS\Common\ToolPrototype\Robots</v>
      </c>
      <c r="N123" s="56" t="str">
        <f t="shared" si="6"/>
        <v>STELLANTIS_DN_FANUC_ROBOT_128_BIT_INTEGRATED_SAFETY_SxxRyy.v00</v>
      </c>
      <c r="O123" s="56" t="str">
        <f t="shared" si="70"/>
        <v/>
      </c>
      <c r="P123" s="56" t="str">
        <f t="shared" si="71"/>
        <v/>
      </c>
      <c r="Q123" s="56" t="str">
        <f t="shared" si="72"/>
        <v/>
      </c>
      <c r="R123" s="56" t="str">
        <f t="shared" si="73"/>
        <v/>
      </c>
      <c r="S123" s="56" t="str">
        <f t="shared" si="74"/>
        <v/>
      </c>
      <c r="T123" s="56" t="str">
        <f t="shared" si="75"/>
        <v>DNS201N56:I.ConnectionFaulted</v>
      </c>
      <c r="U123" s="56" t="str">
        <f t="shared" si="76"/>
        <v/>
      </c>
      <c r="V123" s="56" t="str">
        <f t="shared" si="77"/>
        <v/>
      </c>
      <c r="W123" s="56"/>
      <c r="X123" s="56"/>
      <c r="Y123" s="56"/>
      <c r="Z123" s="56" t="str">
        <f t="shared" si="78"/>
        <v/>
      </c>
      <c r="AA123" s="56" t="str">
        <f t="shared" si="79"/>
        <v/>
      </c>
      <c r="AB123" s="56" t="str">
        <f t="shared" si="9"/>
        <v>ToolPrototype</v>
      </c>
      <c r="AC123" s="56" t="str">
        <f t="shared" si="80"/>
        <v/>
      </c>
      <c r="AD123" s="56" t="str">
        <f t="shared" si="10"/>
        <v>&lt;device&gt;
&lt;name&gt;SxxRyy&lt;/name&gt;
&lt;type&gt;FCA_DN_FANUC&lt;/type&gt;
&lt;deviceNetwork&gt;201&lt;/deviceNetwork&gt;
&lt;deviceNode&gt;56&lt;/deviceNode&gt;
&lt;/device&gt;</v>
      </c>
      <c r="AE123" s="56" t="str">
        <f t="shared" si="11"/>
        <v/>
      </c>
      <c r="AF123" s="56" t="str">
        <f t="shared" si="12"/>
        <v/>
      </c>
      <c r="AG123" s="56" t="str">
        <f t="shared" si="13"/>
        <v/>
      </c>
      <c r="AH123" s="56" t="str">
        <f t="shared" si="14"/>
        <v/>
      </c>
      <c r="AI123" s="56" t="str">
        <f t="shared" si="15"/>
        <v/>
      </c>
      <c r="AJ123" s="56" t="str">
        <f t="shared" si="16"/>
        <v/>
      </c>
      <c r="AK123" s="56" t="str">
        <f t="shared" si="17"/>
        <v/>
      </c>
      <c r="AL123" s="56" t="str">
        <f t="shared" si="18"/>
        <v/>
      </c>
      <c r="AM123" s="56" t="str">
        <f t="shared" si="19"/>
        <v/>
      </c>
      <c r="AN123" s="56" t="str">
        <f t="shared" si="81"/>
        <v/>
      </c>
      <c r="AO123" s="56" t="str">
        <f t="shared" si="82"/>
        <v/>
      </c>
      <c r="AP123" s="56" t="str">
        <f t="shared" si="83"/>
        <v>PSF</v>
      </c>
      <c r="AQ123" s="56" t="str">
        <f t="shared" si="84"/>
        <v>EXIT</v>
      </c>
      <c r="AR123" s="39" t="s">
        <v>130</v>
      </c>
      <c r="AT123" s="44" t="str">
        <f t="shared" si="85"/>
        <v>BOOL</v>
      </c>
      <c r="AU123" s="23">
        <f t="shared" si="86"/>
        <v>0</v>
      </c>
      <c r="AV123" s="23" t="str">
        <f t="shared" si="87"/>
        <v>I</v>
      </c>
      <c r="AW123" s="23" t="str">
        <f t="shared" si="88"/>
        <v xml:space="preserve">I.: </v>
      </c>
      <c r="AX123" s="23" t="str">
        <f t="shared" si="89"/>
        <v>_VC_DNS201N56_I.ConnectionFaulted</v>
      </c>
      <c r="AY123" s="36" t="str">
        <f t="shared" si="90"/>
        <v xml:space="preserve">Controller: &lt;SxxRyy_S.I1.ConnectionFaulted&gt; - </v>
      </c>
      <c r="BB123" s="42" t="s">
        <v>17</v>
      </c>
      <c r="BC123" t="s">
        <v>22</v>
      </c>
      <c r="BD123" t="str">
        <f t="shared" si="96"/>
        <v>AB_RACKx_SLOTa</v>
      </c>
      <c r="BV123" s="30" t="s">
        <v>21</v>
      </c>
      <c r="BY123" s="42"/>
      <c r="CB123" s="42"/>
      <c r="CE123" s="30"/>
      <c r="CH123" s="42" t="s">
        <v>66</v>
      </c>
      <c r="CI123" t="s">
        <v>99</v>
      </c>
      <c r="CJ123" t="str">
        <f>Prep!$U$2&amp;":I."</f>
        <v>DNS201N56:I.</v>
      </c>
      <c r="CK123" t="s">
        <v>21</v>
      </c>
      <c r="CL123" t="s">
        <v>1166</v>
      </c>
      <c r="CM123" t="s">
        <v>75</v>
      </c>
      <c r="CN123" s="30" t="str">
        <f t="shared" si="97"/>
        <v>SxxRyy_S.I1.</v>
      </c>
      <c r="CO123" t="s">
        <v>21</v>
      </c>
      <c r="CP123" t="s">
        <v>12</v>
      </c>
      <c r="CQ123" s="40"/>
      <c r="CR123" s="30" t="s">
        <v>564</v>
      </c>
    </row>
    <row r="124" spans="2:96" x14ac:dyDescent="0.35">
      <c r="B124" s="4" t="str">
        <f t="shared" si="62"/>
        <v>FANUC_SxxRyy</v>
      </c>
      <c r="C124" s="4"/>
      <c r="D124" s="4" t="str">
        <f t="shared" si="63"/>
        <v>To_PSF_RobotEStop</v>
      </c>
      <c r="E124" s="4" t="str">
        <f t="shared" si="64"/>
        <v>_VC_DNS201N56_I.Data[0].0</v>
      </c>
      <c r="F124" s="4" t="str">
        <f t="shared" si="65"/>
        <v>I</v>
      </c>
      <c r="G124" s="4" t="str">
        <f t="shared" si="66"/>
        <v/>
      </c>
      <c r="H124" s="4" t="str">
        <f t="shared" si="67"/>
        <v>Controller: &lt;SxxRyy_S.I1.CSO_1&gt; - ROBOT ESTOP MONITOR</v>
      </c>
      <c r="I124" s="4" t="str">
        <f t="shared" si="68"/>
        <v>AB_RACKx_SLOTa</v>
      </c>
      <c r="J124" s="4"/>
      <c r="K124" s="56" t="str">
        <f t="shared" si="69"/>
        <v>BOOL</v>
      </c>
      <c r="L124" s="56" t="str">
        <f t="shared" si="4"/>
        <v>ROBOTS\SxxRyy</v>
      </c>
      <c r="M124" s="56" t="str">
        <f t="shared" si="5"/>
        <v>STELLANTIS\Common\ToolPrototype\Robots</v>
      </c>
      <c r="N124" s="56" t="str">
        <f t="shared" si="6"/>
        <v>STELLANTIS_DN_FANUC_ROBOT_128_BIT_INTEGRATED_SAFETY_SxxRyy.v00</v>
      </c>
      <c r="O124" s="56" t="str">
        <f t="shared" si="70"/>
        <v/>
      </c>
      <c r="P124" s="56" t="str">
        <f t="shared" si="71"/>
        <v/>
      </c>
      <c r="Q124" s="56" t="str">
        <f t="shared" si="72"/>
        <v/>
      </c>
      <c r="R124" s="56" t="str">
        <f t="shared" si="73"/>
        <v/>
      </c>
      <c r="S124" s="56" t="str">
        <f t="shared" si="74"/>
        <v/>
      </c>
      <c r="T124" s="56" t="str">
        <f t="shared" si="75"/>
        <v>DNS201N56:I.Data[0].0</v>
      </c>
      <c r="U124" s="56" t="str">
        <f t="shared" si="76"/>
        <v/>
      </c>
      <c r="V124" s="56" t="str">
        <f t="shared" si="77"/>
        <v/>
      </c>
      <c r="W124" s="56"/>
      <c r="X124" s="56"/>
      <c r="Y124" s="56"/>
      <c r="Z124" s="56" t="str">
        <f t="shared" si="78"/>
        <v/>
      </c>
      <c r="AA124" s="56" t="str">
        <f t="shared" si="79"/>
        <v/>
      </c>
      <c r="AB124" s="56" t="str">
        <f t="shared" si="9"/>
        <v>ToolPrototype</v>
      </c>
      <c r="AC124" s="56" t="str">
        <f t="shared" si="80"/>
        <v/>
      </c>
      <c r="AD124" s="56" t="str">
        <f t="shared" si="10"/>
        <v>&lt;device&gt;
&lt;name&gt;SxxRyy&lt;/name&gt;
&lt;type&gt;FCA_DN_FANUC&lt;/type&gt;
&lt;deviceNetwork&gt;201&lt;/deviceNetwork&gt;
&lt;deviceNode&gt;56&lt;/deviceNode&gt;
&lt;/device&gt;</v>
      </c>
      <c r="AE124" s="56" t="str">
        <f t="shared" si="11"/>
        <v/>
      </c>
      <c r="AF124" s="56" t="str">
        <f t="shared" si="12"/>
        <v/>
      </c>
      <c r="AG124" s="56" t="str">
        <f t="shared" si="13"/>
        <v/>
      </c>
      <c r="AH124" s="56" t="str">
        <f t="shared" si="14"/>
        <v/>
      </c>
      <c r="AI124" s="56" t="str">
        <f t="shared" si="15"/>
        <v/>
      </c>
      <c r="AJ124" s="56" t="str">
        <f t="shared" si="16"/>
        <v/>
      </c>
      <c r="AK124" s="56" t="str">
        <f t="shared" si="17"/>
        <v/>
      </c>
      <c r="AL124" s="56" t="str">
        <f t="shared" si="18"/>
        <v/>
      </c>
      <c r="AM124" s="56" t="str">
        <f t="shared" si="19"/>
        <v/>
      </c>
      <c r="AN124" s="56" t="str">
        <f t="shared" si="81"/>
        <v/>
      </c>
      <c r="AO124" s="56" t="str">
        <f t="shared" si="82"/>
        <v>ROBOTS:SxxRyy\SAFETY|ROBOTS_NOPLC:SxxRyy\SAFETY</v>
      </c>
      <c r="AP124" s="56" t="str">
        <f t="shared" si="83"/>
        <v>PSF</v>
      </c>
      <c r="AQ124" s="56" t="str">
        <f t="shared" si="84"/>
        <v>EXIT</v>
      </c>
      <c r="AR124" s="39" t="s">
        <v>130</v>
      </c>
      <c r="AT124" s="44" t="str">
        <f t="shared" si="85"/>
        <v>BOOL</v>
      </c>
      <c r="AU124" s="23">
        <f t="shared" si="86"/>
        <v>0</v>
      </c>
      <c r="AV124" s="23" t="str">
        <f t="shared" si="87"/>
        <v>I</v>
      </c>
      <c r="AW124" s="23" t="str">
        <f t="shared" si="88"/>
        <v xml:space="preserve">I.: </v>
      </c>
      <c r="AX124" s="23" t="str">
        <f t="shared" si="89"/>
        <v>_VC_DNS201N56_I.Data[0].0</v>
      </c>
      <c r="AY124" s="36" t="str">
        <f t="shared" si="90"/>
        <v xml:space="preserve">Controller: &lt;SxxRyy_S.I1.CSO_1&gt; - </v>
      </c>
      <c r="BB124" s="42" t="s">
        <v>17</v>
      </c>
      <c r="BC124" t="s">
        <v>22</v>
      </c>
      <c r="BD124" t="str">
        <f t="shared" si="96"/>
        <v>AB_RACKx_SLOTa</v>
      </c>
      <c r="BS124" t="str">
        <f>"ROBOTS:"&amp;Header_Config02&amp;"\SAFETY|ROBOTS_NOPLC:"&amp;Header_Config02&amp;"\SAFETY"</f>
        <v>ROBOTS:SxxRyy\SAFETY|ROBOTS_NOPLC:SxxRyy\SAFETY</v>
      </c>
      <c r="BV124" s="30" t="s">
        <v>1150</v>
      </c>
      <c r="BY124" s="42"/>
      <c r="CB124" s="42"/>
      <c r="CE124" s="30"/>
      <c r="CH124" s="42" t="s">
        <v>66</v>
      </c>
      <c r="CI124" t="s">
        <v>99</v>
      </c>
      <c r="CJ124" t="str">
        <f>Prep!$U$2&amp;":I.Data[0]."</f>
        <v>DNS201N56:I.Data[0].</v>
      </c>
      <c r="CK124">
        <v>0</v>
      </c>
      <c r="CL124" t="s">
        <v>1166</v>
      </c>
      <c r="CM124" t="s">
        <v>75</v>
      </c>
      <c r="CN124" s="30" t="str">
        <f t="shared" si="97"/>
        <v>SxxRyy_S.I1.</v>
      </c>
      <c r="CO124" t="s">
        <v>1167</v>
      </c>
      <c r="CP124" t="s">
        <v>12</v>
      </c>
      <c r="CQ124" s="40"/>
      <c r="CR124" s="30" t="s">
        <v>1168</v>
      </c>
    </row>
    <row r="125" spans="2:96" x14ac:dyDescent="0.35">
      <c r="B125" s="4" t="str">
        <f t="shared" si="62"/>
        <v>FANUC_SxxRyy</v>
      </c>
      <c r="C125" s="4"/>
      <c r="D125" s="4" t="str">
        <f t="shared" si="63"/>
        <v>To_PSF_RobotMotorOffMonitor</v>
      </c>
      <c r="E125" s="4" t="str">
        <f t="shared" si="64"/>
        <v>_VC_DNS201N56_I.Data[0].1</v>
      </c>
      <c r="F125" s="4" t="str">
        <f t="shared" si="65"/>
        <v>I</v>
      </c>
      <c r="G125" s="4" t="str">
        <f t="shared" si="66"/>
        <v/>
      </c>
      <c r="H125" s="4" t="str">
        <f t="shared" si="67"/>
        <v>Controller: &lt;SxxRyy_S.I1.CSO_2&gt; - ROBOT MOTORS OFF MONITOR</v>
      </c>
      <c r="I125" s="4" t="str">
        <f t="shared" si="68"/>
        <v>AB_RACKx_SLOTa</v>
      </c>
      <c r="J125" s="4"/>
      <c r="K125" s="56" t="str">
        <f t="shared" si="69"/>
        <v>BOOL</v>
      </c>
      <c r="L125" s="56" t="str">
        <f t="shared" si="4"/>
        <v>ROBOTS\SxxRyy</v>
      </c>
      <c r="M125" s="56" t="str">
        <f t="shared" si="5"/>
        <v>STELLANTIS\Common\ToolPrototype\Robots</v>
      </c>
      <c r="N125" s="56" t="str">
        <f t="shared" si="6"/>
        <v>STELLANTIS_DN_FANUC_ROBOT_128_BIT_INTEGRATED_SAFETY_SxxRyy.v00</v>
      </c>
      <c r="O125" s="56" t="str">
        <f t="shared" si="70"/>
        <v/>
      </c>
      <c r="P125" s="56" t="str">
        <f t="shared" si="71"/>
        <v/>
      </c>
      <c r="Q125" s="56" t="str">
        <f t="shared" si="72"/>
        <v/>
      </c>
      <c r="R125" s="56" t="str">
        <f t="shared" si="73"/>
        <v/>
      </c>
      <c r="S125" s="56" t="str">
        <f t="shared" si="74"/>
        <v/>
      </c>
      <c r="T125" s="56" t="str">
        <f t="shared" si="75"/>
        <v>DNS201N56:I.Data[0].1</v>
      </c>
      <c r="U125" s="56" t="str">
        <f t="shared" si="76"/>
        <v/>
      </c>
      <c r="V125" s="56" t="str">
        <f t="shared" si="77"/>
        <v/>
      </c>
      <c r="W125" s="56"/>
      <c r="X125" s="56"/>
      <c r="Y125" s="56"/>
      <c r="Z125" s="56" t="str">
        <f t="shared" si="78"/>
        <v/>
      </c>
      <c r="AA125" s="56" t="str">
        <f t="shared" si="79"/>
        <v/>
      </c>
      <c r="AB125" s="56" t="str">
        <f t="shared" si="9"/>
        <v>ToolPrototype</v>
      </c>
      <c r="AC125" s="56" t="str">
        <f t="shared" si="80"/>
        <v/>
      </c>
      <c r="AD125" s="56" t="str">
        <f t="shared" si="10"/>
        <v>&lt;device&gt;
&lt;name&gt;SxxRyy&lt;/name&gt;
&lt;type&gt;FCA_DN_FANUC&lt;/type&gt;
&lt;deviceNetwork&gt;201&lt;/deviceNetwork&gt;
&lt;deviceNode&gt;56&lt;/deviceNode&gt;
&lt;/device&gt;</v>
      </c>
      <c r="AE125" s="56" t="str">
        <f t="shared" si="11"/>
        <v/>
      </c>
      <c r="AF125" s="56" t="str">
        <f t="shared" si="12"/>
        <v/>
      </c>
      <c r="AG125" s="56" t="str">
        <f t="shared" si="13"/>
        <v/>
      </c>
      <c r="AH125" s="56" t="str">
        <f t="shared" si="14"/>
        <v/>
      </c>
      <c r="AI125" s="56" t="str">
        <f t="shared" si="15"/>
        <v/>
      </c>
      <c r="AJ125" s="56" t="str">
        <f t="shared" si="16"/>
        <v/>
      </c>
      <c r="AK125" s="56" t="str">
        <f t="shared" si="17"/>
        <v/>
      </c>
      <c r="AL125" s="56" t="str">
        <f t="shared" si="18"/>
        <v/>
      </c>
      <c r="AM125" s="56" t="str">
        <f t="shared" si="19"/>
        <v/>
      </c>
      <c r="AN125" s="56" t="str">
        <f t="shared" si="81"/>
        <v/>
      </c>
      <c r="AO125" s="56" t="str">
        <f t="shared" si="82"/>
        <v>ROBOTS:SxxRyy\SAFETY|ROBOTS_NOPLC:SxxRyy\SAFETY</v>
      </c>
      <c r="AP125" s="56" t="str">
        <f t="shared" si="83"/>
        <v>PSF</v>
      </c>
      <c r="AQ125" s="56" t="str">
        <f t="shared" si="84"/>
        <v>EXIT</v>
      </c>
      <c r="AR125" s="39" t="s">
        <v>130</v>
      </c>
      <c r="AT125" s="44" t="str">
        <f t="shared" si="85"/>
        <v>BOOL</v>
      </c>
      <c r="AU125" s="23">
        <f t="shared" si="86"/>
        <v>0</v>
      </c>
      <c r="AV125" s="23" t="str">
        <f t="shared" si="87"/>
        <v>I</v>
      </c>
      <c r="AW125" s="23" t="str">
        <f t="shared" si="88"/>
        <v xml:space="preserve">I.: </v>
      </c>
      <c r="AX125" s="23" t="str">
        <f t="shared" si="89"/>
        <v>_VC_DNS201N56_I.Data[0].1</v>
      </c>
      <c r="AY125" s="36" t="str">
        <f t="shared" si="90"/>
        <v xml:space="preserve">Controller: &lt;SxxRyy_S.I1.CSO_2&gt; - </v>
      </c>
      <c r="BB125" s="42" t="s">
        <v>17</v>
      </c>
      <c r="BC125" t="s">
        <v>22</v>
      </c>
      <c r="BD125" t="str">
        <f t="shared" si="96"/>
        <v>AB_RACKx_SLOTa</v>
      </c>
      <c r="BS125" t="str">
        <f>"ROBOTS:"&amp;Header_Config02&amp;"\SAFETY|ROBOTS_NOPLC:"&amp;Header_Config02&amp;"\SAFETY"</f>
        <v>ROBOTS:SxxRyy\SAFETY|ROBOTS_NOPLC:SxxRyy\SAFETY</v>
      </c>
      <c r="BV125" s="30" t="s">
        <v>565</v>
      </c>
      <c r="BY125" s="42"/>
      <c r="CB125" s="42"/>
      <c r="CE125" s="30"/>
      <c r="CH125" s="42" t="s">
        <v>66</v>
      </c>
      <c r="CI125" t="s">
        <v>99</v>
      </c>
      <c r="CJ125" t="str">
        <f>Prep!$U$2&amp;":I.Data[0]."</f>
        <v>DNS201N56:I.Data[0].</v>
      </c>
      <c r="CK125">
        <v>1</v>
      </c>
      <c r="CL125" t="s">
        <v>1166</v>
      </c>
      <c r="CM125" t="s">
        <v>75</v>
      </c>
      <c r="CN125" s="30" t="str">
        <f t="shared" si="97"/>
        <v>SxxRyy_S.I1.</v>
      </c>
      <c r="CO125" t="s">
        <v>1169</v>
      </c>
      <c r="CP125" t="s">
        <v>12</v>
      </c>
      <c r="CQ125" s="40"/>
      <c r="CR125" s="30" t="s">
        <v>566</v>
      </c>
    </row>
    <row r="126" spans="2:96" x14ac:dyDescent="0.35">
      <c r="B126" s="4" t="str">
        <f t="shared" si="62"/>
        <v>FANUC_SxxRyy</v>
      </c>
      <c r="C126" s="4"/>
      <c r="D126" s="4" t="str">
        <f t="shared" si="63"/>
        <v>To_PSF_RobotAutoMonitor</v>
      </c>
      <c r="E126" s="4" t="str">
        <f t="shared" si="64"/>
        <v>_VC_DNS201N56_I.Data[0].2</v>
      </c>
      <c r="F126" s="4" t="str">
        <f t="shared" si="65"/>
        <v>I</v>
      </c>
      <c r="G126" s="4" t="str">
        <f t="shared" si="66"/>
        <v/>
      </c>
      <c r="H126" s="4" t="str">
        <f t="shared" si="67"/>
        <v>Controller: &lt;SxxRyy_S.I1.CSO_3&gt; - ROBOT AUTO MONITOR</v>
      </c>
      <c r="I126" s="4" t="str">
        <f t="shared" si="68"/>
        <v>AB_RACKx_SLOTa</v>
      </c>
      <c r="J126" s="4"/>
      <c r="K126" s="56" t="str">
        <f t="shared" si="69"/>
        <v>BOOL</v>
      </c>
      <c r="L126" s="56" t="str">
        <f t="shared" si="4"/>
        <v>ROBOTS\SxxRyy</v>
      </c>
      <c r="M126" s="56" t="str">
        <f t="shared" si="5"/>
        <v>STELLANTIS\Common\ToolPrototype\Robots</v>
      </c>
      <c r="N126" s="56" t="str">
        <f t="shared" si="6"/>
        <v>STELLANTIS_DN_FANUC_ROBOT_128_BIT_INTEGRATED_SAFETY_SxxRyy.v00</v>
      </c>
      <c r="O126" s="56" t="str">
        <f t="shared" si="70"/>
        <v/>
      </c>
      <c r="P126" s="56" t="str">
        <f t="shared" si="71"/>
        <v/>
      </c>
      <c r="Q126" s="56" t="str">
        <f t="shared" si="72"/>
        <v/>
      </c>
      <c r="R126" s="56" t="str">
        <f t="shared" si="73"/>
        <v/>
      </c>
      <c r="S126" s="56" t="str">
        <f t="shared" si="74"/>
        <v/>
      </c>
      <c r="T126" s="56" t="str">
        <f t="shared" si="75"/>
        <v>DNS201N56:I.Data[0].2</v>
      </c>
      <c r="U126" s="56" t="str">
        <f t="shared" si="76"/>
        <v/>
      </c>
      <c r="V126" s="56" t="str">
        <f t="shared" si="77"/>
        <v/>
      </c>
      <c r="W126" s="56"/>
      <c r="X126" s="56"/>
      <c r="Y126" s="56"/>
      <c r="Z126" s="56" t="str">
        <f t="shared" si="78"/>
        <v/>
      </c>
      <c r="AA126" s="56" t="str">
        <f t="shared" si="79"/>
        <v/>
      </c>
      <c r="AB126" s="56" t="str">
        <f t="shared" si="9"/>
        <v>ToolPrototype</v>
      </c>
      <c r="AC126" s="56" t="str">
        <f t="shared" si="80"/>
        <v/>
      </c>
      <c r="AD126" s="56" t="str">
        <f t="shared" si="10"/>
        <v>&lt;device&gt;
&lt;name&gt;SxxRyy&lt;/name&gt;
&lt;type&gt;FCA_DN_FANUC&lt;/type&gt;
&lt;deviceNetwork&gt;201&lt;/deviceNetwork&gt;
&lt;deviceNode&gt;56&lt;/deviceNode&gt;
&lt;/device&gt;</v>
      </c>
      <c r="AE126" s="56" t="str">
        <f t="shared" si="11"/>
        <v/>
      </c>
      <c r="AF126" s="56" t="str">
        <f t="shared" si="12"/>
        <v/>
      </c>
      <c r="AG126" s="56" t="str">
        <f t="shared" si="13"/>
        <v/>
      </c>
      <c r="AH126" s="56" t="str">
        <f t="shared" si="14"/>
        <v/>
      </c>
      <c r="AI126" s="56" t="str">
        <f t="shared" si="15"/>
        <v/>
      </c>
      <c r="AJ126" s="56" t="str">
        <f t="shared" si="16"/>
        <v/>
      </c>
      <c r="AK126" s="56" t="str">
        <f t="shared" si="17"/>
        <v/>
      </c>
      <c r="AL126" s="56" t="str">
        <f t="shared" si="18"/>
        <v/>
      </c>
      <c r="AM126" s="56" t="str">
        <f t="shared" si="19"/>
        <v/>
      </c>
      <c r="AN126" s="56" t="str">
        <f t="shared" si="81"/>
        <v/>
      </c>
      <c r="AO126" s="56" t="str">
        <f t="shared" si="82"/>
        <v>ROBOTS:SxxRyy\SAFETY|ROBOTS_NOPLC:SxxRyy\SAFETY</v>
      </c>
      <c r="AP126" s="56" t="str">
        <f t="shared" si="83"/>
        <v>PSF</v>
      </c>
      <c r="AQ126" s="56" t="str">
        <f t="shared" si="84"/>
        <v>EXIT</v>
      </c>
      <c r="AR126" s="39" t="s">
        <v>130</v>
      </c>
      <c r="AT126" s="44" t="str">
        <f t="shared" si="85"/>
        <v>BOOL</v>
      </c>
      <c r="AU126" s="23">
        <f t="shared" si="86"/>
        <v>0</v>
      </c>
      <c r="AV126" s="23" t="str">
        <f t="shared" si="87"/>
        <v>I</v>
      </c>
      <c r="AW126" s="23" t="str">
        <f t="shared" si="88"/>
        <v xml:space="preserve">I.: </v>
      </c>
      <c r="AX126" s="23" t="str">
        <f t="shared" si="89"/>
        <v>_VC_DNS201N56_I.Data[0].2</v>
      </c>
      <c r="AY126" s="36" t="str">
        <f t="shared" si="90"/>
        <v xml:space="preserve">Controller: &lt;SxxRyy_S.I1.CSO_3&gt; - </v>
      </c>
      <c r="BB126" s="42" t="s">
        <v>17</v>
      </c>
      <c r="BC126" t="s">
        <v>22</v>
      </c>
      <c r="BD126" t="str">
        <f t="shared" si="96"/>
        <v>AB_RACKx_SLOTa</v>
      </c>
      <c r="BS126" t="str">
        <f>"ROBOTS:"&amp;Header_Config02&amp;"\SAFETY|ROBOTS_NOPLC:"&amp;Header_Config02&amp;"\SAFETY"</f>
        <v>ROBOTS:SxxRyy\SAFETY|ROBOTS_NOPLC:SxxRyy\SAFETY</v>
      </c>
      <c r="BV126" s="30" t="s">
        <v>1170</v>
      </c>
      <c r="BY126" s="42"/>
      <c r="CB126" s="42"/>
      <c r="CE126" s="30"/>
      <c r="CH126" s="42" t="s">
        <v>66</v>
      </c>
      <c r="CI126" t="s">
        <v>99</v>
      </c>
      <c r="CJ126" t="str">
        <f>Prep!$U$2&amp;":I.Data[0]."</f>
        <v>DNS201N56:I.Data[0].</v>
      </c>
      <c r="CK126">
        <v>2</v>
      </c>
      <c r="CL126" t="s">
        <v>1166</v>
      </c>
      <c r="CM126" t="s">
        <v>75</v>
      </c>
      <c r="CN126" s="30" t="str">
        <f t="shared" si="97"/>
        <v>SxxRyy_S.I1.</v>
      </c>
      <c r="CO126" t="s">
        <v>1171</v>
      </c>
      <c r="CP126" t="s">
        <v>12</v>
      </c>
      <c r="CQ126" s="40"/>
      <c r="CR126" s="30" t="s">
        <v>1172</v>
      </c>
    </row>
    <row r="127" spans="2:96" x14ac:dyDescent="0.35">
      <c r="B127" s="4" t="str">
        <f t="shared" si="62"/>
        <v>FANUC_SxxRyy</v>
      </c>
      <c r="C127" s="4"/>
      <c r="D127" s="4" t="str">
        <f t="shared" si="63"/>
        <v>To_PSF_RobotAUXPwrMonitor</v>
      </c>
      <c r="E127" s="4" t="str">
        <f t="shared" si="64"/>
        <v>_VC_DNS201N56_I.Data[0].3</v>
      </c>
      <c r="F127" s="4" t="str">
        <f t="shared" si="65"/>
        <v>I</v>
      </c>
      <c r="G127" s="4" t="str">
        <f t="shared" si="66"/>
        <v/>
      </c>
      <c r="H127" s="4" t="str">
        <f t="shared" si="67"/>
        <v>Controller: &lt;SxxRyy_S.I1.CSO_4&gt; - ROBOT AUX PWR MONITOR</v>
      </c>
      <c r="I127" s="4" t="str">
        <f t="shared" si="68"/>
        <v>AB_RACKx_SLOTa</v>
      </c>
      <c r="J127" s="4"/>
      <c r="K127" s="56" t="str">
        <f t="shared" si="69"/>
        <v>BOOL</v>
      </c>
      <c r="L127" s="56" t="str">
        <f t="shared" si="4"/>
        <v>ROBOTS\SxxRyy</v>
      </c>
      <c r="M127" s="56" t="str">
        <f t="shared" si="5"/>
        <v>STELLANTIS\Common\ToolPrototype\Robots</v>
      </c>
      <c r="N127" s="56" t="str">
        <f t="shared" si="6"/>
        <v>STELLANTIS_DN_FANUC_ROBOT_128_BIT_INTEGRATED_SAFETY_SxxRyy.v00</v>
      </c>
      <c r="O127" s="56" t="str">
        <f t="shared" si="70"/>
        <v/>
      </c>
      <c r="P127" s="56" t="str">
        <f t="shared" si="71"/>
        <v/>
      </c>
      <c r="Q127" s="56" t="str">
        <f t="shared" si="72"/>
        <v/>
      </c>
      <c r="R127" s="56" t="str">
        <f t="shared" si="73"/>
        <v/>
      </c>
      <c r="S127" s="56" t="str">
        <f t="shared" si="74"/>
        <v/>
      </c>
      <c r="T127" s="56" t="str">
        <f t="shared" si="75"/>
        <v>DNS201N56:I.Data[0].3</v>
      </c>
      <c r="U127" s="56" t="str">
        <f t="shared" si="76"/>
        <v/>
      </c>
      <c r="V127" s="56" t="str">
        <f t="shared" si="77"/>
        <v/>
      </c>
      <c r="W127" s="56"/>
      <c r="X127" s="56"/>
      <c r="Y127" s="56"/>
      <c r="Z127" s="56" t="str">
        <f t="shared" si="78"/>
        <v/>
      </c>
      <c r="AA127" s="56" t="str">
        <f t="shared" si="79"/>
        <v/>
      </c>
      <c r="AB127" s="56" t="str">
        <f t="shared" si="9"/>
        <v>ToolPrototype</v>
      </c>
      <c r="AC127" s="56" t="str">
        <f t="shared" si="80"/>
        <v/>
      </c>
      <c r="AD127" s="56" t="str">
        <f t="shared" si="10"/>
        <v>&lt;device&gt;
&lt;name&gt;SxxRyy&lt;/name&gt;
&lt;type&gt;FCA_DN_FANUC&lt;/type&gt;
&lt;deviceNetwork&gt;201&lt;/deviceNetwork&gt;
&lt;deviceNode&gt;56&lt;/deviceNode&gt;
&lt;/device&gt;</v>
      </c>
      <c r="AE127" s="56" t="str">
        <f t="shared" si="11"/>
        <v/>
      </c>
      <c r="AF127" s="56" t="str">
        <f t="shared" si="12"/>
        <v/>
      </c>
      <c r="AG127" s="56" t="str">
        <f t="shared" si="13"/>
        <v/>
      </c>
      <c r="AH127" s="56" t="str">
        <f t="shared" si="14"/>
        <v/>
      </c>
      <c r="AI127" s="56" t="str">
        <f t="shared" si="15"/>
        <v/>
      </c>
      <c r="AJ127" s="56" t="str">
        <f t="shared" si="16"/>
        <v/>
      </c>
      <c r="AK127" s="56" t="str">
        <f t="shared" si="17"/>
        <v/>
      </c>
      <c r="AL127" s="56" t="str">
        <f t="shared" si="18"/>
        <v/>
      </c>
      <c r="AM127" s="56" t="str">
        <f t="shared" si="19"/>
        <v/>
      </c>
      <c r="AN127" s="56" t="str">
        <f t="shared" si="81"/>
        <v/>
      </c>
      <c r="AO127" s="56" t="str">
        <f t="shared" si="82"/>
        <v>ROBOTS:SxxRyy\SAFETY|ROBOTS_NOPLC:SxxRyy\SAFETY</v>
      </c>
      <c r="AP127" s="56" t="str">
        <f t="shared" si="83"/>
        <v>PSF</v>
      </c>
      <c r="AQ127" s="56" t="str">
        <f t="shared" si="84"/>
        <v>EXIT</v>
      </c>
      <c r="AR127" s="39" t="s">
        <v>130</v>
      </c>
      <c r="AT127" s="44" t="str">
        <f t="shared" si="85"/>
        <v>BOOL</v>
      </c>
      <c r="AU127" s="23">
        <f t="shared" si="86"/>
        <v>0</v>
      </c>
      <c r="AV127" s="23" t="str">
        <f t="shared" si="87"/>
        <v>I</v>
      </c>
      <c r="AW127" s="23" t="str">
        <f t="shared" si="88"/>
        <v xml:space="preserve">I.: </v>
      </c>
      <c r="AX127" s="23" t="str">
        <f t="shared" si="89"/>
        <v>_VC_DNS201N56_I.Data[0].3</v>
      </c>
      <c r="AY127" s="36" t="str">
        <f t="shared" si="90"/>
        <v xml:space="preserve">Controller: &lt;SxxRyy_S.I1.CSO_4&gt; - </v>
      </c>
      <c r="BB127" s="42" t="s">
        <v>17</v>
      </c>
      <c r="BC127" t="s">
        <v>22</v>
      </c>
      <c r="BD127" t="str">
        <f t="shared" si="96"/>
        <v>AB_RACKx_SLOTa</v>
      </c>
      <c r="BS127" t="str">
        <f>"ROBOTS:"&amp;Header_Config02&amp;"\SAFETY|ROBOTS_NOPLC:"&amp;Header_Config02&amp;"\SAFETY"</f>
        <v>ROBOTS:SxxRyy\SAFETY|ROBOTS_NOPLC:SxxRyy\SAFETY</v>
      </c>
      <c r="BV127" s="30" t="s">
        <v>567</v>
      </c>
      <c r="BY127" s="42"/>
      <c r="CB127" s="42"/>
      <c r="CE127" s="30"/>
      <c r="CH127" s="42" t="s">
        <v>66</v>
      </c>
      <c r="CI127" t="s">
        <v>99</v>
      </c>
      <c r="CJ127" t="str">
        <f>Prep!$U$2&amp;":I.Data[0]."</f>
        <v>DNS201N56:I.Data[0].</v>
      </c>
      <c r="CK127">
        <v>3</v>
      </c>
      <c r="CL127" t="s">
        <v>1166</v>
      </c>
      <c r="CM127" t="s">
        <v>75</v>
      </c>
      <c r="CN127" s="30" t="str">
        <f t="shared" si="97"/>
        <v>SxxRyy_S.I1.</v>
      </c>
      <c r="CO127" t="s">
        <v>1173</v>
      </c>
      <c r="CP127" t="s">
        <v>12</v>
      </c>
      <c r="CQ127" s="40"/>
      <c r="CR127" s="30" t="s">
        <v>1174</v>
      </c>
    </row>
    <row r="128" spans="2:96" x14ac:dyDescent="0.35">
      <c r="B128" s="4" t="str">
        <f t="shared" si="62"/>
        <v>FANUC_SxxRyy</v>
      </c>
      <c r="C128" s="4"/>
      <c r="D128" s="4" t="str">
        <f t="shared" si="63"/>
        <v>To_PSF_RobotTC24VMonitor</v>
      </c>
      <c r="E128" s="4" t="str">
        <f t="shared" si="64"/>
        <v>_VC_DNS201N56_I.Data[0].4</v>
      </c>
      <c r="F128" s="4" t="str">
        <f t="shared" si="65"/>
        <v>I</v>
      </c>
      <c r="G128" s="4" t="str">
        <f t="shared" si="66"/>
        <v/>
      </c>
      <c r="H128" s="4" t="str">
        <f t="shared" si="67"/>
        <v>Controller: &lt;SxxRyy_S.I1.CSO_5&gt; - ROBOT TC24V MONITOR</v>
      </c>
      <c r="I128" s="4" t="str">
        <f t="shared" si="68"/>
        <v>AB_RACKx_SLOTa</v>
      </c>
      <c r="J128" s="4"/>
      <c r="K128" s="56" t="str">
        <f t="shared" si="69"/>
        <v>BOOL</v>
      </c>
      <c r="L128" s="56" t="str">
        <f t="shared" si="4"/>
        <v>ROBOTS\SxxRyy</v>
      </c>
      <c r="M128" s="56" t="str">
        <f t="shared" si="5"/>
        <v>STELLANTIS\Common\ToolPrototype\Robots</v>
      </c>
      <c r="N128" s="56" t="str">
        <f t="shared" si="6"/>
        <v>STELLANTIS_DN_FANUC_ROBOT_128_BIT_INTEGRATED_SAFETY_SxxRyy.v00</v>
      </c>
      <c r="O128" s="56" t="str">
        <f t="shared" si="70"/>
        <v/>
      </c>
      <c r="P128" s="56" t="str">
        <f t="shared" si="71"/>
        <v/>
      </c>
      <c r="Q128" s="56" t="str">
        <f t="shared" si="72"/>
        <v/>
      </c>
      <c r="R128" s="56" t="str">
        <f t="shared" si="73"/>
        <v/>
      </c>
      <c r="S128" s="56" t="str">
        <f t="shared" si="74"/>
        <v/>
      </c>
      <c r="T128" s="56" t="str">
        <f t="shared" si="75"/>
        <v>DNS201N56:I.Data[0].4</v>
      </c>
      <c r="U128" s="56" t="str">
        <f t="shared" si="76"/>
        <v/>
      </c>
      <c r="V128" s="56" t="str">
        <f t="shared" si="77"/>
        <v/>
      </c>
      <c r="W128" s="56"/>
      <c r="X128" s="56"/>
      <c r="Y128" s="56"/>
      <c r="Z128" s="56" t="str">
        <f t="shared" si="78"/>
        <v/>
      </c>
      <c r="AA128" s="56" t="str">
        <f t="shared" si="79"/>
        <v/>
      </c>
      <c r="AB128" s="56" t="str">
        <f t="shared" si="9"/>
        <v>ToolPrototype</v>
      </c>
      <c r="AC128" s="56" t="str">
        <f t="shared" si="80"/>
        <v/>
      </c>
      <c r="AD128" s="56" t="str">
        <f t="shared" si="10"/>
        <v>&lt;device&gt;
&lt;name&gt;SxxRyy&lt;/name&gt;
&lt;type&gt;FCA_DN_FANUC&lt;/type&gt;
&lt;deviceNetwork&gt;201&lt;/deviceNetwork&gt;
&lt;deviceNode&gt;56&lt;/deviceNode&gt;
&lt;/device&gt;</v>
      </c>
      <c r="AE128" s="56" t="str">
        <f t="shared" si="11"/>
        <v/>
      </c>
      <c r="AF128" s="56" t="str">
        <f t="shared" si="12"/>
        <v/>
      </c>
      <c r="AG128" s="56" t="str">
        <f t="shared" si="13"/>
        <v/>
      </c>
      <c r="AH128" s="56" t="str">
        <f t="shared" si="14"/>
        <v/>
      </c>
      <c r="AI128" s="56" t="str">
        <f t="shared" si="15"/>
        <v/>
      </c>
      <c r="AJ128" s="56" t="str">
        <f t="shared" si="16"/>
        <v/>
      </c>
      <c r="AK128" s="56" t="str">
        <f t="shared" si="17"/>
        <v/>
      </c>
      <c r="AL128" s="56" t="str">
        <f t="shared" si="18"/>
        <v/>
      </c>
      <c r="AM128" s="56" t="str">
        <f t="shared" si="19"/>
        <v/>
      </c>
      <c r="AN128" s="56" t="str">
        <f t="shared" si="81"/>
        <v/>
      </c>
      <c r="AO128" s="56" t="str">
        <f t="shared" si="82"/>
        <v>ROBOTS:SxxRyy\SAFETY|ROBOTS_NOPLC:SxxRyy\SAFETY</v>
      </c>
      <c r="AP128" s="56" t="str">
        <f t="shared" si="83"/>
        <v>PSF</v>
      </c>
      <c r="AQ128" s="56" t="str">
        <f t="shared" si="84"/>
        <v>EXIT</v>
      </c>
      <c r="AR128" s="39" t="s">
        <v>130</v>
      </c>
      <c r="AT128" s="44" t="str">
        <f t="shared" si="85"/>
        <v>BOOL</v>
      </c>
      <c r="AU128" s="23">
        <f t="shared" si="86"/>
        <v>0</v>
      </c>
      <c r="AV128" s="23" t="str">
        <f t="shared" si="87"/>
        <v>I</v>
      </c>
      <c r="AW128" s="23" t="str">
        <f t="shared" si="88"/>
        <v xml:space="preserve">I.: </v>
      </c>
      <c r="AX128" s="23" t="str">
        <f t="shared" si="89"/>
        <v>_VC_DNS201N56_I.Data[0].4</v>
      </c>
      <c r="AY128" s="36" t="str">
        <f t="shared" si="90"/>
        <v xml:space="preserve">Controller: &lt;SxxRyy_S.I1.CSO_5&gt; - </v>
      </c>
      <c r="BB128" s="42" t="s">
        <v>17</v>
      </c>
      <c r="BC128" t="s">
        <v>22</v>
      </c>
      <c r="BD128" t="str">
        <f t="shared" si="96"/>
        <v>AB_RACKx_SLOTa</v>
      </c>
      <c r="BS128" t="str">
        <f>"ROBOTS:"&amp;Header_Config02&amp;"\SAFETY|ROBOTS_NOPLC:"&amp;Header_Config02&amp;"\SAFETY"</f>
        <v>ROBOTS:SxxRyy\SAFETY|ROBOTS_NOPLC:SxxRyy\SAFETY</v>
      </c>
      <c r="BV128" s="30" t="s">
        <v>568</v>
      </c>
      <c r="BY128" s="42"/>
      <c r="CB128" s="42"/>
      <c r="CE128" s="30"/>
      <c r="CH128" s="42" t="s">
        <v>66</v>
      </c>
      <c r="CI128" t="s">
        <v>99</v>
      </c>
      <c r="CJ128" t="str">
        <f>Prep!$U$2&amp;":I.Data[0]."</f>
        <v>DNS201N56:I.Data[0].</v>
      </c>
      <c r="CK128">
        <v>4</v>
      </c>
      <c r="CL128" t="s">
        <v>1166</v>
      </c>
      <c r="CM128" t="s">
        <v>75</v>
      </c>
      <c r="CN128" s="30" t="str">
        <f t="shared" si="97"/>
        <v>SxxRyy_S.I1.</v>
      </c>
      <c r="CO128" t="s">
        <v>1175</v>
      </c>
      <c r="CP128" t="s">
        <v>12</v>
      </c>
      <c r="CQ128" s="40"/>
      <c r="CR128" s="30" t="s">
        <v>1176</v>
      </c>
    </row>
    <row r="129" spans="2:96" x14ac:dyDescent="0.35">
      <c r="B129" s="4" t="str">
        <f t="shared" si="62"/>
        <v>FANUC_SxxRyy</v>
      </c>
      <c r="C129" s="4"/>
      <c r="D129" s="4" t="str">
        <f t="shared" si="63"/>
        <v>To_PSF_RobotDMMonitor</v>
      </c>
      <c r="E129" s="4" t="str">
        <f t="shared" si="64"/>
        <v>_VC_DNS201N56_I.Data[0].6</v>
      </c>
      <c r="F129" s="4" t="str">
        <f t="shared" si="65"/>
        <v>I</v>
      </c>
      <c r="G129" s="4" t="str">
        <f t="shared" si="66"/>
        <v/>
      </c>
      <c r="H129" s="4" t="str">
        <f t="shared" si="67"/>
        <v>Controller: &lt;SxxRyy_S.I1.CSO_7&gt; - ROBOT DM MONITOR</v>
      </c>
      <c r="I129" s="4" t="str">
        <f t="shared" si="68"/>
        <v>AB_RACKx_SLOTa</v>
      </c>
      <c r="J129" s="4"/>
      <c r="K129" s="56" t="str">
        <f t="shared" si="69"/>
        <v>BOOL</v>
      </c>
      <c r="L129" s="56" t="str">
        <f t="shared" si="4"/>
        <v>ROBOTS\SxxRyy</v>
      </c>
      <c r="M129" s="56" t="str">
        <f t="shared" si="5"/>
        <v>STELLANTIS\Common\ToolPrototype\Robots</v>
      </c>
      <c r="N129" s="56" t="str">
        <f t="shared" si="6"/>
        <v>STELLANTIS_DN_FANUC_ROBOT_128_BIT_INTEGRATED_SAFETY_SxxRyy.v00</v>
      </c>
      <c r="O129" s="56" t="str">
        <f t="shared" si="70"/>
        <v/>
      </c>
      <c r="P129" s="56" t="str">
        <f t="shared" si="71"/>
        <v/>
      </c>
      <c r="Q129" s="56" t="str">
        <f t="shared" si="72"/>
        <v/>
      </c>
      <c r="R129" s="56" t="str">
        <f t="shared" si="73"/>
        <v/>
      </c>
      <c r="S129" s="56" t="str">
        <f t="shared" si="74"/>
        <v/>
      </c>
      <c r="T129" s="56" t="str">
        <f t="shared" si="75"/>
        <v>DNS201N56:I.Data[0].6</v>
      </c>
      <c r="U129" s="56" t="str">
        <f t="shared" si="76"/>
        <v/>
      </c>
      <c r="V129" s="56" t="str">
        <f t="shared" si="77"/>
        <v/>
      </c>
      <c r="W129" s="56"/>
      <c r="X129" s="56"/>
      <c r="Y129" s="56"/>
      <c r="Z129" s="56" t="str">
        <f t="shared" si="78"/>
        <v/>
      </c>
      <c r="AA129" s="56" t="str">
        <f t="shared" si="79"/>
        <v/>
      </c>
      <c r="AB129" s="56" t="str">
        <f t="shared" si="9"/>
        <v>ToolPrototype</v>
      </c>
      <c r="AC129" s="56" t="str">
        <f t="shared" si="80"/>
        <v/>
      </c>
      <c r="AD129" s="56" t="str">
        <f t="shared" si="10"/>
        <v>&lt;device&gt;
&lt;name&gt;SxxRyy&lt;/name&gt;
&lt;type&gt;FCA_DN_FANUC&lt;/type&gt;
&lt;deviceNetwork&gt;201&lt;/deviceNetwork&gt;
&lt;deviceNode&gt;56&lt;/deviceNode&gt;
&lt;/device&gt;</v>
      </c>
      <c r="AE129" s="56" t="str">
        <f t="shared" si="11"/>
        <v/>
      </c>
      <c r="AF129" s="56" t="str">
        <f t="shared" si="12"/>
        <v/>
      </c>
      <c r="AG129" s="56" t="str">
        <f t="shared" si="13"/>
        <v/>
      </c>
      <c r="AH129" s="56" t="str">
        <f t="shared" si="14"/>
        <v/>
      </c>
      <c r="AI129" s="56" t="str">
        <f t="shared" si="15"/>
        <v/>
      </c>
      <c r="AJ129" s="56" t="str">
        <f t="shared" si="16"/>
        <v/>
      </c>
      <c r="AK129" s="56" t="str">
        <f t="shared" si="17"/>
        <v/>
      </c>
      <c r="AL129" s="56" t="str">
        <f t="shared" si="18"/>
        <v/>
      </c>
      <c r="AM129" s="56" t="str">
        <f t="shared" si="19"/>
        <v/>
      </c>
      <c r="AN129" s="56" t="str">
        <f t="shared" si="81"/>
        <v/>
      </c>
      <c r="AO129" s="56" t="str">
        <f t="shared" si="82"/>
        <v/>
      </c>
      <c r="AP129" s="56" t="str">
        <f t="shared" si="83"/>
        <v>PSF</v>
      </c>
      <c r="AQ129" s="56" t="str">
        <f t="shared" si="84"/>
        <v>EXIT</v>
      </c>
      <c r="AR129" s="39" t="s">
        <v>130</v>
      </c>
      <c r="AT129" s="44" t="str">
        <f t="shared" si="85"/>
        <v>BOOL</v>
      </c>
      <c r="AU129" s="23">
        <f t="shared" si="86"/>
        <v>0</v>
      </c>
      <c r="AV129" s="23" t="str">
        <f t="shared" si="87"/>
        <v>I</v>
      </c>
      <c r="AW129" s="23" t="str">
        <f t="shared" si="88"/>
        <v xml:space="preserve">I.: </v>
      </c>
      <c r="AX129" s="23" t="str">
        <f t="shared" si="89"/>
        <v>_VC_DNS201N56_I.Data[0].6</v>
      </c>
      <c r="AY129" s="36" t="str">
        <f t="shared" si="90"/>
        <v xml:space="preserve">Controller: &lt;SxxRyy_S.I1.CSO_7&gt; - </v>
      </c>
      <c r="BB129" s="42" t="s">
        <v>17</v>
      </c>
      <c r="BC129" t="s">
        <v>22</v>
      </c>
      <c r="BD129" t="str">
        <f t="shared" si="96"/>
        <v>AB_RACKx_SLOTa</v>
      </c>
      <c r="BV129" s="30" t="s">
        <v>1177</v>
      </c>
      <c r="BY129" s="42"/>
      <c r="CB129" s="42"/>
      <c r="CE129" s="30"/>
      <c r="CH129" s="42" t="s">
        <v>66</v>
      </c>
      <c r="CI129" t="s">
        <v>99</v>
      </c>
      <c r="CJ129" t="str">
        <f>Prep!$U$2&amp;":I.Data[0]."</f>
        <v>DNS201N56:I.Data[0].</v>
      </c>
      <c r="CK129">
        <v>6</v>
      </c>
      <c r="CL129" t="s">
        <v>1166</v>
      </c>
      <c r="CM129" t="s">
        <v>75</v>
      </c>
      <c r="CN129" s="30" t="str">
        <f t="shared" si="97"/>
        <v>SxxRyy_S.I1.</v>
      </c>
      <c r="CO129" t="s">
        <v>1178</v>
      </c>
      <c r="CP129" t="s">
        <v>12</v>
      </c>
      <c r="CQ129" s="40"/>
      <c r="CR129" s="30" t="s">
        <v>1179</v>
      </c>
    </row>
    <row r="130" spans="2:96" x14ac:dyDescent="0.35">
      <c r="B130" s="4" t="str">
        <f t="shared" si="62"/>
        <v>FANUC_SxxRyy</v>
      </c>
      <c r="C130" s="4"/>
      <c r="D130" s="4" t="str">
        <f t="shared" si="63"/>
        <v>To_PSF_RobotCSBPMonitor</v>
      </c>
      <c r="E130" s="4" t="str">
        <f t="shared" si="64"/>
        <v>_VC_DNS201N56_I.Data[0].7</v>
      </c>
      <c r="F130" s="4" t="str">
        <f t="shared" si="65"/>
        <v>I</v>
      </c>
      <c r="G130" s="4" t="str">
        <f t="shared" si="66"/>
        <v/>
      </c>
      <c r="H130" s="4" t="str">
        <f t="shared" si="67"/>
        <v>Controller: &lt;SxxRyy_S.I1.CSO_8&gt; - ROBOT CSBP MONITOR</v>
      </c>
      <c r="I130" s="4" t="str">
        <f t="shared" si="68"/>
        <v>AB_RACKx_SLOTa</v>
      </c>
      <c r="J130" s="4"/>
      <c r="K130" s="56" t="str">
        <f t="shared" si="69"/>
        <v>BOOL</v>
      </c>
      <c r="L130" s="56" t="str">
        <f t="shared" si="4"/>
        <v>ROBOTS\SxxRyy</v>
      </c>
      <c r="M130" s="56" t="str">
        <f t="shared" si="5"/>
        <v>STELLANTIS\Common\ToolPrototype\Robots</v>
      </c>
      <c r="N130" s="56" t="str">
        <f t="shared" si="6"/>
        <v>STELLANTIS_DN_FANUC_ROBOT_128_BIT_INTEGRATED_SAFETY_SxxRyy.v00</v>
      </c>
      <c r="O130" s="56" t="str">
        <f t="shared" si="70"/>
        <v/>
      </c>
      <c r="P130" s="56" t="str">
        <f t="shared" si="71"/>
        <v/>
      </c>
      <c r="Q130" s="56" t="str">
        <f t="shared" si="72"/>
        <v/>
      </c>
      <c r="R130" s="56" t="str">
        <f t="shared" si="73"/>
        <v/>
      </c>
      <c r="S130" s="56" t="str">
        <f t="shared" si="74"/>
        <v/>
      </c>
      <c r="T130" s="56" t="str">
        <f t="shared" si="75"/>
        <v>DNS201N56:I.Data[0].7</v>
      </c>
      <c r="U130" s="56" t="str">
        <f t="shared" si="76"/>
        <v/>
      </c>
      <c r="V130" s="56" t="str">
        <f t="shared" si="77"/>
        <v/>
      </c>
      <c r="W130" s="56"/>
      <c r="X130" s="56"/>
      <c r="Y130" s="56"/>
      <c r="Z130" s="56" t="str">
        <f t="shared" si="78"/>
        <v/>
      </c>
      <c r="AA130" s="56" t="str">
        <f t="shared" si="79"/>
        <v/>
      </c>
      <c r="AB130" s="56" t="str">
        <f t="shared" si="9"/>
        <v>ToolPrototype</v>
      </c>
      <c r="AC130" s="56" t="str">
        <f t="shared" si="80"/>
        <v/>
      </c>
      <c r="AD130" s="56" t="str">
        <f t="shared" si="10"/>
        <v>&lt;device&gt;
&lt;name&gt;SxxRyy&lt;/name&gt;
&lt;type&gt;FCA_DN_FANUC&lt;/type&gt;
&lt;deviceNetwork&gt;201&lt;/deviceNetwork&gt;
&lt;deviceNode&gt;56&lt;/deviceNode&gt;
&lt;/device&gt;</v>
      </c>
      <c r="AE130" s="56" t="str">
        <f t="shared" si="11"/>
        <v/>
      </c>
      <c r="AF130" s="56" t="str">
        <f t="shared" si="12"/>
        <v/>
      </c>
      <c r="AG130" s="56" t="str">
        <f t="shared" si="13"/>
        <v/>
      </c>
      <c r="AH130" s="56" t="str">
        <f t="shared" si="14"/>
        <v/>
      </c>
      <c r="AI130" s="56" t="str">
        <f t="shared" si="15"/>
        <v/>
      </c>
      <c r="AJ130" s="56" t="str">
        <f t="shared" si="16"/>
        <v/>
      </c>
      <c r="AK130" s="56" t="str">
        <f t="shared" si="17"/>
        <v/>
      </c>
      <c r="AL130" s="56" t="str">
        <f t="shared" si="18"/>
        <v/>
      </c>
      <c r="AM130" s="56" t="str">
        <f t="shared" si="19"/>
        <v/>
      </c>
      <c r="AN130" s="56" t="str">
        <f t="shared" si="81"/>
        <v/>
      </c>
      <c r="AO130" s="56" t="str">
        <f t="shared" si="82"/>
        <v/>
      </c>
      <c r="AP130" s="56" t="str">
        <f t="shared" si="83"/>
        <v>PSF</v>
      </c>
      <c r="AQ130" s="56" t="str">
        <f t="shared" si="84"/>
        <v>EXIT</v>
      </c>
      <c r="AR130" s="39" t="s">
        <v>130</v>
      </c>
      <c r="AT130" s="44" t="str">
        <f t="shared" si="85"/>
        <v>BOOL</v>
      </c>
      <c r="AU130" s="23">
        <f t="shared" si="86"/>
        <v>0</v>
      </c>
      <c r="AV130" s="23" t="str">
        <f t="shared" si="87"/>
        <v>I</v>
      </c>
      <c r="AW130" s="23" t="str">
        <f t="shared" si="88"/>
        <v xml:space="preserve">I.: </v>
      </c>
      <c r="AX130" s="23" t="str">
        <f t="shared" si="89"/>
        <v>_VC_DNS201N56_I.Data[0].7</v>
      </c>
      <c r="AY130" s="36" t="str">
        <f t="shared" si="90"/>
        <v xml:space="preserve">Controller: &lt;SxxRyy_S.I1.CSO_8&gt; - </v>
      </c>
      <c r="BB130" s="42" t="s">
        <v>17</v>
      </c>
      <c r="BC130" t="s">
        <v>22</v>
      </c>
      <c r="BD130" t="str">
        <f t="shared" si="96"/>
        <v>AB_RACKx_SLOTa</v>
      </c>
      <c r="BV130" s="30" t="s">
        <v>1180</v>
      </c>
      <c r="BY130" s="42"/>
      <c r="CB130" s="42"/>
      <c r="CE130" s="30"/>
      <c r="CH130" s="42" t="s">
        <v>66</v>
      </c>
      <c r="CI130" t="s">
        <v>99</v>
      </c>
      <c r="CJ130" t="str">
        <f>Prep!$U$2&amp;":I.Data[0]."</f>
        <v>DNS201N56:I.Data[0].</v>
      </c>
      <c r="CK130">
        <v>7</v>
      </c>
      <c r="CL130" t="s">
        <v>1166</v>
      </c>
      <c r="CM130" t="s">
        <v>75</v>
      </c>
      <c r="CN130" s="30" t="str">
        <f t="shared" si="97"/>
        <v>SxxRyy_S.I1.</v>
      </c>
      <c r="CO130" t="s">
        <v>1181</v>
      </c>
      <c r="CP130" t="s">
        <v>12</v>
      </c>
      <c r="CQ130" s="40"/>
      <c r="CR130" s="30" t="s">
        <v>1182</v>
      </c>
    </row>
    <row r="131" spans="2:96" x14ac:dyDescent="0.35">
      <c r="B131" s="4" t="str">
        <f t="shared" si="62"/>
        <v>FANUC_SxxRyy</v>
      </c>
      <c r="C131" s="4"/>
      <c r="D131" s="4" t="str">
        <f t="shared" si="63"/>
        <v>To_PSF_RobotJoint1ZoneDisabled</v>
      </c>
      <c r="E131" s="4" t="str">
        <f t="shared" si="64"/>
        <v>_VC_DNS201N56_I.Data[1].1</v>
      </c>
      <c r="F131" s="4" t="str">
        <f t="shared" si="65"/>
        <v>I</v>
      </c>
      <c r="G131" s="4" t="str">
        <f t="shared" si="66"/>
        <v/>
      </c>
      <c r="H131" s="4" t="str">
        <f t="shared" si="67"/>
        <v>Controller: &lt;SxxRyy_S.I1.CSO_10&gt; - ROBOT Joint 1 Zone Disabled</v>
      </c>
      <c r="I131" s="4" t="str">
        <f t="shared" si="68"/>
        <v>AB_RACKx_SLOTa</v>
      </c>
      <c r="J131" s="4"/>
      <c r="K131" s="56" t="str">
        <f t="shared" si="69"/>
        <v>BOOL</v>
      </c>
      <c r="L131" s="56" t="str">
        <f t="shared" si="4"/>
        <v>ROBOTS\SxxRyy</v>
      </c>
      <c r="M131" s="56" t="str">
        <f t="shared" si="5"/>
        <v>STELLANTIS\Common\ToolPrototype\Robots</v>
      </c>
      <c r="N131" s="56" t="str">
        <f t="shared" si="6"/>
        <v>STELLANTIS_DN_FANUC_ROBOT_128_BIT_INTEGRATED_SAFETY_SxxRyy.v00</v>
      </c>
      <c r="O131" s="56" t="str">
        <f t="shared" si="70"/>
        <v/>
      </c>
      <c r="P131" s="56" t="str">
        <f t="shared" si="71"/>
        <v/>
      </c>
      <c r="Q131" s="56" t="str">
        <f t="shared" si="72"/>
        <v/>
      </c>
      <c r="R131" s="56" t="str">
        <f t="shared" si="73"/>
        <v/>
      </c>
      <c r="S131" s="56" t="str">
        <f t="shared" si="74"/>
        <v/>
      </c>
      <c r="T131" s="56" t="str">
        <f t="shared" si="75"/>
        <v>DNS201N56:I.Data[1].1</v>
      </c>
      <c r="U131" s="56" t="str">
        <f t="shared" si="76"/>
        <v/>
      </c>
      <c r="V131" s="56" t="str">
        <f t="shared" si="77"/>
        <v/>
      </c>
      <c r="W131" s="56"/>
      <c r="X131" s="56"/>
      <c r="Y131" s="56"/>
      <c r="Z131" s="56" t="str">
        <f t="shared" si="78"/>
        <v/>
      </c>
      <c r="AA131" s="56" t="str">
        <f t="shared" si="79"/>
        <v/>
      </c>
      <c r="AB131" s="56" t="str">
        <f t="shared" si="9"/>
        <v>ToolPrototype</v>
      </c>
      <c r="AC131" s="56" t="str">
        <f t="shared" si="80"/>
        <v/>
      </c>
      <c r="AD131" s="56" t="str">
        <f t="shared" si="10"/>
        <v>&lt;device&gt;
&lt;name&gt;SxxRyy&lt;/name&gt;
&lt;type&gt;FCA_DN_FANUC&lt;/type&gt;
&lt;deviceNetwork&gt;201&lt;/deviceNetwork&gt;
&lt;deviceNode&gt;56&lt;/deviceNode&gt;
&lt;/device&gt;</v>
      </c>
      <c r="AE131" s="56" t="str">
        <f t="shared" si="11"/>
        <v/>
      </c>
      <c r="AF131" s="56" t="str">
        <f t="shared" si="12"/>
        <v/>
      </c>
      <c r="AG131" s="56" t="str">
        <f t="shared" si="13"/>
        <v/>
      </c>
      <c r="AH131" s="56" t="str">
        <f t="shared" si="14"/>
        <v/>
      </c>
      <c r="AI131" s="56" t="str">
        <f t="shared" si="15"/>
        <v/>
      </c>
      <c r="AJ131" s="56" t="str">
        <f t="shared" si="16"/>
        <v/>
      </c>
      <c r="AK131" s="56" t="str">
        <f t="shared" si="17"/>
        <v/>
      </c>
      <c r="AL131" s="56" t="str">
        <f t="shared" si="18"/>
        <v/>
      </c>
      <c r="AM131" s="56" t="str">
        <f t="shared" si="19"/>
        <v/>
      </c>
      <c r="AN131" s="56" t="str">
        <f t="shared" si="81"/>
        <v/>
      </c>
      <c r="AO131" s="56" t="str">
        <f t="shared" si="82"/>
        <v/>
      </c>
      <c r="AP131" s="56" t="str">
        <f t="shared" si="83"/>
        <v>PSF</v>
      </c>
      <c r="AQ131" s="56" t="str">
        <f t="shared" si="84"/>
        <v>EXIT</v>
      </c>
      <c r="AR131" s="39" t="s">
        <v>130</v>
      </c>
      <c r="AT131" s="44" t="str">
        <f t="shared" si="85"/>
        <v>BOOL</v>
      </c>
      <c r="AU131" s="23">
        <f t="shared" si="86"/>
        <v>0</v>
      </c>
      <c r="AV131" s="23" t="str">
        <f t="shared" si="87"/>
        <v>I</v>
      </c>
      <c r="AW131" s="23" t="str">
        <f t="shared" si="88"/>
        <v xml:space="preserve">I.: </v>
      </c>
      <c r="AX131" s="23" t="str">
        <f t="shared" si="89"/>
        <v>_VC_DNS201N56_I.Data[1].1</v>
      </c>
      <c r="AY131" s="36" t="str">
        <f t="shared" si="90"/>
        <v xml:space="preserve">Controller: &lt;SxxRyy_S.I1.CSO_10&gt; - </v>
      </c>
      <c r="BB131" s="42" t="s">
        <v>17</v>
      </c>
      <c r="BC131" t="s">
        <v>22</v>
      </c>
      <c r="BD131" t="str">
        <f t="shared" si="96"/>
        <v>AB_RACKx_SLOTa</v>
      </c>
      <c r="BV131" s="30" t="s">
        <v>1183</v>
      </c>
      <c r="BY131" s="42"/>
      <c r="CB131" s="42"/>
      <c r="CE131" s="30"/>
      <c r="CH131" s="42" t="s">
        <v>66</v>
      </c>
      <c r="CI131" t="s">
        <v>99</v>
      </c>
      <c r="CJ131" t="str">
        <f>Prep!$U$2&amp;":I.Data[1]."</f>
        <v>DNS201N56:I.Data[1].</v>
      </c>
      <c r="CK131">
        <v>1</v>
      </c>
      <c r="CL131" t="s">
        <v>1166</v>
      </c>
      <c r="CM131" t="s">
        <v>75</v>
      </c>
      <c r="CN131" s="30" t="str">
        <f t="shared" si="97"/>
        <v>SxxRyy_S.I1.</v>
      </c>
      <c r="CO131" t="s">
        <v>1184</v>
      </c>
      <c r="CP131" t="s">
        <v>12</v>
      </c>
      <c r="CQ131" s="40"/>
      <c r="CR131" s="30" t="s">
        <v>1185</v>
      </c>
    </row>
    <row r="132" spans="2:96" x14ac:dyDescent="0.35">
      <c r="B132" s="4" t="str">
        <f t="shared" si="62"/>
        <v>FANUC_SxxRyy</v>
      </c>
      <c r="C132" s="4"/>
      <c r="D132" s="4" t="str">
        <f t="shared" si="63"/>
        <v>To_PSF_RobotJoint2ZoneDisabled</v>
      </c>
      <c r="E132" s="4" t="str">
        <f t="shared" si="64"/>
        <v>_VC_DNS201N56_I.Data[1].2</v>
      </c>
      <c r="F132" s="4" t="str">
        <f t="shared" si="65"/>
        <v>I</v>
      </c>
      <c r="G132" s="4" t="str">
        <f t="shared" si="66"/>
        <v/>
      </c>
      <c r="H132" s="4" t="str">
        <f t="shared" si="67"/>
        <v>Controller: &lt;SxxRyy_S.I1.CSO_11&gt; - ROBOT Joint 2 Zone Disabled</v>
      </c>
      <c r="I132" s="4" t="str">
        <f t="shared" si="68"/>
        <v>AB_RACKx_SLOTa</v>
      </c>
      <c r="J132" s="4"/>
      <c r="K132" s="56" t="str">
        <f t="shared" si="69"/>
        <v>BOOL</v>
      </c>
      <c r="L132" s="56" t="str">
        <f t="shared" si="4"/>
        <v>ROBOTS\SxxRyy</v>
      </c>
      <c r="M132" s="56" t="str">
        <f t="shared" si="5"/>
        <v>STELLANTIS\Common\ToolPrototype\Robots</v>
      </c>
      <c r="N132" s="56" t="str">
        <f t="shared" si="6"/>
        <v>STELLANTIS_DN_FANUC_ROBOT_128_BIT_INTEGRATED_SAFETY_SxxRyy.v00</v>
      </c>
      <c r="O132" s="56" t="str">
        <f t="shared" si="70"/>
        <v/>
      </c>
      <c r="P132" s="56" t="str">
        <f t="shared" si="71"/>
        <v/>
      </c>
      <c r="Q132" s="56" t="str">
        <f t="shared" si="72"/>
        <v/>
      </c>
      <c r="R132" s="56" t="str">
        <f t="shared" si="73"/>
        <v/>
      </c>
      <c r="S132" s="56" t="str">
        <f t="shared" si="74"/>
        <v/>
      </c>
      <c r="T132" s="56" t="str">
        <f t="shared" si="75"/>
        <v>DNS201N56:I.Data[1].2</v>
      </c>
      <c r="U132" s="56" t="str">
        <f t="shared" si="76"/>
        <v/>
      </c>
      <c r="V132" s="56" t="str">
        <f t="shared" si="77"/>
        <v/>
      </c>
      <c r="W132" s="56"/>
      <c r="X132" s="56"/>
      <c r="Y132" s="56"/>
      <c r="Z132" s="56" t="str">
        <f t="shared" si="78"/>
        <v/>
      </c>
      <c r="AA132" s="56" t="str">
        <f t="shared" si="79"/>
        <v/>
      </c>
      <c r="AB132" s="56" t="str">
        <f t="shared" si="9"/>
        <v>ToolPrototype</v>
      </c>
      <c r="AC132" s="56" t="str">
        <f t="shared" si="80"/>
        <v/>
      </c>
      <c r="AD132" s="56" t="str">
        <f t="shared" si="10"/>
        <v>&lt;device&gt;
&lt;name&gt;SxxRyy&lt;/name&gt;
&lt;type&gt;FCA_DN_FANUC&lt;/type&gt;
&lt;deviceNetwork&gt;201&lt;/deviceNetwork&gt;
&lt;deviceNode&gt;56&lt;/deviceNode&gt;
&lt;/device&gt;</v>
      </c>
      <c r="AE132" s="56" t="str">
        <f t="shared" si="11"/>
        <v/>
      </c>
      <c r="AF132" s="56" t="str">
        <f t="shared" si="12"/>
        <v/>
      </c>
      <c r="AG132" s="56" t="str">
        <f t="shared" si="13"/>
        <v/>
      </c>
      <c r="AH132" s="56" t="str">
        <f t="shared" si="14"/>
        <v/>
      </c>
      <c r="AI132" s="56" t="str">
        <f t="shared" si="15"/>
        <v/>
      </c>
      <c r="AJ132" s="56" t="str">
        <f t="shared" si="16"/>
        <v/>
      </c>
      <c r="AK132" s="56" t="str">
        <f t="shared" si="17"/>
        <v/>
      </c>
      <c r="AL132" s="56" t="str">
        <f t="shared" si="18"/>
        <v/>
      </c>
      <c r="AM132" s="56" t="str">
        <f t="shared" si="19"/>
        <v/>
      </c>
      <c r="AN132" s="56" t="str">
        <f t="shared" si="81"/>
        <v/>
      </c>
      <c r="AO132" s="56" t="str">
        <f t="shared" si="82"/>
        <v/>
      </c>
      <c r="AP132" s="56" t="str">
        <f t="shared" si="83"/>
        <v>PSF</v>
      </c>
      <c r="AQ132" s="56" t="str">
        <f t="shared" si="84"/>
        <v>EXIT</v>
      </c>
      <c r="AR132" s="39" t="s">
        <v>130</v>
      </c>
      <c r="AT132" s="44" t="str">
        <f t="shared" si="85"/>
        <v>BOOL</v>
      </c>
      <c r="AU132" s="23">
        <f t="shared" si="86"/>
        <v>0</v>
      </c>
      <c r="AV132" s="23" t="str">
        <f t="shared" si="87"/>
        <v>I</v>
      </c>
      <c r="AW132" s="23" t="str">
        <f t="shared" si="88"/>
        <v xml:space="preserve">I.: </v>
      </c>
      <c r="AX132" s="23" t="str">
        <f t="shared" si="89"/>
        <v>_VC_DNS201N56_I.Data[1].2</v>
      </c>
      <c r="AY132" s="36" t="str">
        <f t="shared" si="90"/>
        <v xml:space="preserve">Controller: &lt;SxxRyy_S.I1.CSO_11&gt; - </v>
      </c>
      <c r="BB132" s="42" t="s">
        <v>17</v>
      </c>
      <c r="BC132" t="s">
        <v>22</v>
      </c>
      <c r="BD132" t="str">
        <f t="shared" si="96"/>
        <v>AB_RACKx_SLOTa</v>
      </c>
      <c r="BV132" s="30" t="s">
        <v>1186</v>
      </c>
      <c r="BY132" s="42"/>
      <c r="CB132" s="42"/>
      <c r="CE132" s="30"/>
      <c r="CH132" s="42" t="s">
        <v>66</v>
      </c>
      <c r="CI132" t="s">
        <v>99</v>
      </c>
      <c r="CJ132" t="str">
        <f>Prep!$U$2&amp;":I.Data[1]."</f>
        <v>DNS201N56:I.Data[1].</v>
      </c>
      <c r="CK132">
        <v>2</v>
      </c>
      <c r="CL132" t="s">
        <v>1166</v>
      </c>
      <c r="CM132" t="s">
        <v>75</v>
      </c>
      <c r="CN132" s="30" t="str">
        <f t="shared" si="97"/>
        <v>SxxRyy_S.I1.</v>
      </c>
      <c r="CO132" t="s">
        <v>1187</v>
      </c>
      <c r="CP132" t="s">
        <v>12</v>
      </c>
      <c r="CQ132" s="40"/>
      <c r="CR132" s="30" t="s">
        <v>1188</v>
      </c>
    </row>
    <row r="133" spans="2:96" x14ac:dyDescent="0.35">
      <c r="B133" s="4" t="str">
        <f t="shared" si="62"/>
        <v>FANUC_SxxRyy</v>
      </c>
      <c r="C133" s="4"/>
      <c r="D133" s="4" t="str">
        <f t="shared" si="63"/>
        <v>To_PLC_SftyNodeActive</v>
      </c>
      <c r="E133" s="4" t="str">
        <f t="shared" si="64"/>
        <v>ENBT200:1:S.ActiveNodeRegister[7].0</v>
      </c>
      <c r="F133" s="4" t="str">
        <f t="shared" si="65"/>
        <v>I</v>
      </c>
      <c r="G133" s="4" t="str">
        <f t="shared" si="66"/>
        <v/>
      </c>
      <c r="H133" s="4" t="str">
        <f t="shared" si="67"/>
        <v>Controller: &lt;Chassis02DN01Stat.NdActv[1].24&gt; - DeviceNet Network 201 Node 56 (SxxRyy) Safe IO Active</v>
      </c>
      <c r="I133" s="4" t="str">
        <f t="shared" si="68"/>
        <v>AB_RACKx_SLOTa</v>
      </c>
      <c r="J133" s="4"/>
      <c r="K133" s="56" t="str">
        <f t="shared" si="69"/>
        <v>BOOL</v>
      </c>
      <c r="L133" s="56" t="str">
        <f t="shared" si="4"/>
        <v>ROBOTS\SxxRyy</v>
      </c>
      <c r="M133" s="56" t="str">
        <f t="shared" si="5"/>
        <v>STELLANTIS\Common\ToolPrototype\Robots</v>
      </c>
      <c r="N133" s="56" t="str">
        <f t="shared" si="6"/>
        <v>STELLANTIS_DN_FANUC_ROBOT_128_BIT_INTEGRATED_SAFETY_SxxRyy.v00</v>
      </c>
      <c r="O133" s="56" t="str">
        <f t="shared" si="70"/>
        <v/>
      </c>
      <c r="P133" s="56" t="str">
        <f t="shared" si="71"/>
        <v/>
      </c>
      <c r="Q133" s="56" t="str">
        <f t="shared" si="72"/>
        <v/>
      </c>
      <c r="R133" s="56" t="str">
        <f t="shared" si="73"/>
        <v/>
      </c>
      <c r="S133" s="56" t="str">
        <f t="shared" si="74"/>
        <v/>
      </c>
      <c r="T133" s="56" t="str">
        <f t="shared" si="75"/>
        <v/>
      </c>
      <c r="U133" s="56" t="str">
        <f t="shared" si="76"/>
        <v/>
      </c>
      <c r="V133" s="56" t="str">
        <f t="shared" si="77"/>
        <v/>
      </c>
      <c r="W133" s="56"/>
      <c r="X133" s="56"/>
      <c r="Y133" s="56"/>
      <c r="Z133" s="56" t="str">
        <f t="shared" si="78"/>
        <v/>
      </c>
      <c r="AA133" s="56" t="str">
        <f t="shared" si="79"/>
        <v/>
      </c>
      <c r="AB133" s="56" t="str">
        <f t="shared" si="9"/>
        <v>ToolPrototype</v>
      </c>
      <c r="AC133" s="56" t="str">
        <f t="shared" si="80"/>
        <v/>
      </c>
      <c r="AD133" s="56" t="str">
        <f t="shared" si="10"/>
        <v>&lt;device&gt;
&lt;name&gt;SxxRyy&lt;/name&gt;
&lt;type&gt;FCA_DN_FANUC&lt;/type&gt;
&lt;deviceNetwork&gt;201&lt;/deviceNetwork&gt;
&lt;deviceNode&gt;56&lt;/deviceNode&gt;
&lt;/device&gt;</v>
      </c>
      <c r="AE133" s="56" t="str">
        <f t="shared" si="11"/>
        <v/>
      </c>
      <c r="AF133" s="56" t="str">
        <f t="shared" si="12"/>
        <v/>
      </c>
      <c r="AG133" s="56" t="str">
        <f t="shared" si="13"/>
        <v/>
      </c>
      <c r="AH133" s="56" t="str">
        <f t="shared" si="14"/>
        <v/>
      </c>
      <c r="AI133" s="56" t="str">
        <f t="shared" si="15"/>
        <v/>
      </c>
      <c r="AJ133" s="56" t="str">
        <f t="shared" si="16"/>
        <v/>
      </c>
      <c r="AK133" s="56" t="str">
        <f t="shared" si="17"/>
        <v/>
      </c>
      <c r="AL133" s="56" t="str">
        <f t="shared" si="18"/>
        <v/>
      </c>
      <c r="AM133" s="56" t="str">
        <f t="shared" si="19"/>
        <v/>
      </c>
      <c r="AN133" s="56" t="str">
        <f t="shared" si="81"/>
        <v/>
      </c>
      <c r="AO133" s="56" t="str">
        <f t="shared" si="82"/>
        <v/>
      </c>
      <c r="AP133" s="56" t="str">
        <f t="shared" si="83"/>
        <v>PLC</v>
      </c>
      <c r="AQ133" s="56" t="str">
        <f t="shared" si="84"/>
        <v>EXIT</v>
      </c>
      <c r="AR133" s="39" t="s">
        <v>130</v>
      </c>
      <c r="AT133" s="44" t="str">
        <f t="shared" si="85"/>
        <v>BOOL</v>
      </c>
      <c r="AU133" s="23">
        <f t="shared" si="86"/>
        <v>0</v>
      </c>
      <c r="AV133" s="23" t="str">
        <f t="shared" si="87"/>
        <v>I</v>
      </c>
      <c r="AW133" s="23" t="str">
        <f t="shared" si="88"/>
        <v xml:space="preserve">I.: </v>
      </c>
      <c r="AX133" s="23" t="str">
        <f t="shared" si="89"/>
        <v>ENBT200:1:S.ActiveNodeRegister[7].0</v>
      </c>
      <c r="AY133" s="36" t="str">
        <f t="shared" si="90"/>
        <v xml:space="preserve">Controller: &lt;Chassis02DN01Stat.NdActv[1].24&gt; - </v>
      </c>
      <c r="BB133" s="42" t="s">
        <v>17</v>
      </c>
      <c r="BC133" t="s">
        <v>16</v>
      </c>
      <c r="BD133" t="str">
        <f t="shared" ref="BD133:BD202" si="98">Header_Config01</f>
        <v>AB_RACKx_SLOTa</v>
      </c>
      <c r="BV133" s="30" t="s">
        <v>569</v>
      </c>
      <c r="BY133" s="42"/>
      <c r="CB133" s="42"/>
      <c r="CE133" s="30"/>
      <c r="CH133" s="42"/>
      <c r="CJ133" t="str">
        <f>Prep!$U$3&amp;":S."</f>
        <v>ENBT200:1:S.</v>
      </c>
      <c r="CK133" t="str">
        <f>"ActiveNodeRegister["&amp;QUOTIENT(Prep!$U$4,8)&amp;"]."&amp;MOD(Prep!$U$4,8)</f>
        <v>ActiveNodeRegister[7].0</v>
      </c>
      <c r="CM133" t="s">
        <v>75</v>
      </c>
      <c r="CN133" s="30" t="str">
        <f>"Chassis"&amp;IF(AND(Header_Config03&gt;103,Header_Config03&lt;114),"01",IF(AND(Header_Config03&gt;200,Header_Config03&lt;204),"02","_NETWORK NOT SET_"))&amp;"DN"&amp;RIGHT(Header_Config03,2)&amp;"Stat."&amp;"NdActv"&amp;"["&amp;QUOTIENT(Prep!$U$4,32)&amp;"]."</f>
        <v>Chassis02DN01Stat.NdActv[1].</v>
      </c>
      <c r="CO133">
        <f>MOD(Prep!$U$4,32)</f>
        <v>24</v>
      </c>
      <c r="CP133" t="s">
        <v>12</v>
      </c>
      <c r="CQ133" s="40"/>
      <c r="CR133" s="30" t="str">
        <f>"DeviceNet Network "&amp;TEXT(Header_Config03,"00")&amp;" Node "&amp;TEXT(Prep!$U$4,"00")&amp;" ("&amp;Header_LB_Unique_ID&amp;") Safe IO Active"</f>
        <v>DeviceNet Network 201 Node 56 (SxxRyy) Safe IO Active</v>
      </c>
    </row>
    <row r="134" spans="2:96" x14ac:dyDescent="0.35">
      <c r="B134" s="4" t="str">
        <f t="shared" si="62"/>
        <v>FANUC_SxxRyy</v>
      </c>
      <c r="C134" s="4"/>
      <c r="D134" s="4" t="str">
        <f t="shared" si="63"/>
        <v>To_PLC_SftyNodeFaulted</v>
      </c>
      <c r="E134" s="4" t="str">
        <f t="shared" si="64"/>
        <v>ENBT200:1:S.DeviceFailureRegister[7].0</v>
      </c>
      <c r="F134" s="4" t="str">
        <f t="shared" si="65"/>
        <v>I</v>
      </c>
      <c r="G134" s="4" t="str">
        <f t="shared" si="66"/>
        <v/>
      </c>
      <c r="H134" s="4" t="str">
        <f t="shared" si="67"/>
        <v>Controller: &lt;Chassis02DN01Stat.NdCommFail[1].24&gt; - DeviceNet Network 201 Node 56 (SxxRyy) Safe IO Failed</v>
      </c>
      <c r="I134" s="4" t="str">
        <f t="shared" si="68"/>
        <v>AB_RACKx_SLOTa</v>
      </c>
      <c r="J134" s="4"/>
      <c r="K134" s="56" t="str">
        <f t="shared" si="69"/>
        <v>BOOL</v>
      </c>
      <c r="L134" s="56" t="str">
        <f t="shared" si="4"/>
        <v>ROBOTS\SxxRyy</v>
      </c>
      <c r="M134" s="56" t="str">
        <f t="shared" si="5"/>
        <v>STELLANTIS\Common\ToolPrototype\Robots</v>
      </c>
      <c r="N134" s="56" t="str">
        <f t="shared" si="6"/>
        <v>STELLANTIS_DN_FANUC_ROBOT_128_BIT_INTEGRATED_SAFETY_SxxRyy.v00</v>
      </c>
      <c r="O134" s="56" t="str">
        <f t="shared" si="70"/>
        <v/>
      </c>
      <c r="P134" s="56" t="str">
        <f t="shared" si="71"/>
        <v/>
      </c>
      <c r="Q134" s="56" t="str">
        <f t="shared" si="72"/>
        <v/>
      </c>
      <c r="R134" s="56" t="str">
        <f t="shared" si="73"/>
        <v/>
      </c>
      <c r="S134" s="56" t="str">
        <f t="shared" si="74"/>
        <v/>
      </c>
      <c r="T134" s="56" t="str">
        <f t="shared" si="75"/>
        <v/>
      </c>
      <c r="U134" s="56" t="str">
        <f t="shared" si="76"/>
        <v/>
      </c>
      <c r="V134" s="56" t="str">
        <f t="shared" si="77"/>
        <v/>
      </c>
      <c r="W134" s="56"/>
      <c r="X134" s="56"/>
      <c r="Y134" s="56"/>
      <c r="Z134" s="56" t="str">
        <f t="shared" si="78"/>
        <v/>
      </c>
      <c r="AA134" s="56" t="str">
        <f t="shared" si="79"/>
        <v/>
      </c>
      <c r="AB134" s="56" t="str">
        <f t="shared" si="9"/>
        <v>ToolPrototype</v>
      </c>
      <c r="AC134" s="56" t="str">
        <f t="shared" si="80"/>
        <v/>
      </c>
      <c r="AD134" s="56" t="str">
        <f t="shared" si="10"/>
        <v>&lt;device&gt;
&lt;name&gt;SxxRyy&lt;/name&gt;
&lt;type&gt;FCA_DN_FANUC&lt;/type&gt;
&lt;deviceNetwork&gt;201&lt;/deviceNetwork&gt;
&lt;deviceNode&gt;56&lt;/deviceNode&gt;
&lt;/device&gt;</v>
      </c>
      <c r="AE134" s="56" t="str">
        <f t="shared" si="11"/>
        <v/>
      </c>
      <c r="AF134" s="56" t="str">
        <f t="shared" si="12"/>
        <v/>
      </c>
      <c r="AG134" s="56" t="str">
        <f t="shared" si="13"/>
        <v/>
      </c>
      <c r="AH134" s="56" t="str">
        <f t="shared" si="14"/>
        <v/>
      </c>
      <c r="AI134" s="56" t="str">
        <f t="shared" si="15"/>
        <v/>
      </c>
      <c r="AJ134" s="56" t="str">
        <f t="shared" si="16"/>
        <v/>
      </c>
      <c r="AK134" s="56" t="str">
        <f t="shared" si="17"/>
        <v/>
      </c>
      <c r="AL134" s="56" t="str">
        <f t="shared" si="18"/>
        <v/>
      </c>
      <c r="AM134" s="56" t="str">
        <f t="shared" si="19"/>
        <v/>
      </c>
      <c r="AN134" s="56" t="str">
        <f t="shared" si="81"/>
        <v/>
      </c>
      <c r="AO134" s="56" t="str">
        <f t="shared" si="82"/>
        <v/>
      </c>
      <c r="AP134" s="56" t="str">
        <f t="shared" si="83"/>
        <v>PLC</v>
      </c>
      <c r="AQ134" s="56" t="str">
        <f t="shared" si="84"/>
        <v>EXIT</v>
      </c>
      <c r="AR134" s="39" t="s">
        <v>130</v>
      </c>
      <c r="AT134" s="44" t="str">
        <f t="shared" si="85"/>
        <v>BOOL</v>
      </c>
      <c r="AU134" s="23">
        <f t="shared" si="86"/>
        <v>0</v>
      </c>
      <c r="AV134" s="23" t="str">
        <f t="shared" si="87"/>
        <v>I</v>
      </c>
      <c r="AW134" s="23" t="str">
        <f t="shared" si="88"/>
        <v xml:space="preserve">I.: </v>
      </c>
      <c r="AX134" s="23" t="str">
        <f t="shared" si="89"/>
        <v>ENBT200:1:S.DeviceFailureRegister[7].0</v>
      </c>
      <c r="AY134" s="36" t="str">
        <f t="shared" si="90"/>
        <v xml:space="preserve">Controller: &lt;Chassis02DN01Stat.NdCommFail[1].24&gt; - </v>
      </c>
      <c r="BB134" s="42" t="s">
        <v>17</v>
      </c>
      <c r="BC134" t="s">
        <v>16</v>
      </c>
      <c r="BD134" t="str">
        <f t="shared" si="98"/>
        <v>AB_RACKx_SLOTa</v>
      </c>
      <c r="BV134" s="30" t="s">
        <v>570</v>
      </c>
      <c r="BY134" s="42"/>
      <c r="CB134" s="42"/>
      <c r="CE134" s="30"/>
      <c r="CH134" s="42"/>
      <c r="CJ134" t="str">
        <f>Prep!$U$3&amp;":S."</f>
        <v>ENBT200:1:S.</v>
      </c>
      <c r="CK134" t="str">
        <f>"DeviceFailureRegister["&amp;QUOTIENT(Prep!$U$4,8)&amp;"]."&amp;MOD(Prep!$U$4,8)</f>
        <v>DeviceFailureRegister[7].0</v>
      </c>
      <c r="CM134" t="s">
        <v>75</v>
      </c>
      <c r="CN134" s="30" t="str">
        <f>"Chassis"&amp;IF(AND(Header_Config03&gt;103,Header_Config03&lt;114),"01",IF(AND(Header_Config03&gt;200,Header_Config03&lt;204),"02","_NETWORK NOT SET_"))&amp;"DN"&amp;RIGHT(Header_Config03,2)&amp;"Stat."&amp;"NdCommFail"&amp;"["&amp;QUOTIENT(Prep!$U$4,32)&amp;"]."</f>
        <v>Chassis02DN01Stat.NdCommFail[1].</v>
      </c>
      <c r="CO134">
        <f>MOD(Prep!$U$4,32)</f>
        <v>24</v>
      </c>
      <c r="CP134" t="s">
        <v>12</v>
      </c>
      <c r="CQ134" s="40"/>
      <c r="CR134" s="30" t="str">
        <f>"DeviceNet Network "&amp;TEXT(Header_Config03,"00")&amp;" Node "&amp;TEXT(Prep!$U$4,"00")&amp;" ("&amp;Header_LB_Unique_ID&amp;") Safe IO Failed"</f>
        <v>DeviceNet Network 201 Node 56 (SxxRyy) Safe IO Failed</v>
      </c>
    </row>
    <row r="135" spans="2:96" x14ac:dyDescent="0.35">
      <c r="B135" s="4" t="str">
        <f t="shared" si="62"/>
        <v>FANUC_SxxRyy</v>
      </c>
      <c r="C135" s="4"/>
      <c r="D135" s="4" t="str">
        <f t="shared" si="63"/>
        <v>To_PLC_SafetyPointStatusDWORD1</v>
      </c>
      <c r="E135" s="4" t="str">
        <f t="shared" si="64"/>
        <v>ENBT200:1:I.Data[114]</v>
      </c>
      <c r="F135" s="4" t="str">
        <f t="shared" si="65"/>
        <v>I</v>
      </c>
      <c r="G135" s="4" t="str">
        <f t="shared" si="66"/>
        <v/>
      </c>
      <c r="H135" s="4" t="str">
        <f t="shared" si="67"/>
        <v>Controller: &lt;SxxRyyStat1&gt; - Safety Point Status DWORD 1</v>
      </c>
      <c r="I135" s="4" t="str">
        <f t="shared" si="68"/>
        <v>AB_RACKx_SLOTa</v>
      </c>
      <c r="J135" s="4"/>
      <c r="K135" s="56" t="str">
        <f t="shared" si="69"/>
        <v>DWORD</v>
      </c>
      <c r="L135" s="56" t="str">
        <f t="shared" si="4"/>
        <v>ROBOTS\SxxRyy</v>
      </c>
      <c r="M135" s="56" t="str">
        <f t="shared" si="5"/>
        <v>STELLANTIS\Common\ToolPrototype\Robots</v>
      </c>
      <c r="N135" s="56" t="str">
        <f t="shared" si="6"/>
        <v>STELLANTIS_DN_FANUC_ROBOT_128_BIT_INTEGRATED_SAFETY_SxxRyy.v00</v>
      </c>
      <c r="O135" s="56" t="str">
        <f t="shared" si="70"/>
        <v/>
      </c>
      <c r="P135" s="56" t="str">
        <f t="shared" si="71"/>
        <v/>
      </c>
      <c r="Q135" s="56" t="str">
        <f t="shared" si="72"/>
        <v/>
      </c>
      <c r="R135" s="56" t="str">
        <f t="shared" si="73"/>
        <v/>
      </c>
      <c r="S135" s="56" t="str">
        <f t="shared" si="74"/>
        <v/>
      </c>
      <c r="T135" s="56" t="str">
        <f t="shared" si="75"/>
        <v/>
      </c>
      <c r="U135" s="56" t="str">
        <f t="shared" si="76"/>
        <v/>
      </c>
      <c r="V135" s="56" t="str">
        <f t="shared" si="77"/>
        <v/>
      </c>
      <c r="W135" s="56"/>
      <c r="X135" s="56"/>
      <c r="Y135" s="56"/>
      <c r="Z135" s="56" t="str">
        <f t="shared" si="78"/>
        <v/>
      </c>
      <c r="AA135" s="56" t="str">
        <f t="shared" si="79"/>
        <v/>
      </c>
      <c r="AB135" s="56" t="str">
        <f t="shared" si="9"/>
        <v>ToolPrototype</v>
      </c>
      <c r="AC135" s="56" t="str">
        <f t="shared" si="80"/>
        <v/>
      </c>
      <c r="AD135" s="56" t="str">
        <f t="shared" si="10"/>
        <v>&lt;device&gt;
&lt;name&gt;SxxRyy&lt;/name&gt;
&lt;type&gt;FCA_DN_FANUC&lt;/type&gt;
&lt;deviceNetwork&gt;201&lt;/deviceNetwork&gt;
&lt;deviceNode&gt;56&lt;/deviceNode&gt;
&lt;/device&gt;</v>
      </c>
      <c r="AE135" s="56" t="str">
        <f t="shared" si="11"/>
        <v/>
      </c>
      <c r="AF135" s="56" t="str">
        <f t="shared" si="12"/>
        <v/>
      </c>
      <c r="AG135" s="56" t="str">
        <f t="shared" si="13"/>
        <v/>
      </c>
      <c r="AH135" s="56" t="str">
        <f t="shared" si="14"/>
        <v/>
      </c>
      <c r="AI135" s="56" t="str">
        <f t="shared" si="15"/>
        <v/>
      </c>
      <c r="AJ135" s="56" t="str">
        <f t="shared" si="16"/>
        <v/>
      </c>
      <c r="AK135" s="56" t="str">
        <f t="shared" si="17"/>
        <v/>
      </c>
      <c r="AL135" s="56" t="str">
        <f t="shared" si="18"/>
        <v/>
      </c>
      <c r="AM135" s="56" t="str">
        <f t="shared" si="19"/>
        <v/>
      </c>
      <c r="AN135" s="56" t="str">
        <f t="shared" si="81"/>
        <v/>
      </c>
      <c r="AO135" s="56" t="str">
        <f t="shared" si="82"/>
        <v/>
      </c>
      <c r="AP135" s="56" t="str">
        <f t="shared" si="83"/>
        <v>PLC</v>
      </c>
      <c r="AQ135" s="56" t="str">
        <f t="shared" si="84"/>
        <v>EXIT</v>
      </c>
      <c r="AR135" s="39" t="s">
        <v>130</v>
      </c>
      <c r="AT135" s="44" t="str">
        <f t="shared" si="85"/>
        <v>DWORD</v>
      </c>
      <c r="AU135" s="23">
        <f t="shared" si="86"/>
        <v>0</v>
      </c>
      <c r="AV135" s="23" t="str">
        <f t="shared" si="87"/>
        <v>ID</v>
      </c>
      <c r="AW135" s="23" t="str">
        <f t="shared" si="88"/>
        <v xml:space="preserve">ID: </v>
      </c>
      <c r="AX135" s="23" t="str">
        <f t="shared" si="89"/>
        <v>ENBT200:1:I.Data[114]</v>
      </c>
      <c r="AY135" s="36" t="str">
        <f t="shared" si="90"/>
        <v xml:space="preserve">Controller: &lt;SxxRyyStat1&gt; - </v>
      </c>
      <c r="BB135" s="42" t="s">
        <v>17</v>
      </c>
      <c r="BC135" t="s">
        <v>16</v>
      </c>
      <c r="BD135" t="s">
        <v>244</v>
      </c>
      <c r="BV135" s="30" t="s">
        <v>571</v>
      </c>
      <c r="BY135" s="42"/>
      <c r="CB135" s="42"/>
      <c r="CE135" s="30"/>
      <c r="CH135" s="42"/>
      <c r="CJ135" t="str">
        <f>Prep!$U$3&amp;":I.Data["&amp;Prep!$U$5&amp;"]"</f>
        <v>ENBT200:1:I.Data[114]</v>
      </c>
      <c r="CM135" t="s">
        <v>75</v>
      </c>
      <c r="CN135" s="30" t="str">
        <f>Header_LB_Unique_ID&amp;"Stat1"</f>
        <v>SxxRyyStat1</v>
      </c>
      <c r="CP135" t="s">
        <v>88</v>
      </c>
      <c r="CQ135" s="40"/>
      <c r="CR135" s="30" t="s">
        <v>572</v>
      </c>
    </row>
    <row r="136" spans="2:96" x14ac:dyDescent="0.35">
      <c r="B136" s="4" t="str">
        <f t="shared" si="62"/>
        <v>FANUC_SxxRyy</v>
      </c>
      <c r="C136" s="4"/>
      <c r="D136" s="4" t="str">
        <f t="shared" si="63"/>
        <v>To_PLC_SafetyPointStatusDWORD2</v>
      </c>
      <c r="E136" s="4" t="str">
        <f t="shared" si="64"/>
        <v>ENBT200:1:I.Data[115]</v>
      </c>
      <c r="F136" s="4" t="str">
        <f t="shared" si="65"/>
        <v>I</v>
      </c>
      <c r="G136" s="4" t="str">
        <f t="shared" si="66"/>
        <v/>
      </c>
      <c r="H136" s="4" t="str">
        <f t="shared" si="67"/>
        <v>Controller: &lt;SxxRyyStat1&gt; - Safety Point Status DWORD 2</v>
      </c>
      <c r="I136" s="4" t="str">
        <f t="shared" si="68"/>
        <v>AB_RACKx_SLOTa</v>
      </c>
      <c r="J136" s="4"/>
      <c r="K136" s="56" t="str">
        <f t="shared" si="69"/>
        <v>DWORD</v>
      </c>
      <c r="L136" s="56" t="str">
        <f t="shared" si="4"/>
        <v>ROBOTS\SxxRyy</v>
      </c>
      <c r="M136" s="56" t="str">
        <f t="shared" si="5"/>
        <v>STELLANTIS\Common\ToolPrototype\Robots</v>
      </c>
      <c r="N136" s="56" t="str">
        <f t="shared" si="6"/>
        <v>STELLANTIS_DN_FANUC_ROBOT_128_BIT_INTEGRATED_SAFETY_SxxRyy.v00</v>
      </c>
      <c r="O136" s="56" t="str">
        <f t="shared" si="70"/>
        <v/>
      </c>
      <c r="P136" s="56" t="str">
        <f t="shared" si="71"/>
        <v/>
      </c>
      <c r="Q136" s="56" t="str">
        <f t="shared" si="72"/>
        <v/>
      </c>
      <c r="R136" s="56" t="str">
        <f t="shared" si="73"/>
        <v/>
      </c>
      <c r="S136" s="56" t="str">
        <f t="shared" si="74"/>
        <v/>
      </c>
      <c r="T136" s="56" t="str">
        <f t="shared" si="75"/>
        <v/>
      </c>
      <c r="U136" s="56" t="str">
        <f t="shared" si="76"/>
        <v/>
      </c>
      <c r="V136" s="56" t="str">
        <f t="shared" si="77"/>
        <v/>
      </c>
      <c r="W136" s="56"/>
      <c r="X136" s="56"/>
      <c r="Y136" s="56"/>
      <c r="Z136" s="56" t="str">
        <f t="shared" si="78"/>
        <v/>
      </c>
      <c r="AA136" s="56" t="str">
        <f t="shared" si="79"/>
        <v/>
      </c>
      <c r="AB136" s="56" t="str">
        <f t="shared" si="9"/>
        <v>ToolPrototype</v>
      </c>
      <c r="AC136" s="56" t="str">
        <f t="shared" si="80"/>
        <v/>
      </c>
      <c r="AD136" s="56" t="str">
        <f t="shared" si="10"/>
        <v>&lt;device&gt;
&lt;name&gt;SxxRyy&lt;/name&gt;
&lt;type&gt;FCA_DN_FANUC&lt;/type&gt;
&lt;deviceNetwork&gt;201&lt;/deviceNetwork&gt;
&lt;deviceNode&gt;56&lt;/deviceNode&gt;
&lt;/device&gt;</v>
      </c>
      <c r="AE136" s="56" t="str">
        <f t="shared" si="11"/>
        <v/>
      </c>
      <c r="AF136" s="56" t="str">
        <f t="shared" si="12"/>
        <v/>
      </c>
      <c r="AG136" s="56" t="str">
        <f t="shared" si="13"/>
        <v/>
      </c>
      <c r="AH136" s="56" t="str">
        <f t="shared" si="14"/>
        <v/>
      </c>
      <c r="AI136" s="56" t="str">
        <f t="shared" si="15"/>
        <v/>
      </c>
      <c r="AJ136" s="56" t="str">
        <f t="shared" si="16"/>
        <v/>
      </c>
      <c r="AK136" s="56" t="str">
        <f t="shared" si="17"/>
        <v/>
      </c>
      <c r="AL136" s="56" t="str">
        <f t="shared" si="18"/>
        <v/>
      </c>
      <c r="AM136" s="56" t="str">
        <f t="shared" si="19"/>
        <v/>
      </c>
      <c r="AN136" s="56" t="str">
        <f t="shared" si="81"/>
        <v/>
      </c>
      <c r="AO136" s="56" t="str">
        <f t="shared" si="82"/>
        <v/>
      </c>
      <c r="AP136" s="56" t="str">
        <f t="shared" si="83"/>
        <v>PLC</v>
      </c>
      <c r="AQ136" s="56" t="str">
        <f t="shared" si="84"/>
        <v>EXIT</v>
      </c>
      <c r="AR136" s="39" t="s">
        <v>130</v>
      </c>
      <c r="AT136" s="44" t="str">
        <f t="shared" si="85"/>
        <v>DWORD</v>
      </c>
      <c r="AU136" s="23">
        <f t="shared" si="86"/>
        <v>0</v>
      </c>
      <c r="AV136" s="23" t="str">
        <f t="shared" si="87"/>
        <v>ID</v>
      </c>
      <c r="AW136" s="23" t="str">
        <f t="shared" si="88"/>
        <v xml:space="preserve">ID: </v>
      </c>
      <c r="AX136" s="23" t="str">
        <f t="shared" si="89"/>
        <v>ENBT200:1:I.Data[115]</v>
      </c>
      <c r="AY136" s="36" t="str">
        <f t="shared" si="90"/>
        <v xml:space="preserve">Controller: &lt;SxxRyyStat1&gt; - </v>
      </c>
      <c r="BB136" s="42" t="s">
        <v>17</v>
      </c>
      <c r="BC136" t="s">
        <v>16</v>
      </c>
      <c r="BD136" t="s">
        <v>244</v>
      </c>
      <c r="BV136" s="30" t="s">
        <v>573</v>
      </c>
      <c r="BY136" s="42"/>
      <c r="CB136" s="42"/>
      <c r="CE136" s="30"/>
      <c r="CH136" s="42"/>
      <c r="CJ136" t="str">
        <f>Prep!$U$3&amp;":I.Data["&amp;Prep!$U$5+1&amp;"]"</f>
        <v>ENBT200:1:I.Data[115]</v>
      </c>
      <c r="CM136" t="s">
        <v>75</v>
      </c>
      <c r="CN136" s="30" t="str">
        <f>Header_LB_Unique_ID&amp;"Stat1"</f>
        <v>SxxRyyStat1</v>
      </c>
      <c r="CP136" t="s">
        <v>88</v>
      </c>
      <c r="CQ136" s="40"/>
      <c r="CR136" s="30" t="s">
        <v>574</v>
      </c>
    </row>
    <row r="137" spans="2:96" x14ac:dyDescent="0.35">
      <c r="B137" s="4" t="str">
        <f t="shared" si="62"/>
        <v>FANUC_SxxRyy</v>
      </c>
      <c r="C137" s="4"/>
      <c r="D137" s="4" t="str">
        <f t="shared" si="63"/>
        <v>To_PLC_RobotInAuto</v>
      </c>
      <c r="E137" s="4" t="str">
        <f t="shared" si="64"/>
        <v>ENBT200:1:I.Data[82].0</v>
      </c>
      <c r="F137" s="4" t="str">
        <f t="shared" si="65"/>
        <v>I</v>
      </c>
      <c r="G137" s="4" t="str">
        <f t="shared" si="66"/>
        <v/>
      </c>
      <c r="H137" s="4" t="str">
        <f t="shared" si="67"/>
        <v>Controller: &lt;I0201N51.b01&gt; - ROBOT IN AUTO DO1</v>
      </c>
      <c r="I137" s="4" t="str">
        <f t="shared" si="68"/>
        <v>AB_RACKx_SLOTa</v>
      </c>
      <c r="J137" s="4"/>
      <c r="K137" s="56" t="str">
        <f t="shared" si="69"/>
        <v>BOOL</v>
      </c>
      <c r="L137" s="56" t="str">
        <f t="shared" si="4"/>
        <v>ROBOTS\SxxRyy</v>
      </c>
      <c r="M137" s="56" t="str">
        <f t="shared" si="5"/>
        <v>STELLANTIS\Common\ToolPrototype\Robots</v>
      </c>
      <c r="N137" s="56" t="str">
        <f t="shared" si="6"/>
        <v>STELLANTIS_DN_FANUC_ROBOT_128_BIT_INTEGRATED_SAFETY_SxxRyy.v00</v>
      </c>
      <c r="O137" s="56" t="str">
        <f t="shared" si="70"/>
        <v/>
      </c>
      <c r="P137" s="56" t="str">
        <f t="shared" si="71"/>
        <v/>
      </c>
      <c r="Q137" s="56" t="str">
        <f t="shared" si="72"/>
        <v/>
      </c>
      <c r="R137" s="56" t="str">
        <f t="shared" si="73"/>
        <v/>
      </c>
      <c r="S137" s="56" t="str">
        <f t="shared" si="74"/>
        <v/>
      </c>
      <c r="T137" s="56" t="str">
        <f t="shared" si="75"/>
        <v/>
      </c>
      <c r="U137" s="56" t="str">
        <f t="shared" si="76"/>
        <v/>
      </c>
      <c r="V137" s="56" t="str">
        <f t="shared" si="77"/>
        <v/>
      </c>
      <c r="W137" s="56"/>
      <c r="X137" s="56"/>
      <c r="Y137" s="56"/>
      <c r="Z137" s="56" t="str">
        <f t="shared" si="78"/>
        <v/>
      </c>
      <c r="AA137" s="56" t="str">
        <f t="shared" si="79"/>
        <v/>
      </c>
      <c r="AB137" s="56" t="str">
        <f t="shared" si="9"/>
        <v>ToolPrototype</v>
      </c>
      <c r="AC137" s="56" t="str">
        <f t="shared" si="80"/>
        <v/>
      </c>
      <c r="AD137" s="56" t="str">
        <f t="shared" si="10"/>
        <v>&lt;device&gt;
&lt;name&gt;SxxRyy&lt;/name&gt;
&lt;type&gt;FCA_DN_FANUC&lt;/type&gt;
&lt;deviceNetwork&gt;201&lt;/deviceNetwork&gt;
&lt;deviceNode&gt;56&lt;/deviceNode&gt;
&lt;/device&gt;</v>
      </c>
      <c r="AE137" s="56" t="str">
        <f t="shared" si="11"/>
        <v/>
      </c>
      <c r="AF137" s="56" t="str">
        <f t="shared" si="12"/>
        <v/>
      </c>
      <c r="AG137" s="56" t="str">
        <f t="shared" si="13"/>
        <v/>
      </c>
      <c r="AH137" s="56" t="str">
        <f t="shared" si="14"/>
        <v/>
      </c>
      <c r="AI137" s="56" t="str">
        <f t="shared" si="15"/>
        <v/>
      </c>
      <c r="AJ137" s="56" t="str">
        <f t="shared" si="16"/>
        <v/>
      </c>
      <c r="AK137" s="56" t="str">
        <f t="shared" si="17"/>
        <v/>
      </c>
      <c r="AL137" s="56" t="str">
        <f t="shared" si="18"/>
        <v/>
      </c>
      <c r="AM137" s="56" t="str">
        <f t="shared" si="19"/>
        <v/>
      </c>
      <c r="AN137" s="56" t="str">
        <f t="shared" si="81"/>
        <v/>
      </c>
      <c r="AO137" s="56" t="str">
        <f t="shared" si="82"/>
        <v/>
      </c>
      <c r="AP137" s="56" t="str">
        <f t="shared" si="83"/>
        <v>PLC</v>
      </c>
      <c r="AQ137" s="56" t="str">
        <f t="shared" si="84"/>
        <v>EXIT</v>
      </c>
      <c r="AR137" s="39" t="s">
        <v>130</v>
      </c>
      <c r="AT137" s="44" t="str">
        <f t="shared" si="85"/>
        <v>BOOL</v>
      </c>
      <c r="AU137" s="23">
        <f t="shared" si="86"/>
        <v>0</v>
      </c>
      <c r="AV137" s="23" t="str">
        <f t="shared" si="87"/>
        <v>I</v>
      </c>
      <c r="AW137" s="23" t="str">
        <f t="shared" si="88"/>
        <v xml:space="preserve">I.: </v>
      </c>
      <c r="AX137" s="23" t="str">
        <f t="shared" si="89"/>
        <v>ENBT200:1:I.Data[82].0</v>
      </c>
      <c r="AY137" s="36" t="str">
        <f t="shared" si="90"/>
        <v xml:space="preserve">Controller: &lt;I0201N51.b01&gt; - </v>
      </c>
      <c r="BB137" s="42" t="s">
        <v>17</v>
      </c>
      <c r="BC137" t="s">
        <v>16</v>
      </c>
      <c r="BD137" t="str">
        <f t="shared" ref="BD137:BD159" si="99">Header_Config01</f>
        <v>AB_RACKx_SLOTa</v>
      </c>
      <c r="BV137" s="30" t="s">
        <v>575</v>
      </c>
      <c r="BW137" t="str">
        <f>"DO["&amp;VALUE(MID(CO137,2,3))&amp;"]"</f>
        <v>DO[1]</v>
      </c>
      <c r="BY137" s="42"/>
      <c r="CB137" s="42"/>
      <c r="CE137" s="30"/>
      <c r="CH137" s="42"/>
      <c r="CJ137" t="str">
        <f>Prep!$U$3&amp;":I.Data["&amp;Prep!$U$7&amp;"]."</f>
        <v>ENBT200:1:I.Data[82].</v>
      </c>
      <c r="CK137">
        <v>0</v>
      </c>
      <c r="CM137" t="s">
        <v>75</v>
      </c>
      <c r="CN137" s="30" t="str">
        <f>"I0"&amp;Header_Config03&amp;"N"&amp;TEXT(Prep!$U$6,"00")&amp;"."</f>
        <v>I0201N51.</v>
      </c>
      <c r="CO137" t="s">
        <v>248</v>
      </c>
      <c r="CP137" t="s">
        <v>12</v>
      </c>
      <c r="CQ137" s="40"/>
      <c r="CR137" s="30" t="s">
        <v>576</v>
      </c>
    </row>
    <row r="138" spans="2:96" x14ac:dyDescent="0.35">
      <c r="B138" s="4" t="str">
        <f t="shared" si="62"/>
        <v>FANUC_SxxRyy</v>
      </c>
      <c r="C138" s="4"/>
      <c r="D138" s="4" t="str">
        <f t="shared" si="63"/>
        <v>To_PLC_RobotFaulted</v>
      </c>
      <c r="E138" s="4" t="str">
        <f t="shared" si="64"/>
        <v>ENBT200:1:I.Data[82].1</v>
      </c>
      <c r="F138" s="4" t="str">
        <f t="shared" si="65"/>
        <v>I</v>
      </c>
      <c r="G138" s="4" t="str">
        <f t="shared" si="66"/>
        <v/>
      </c>
      <c r="H138" s="4" t="str">
        <f t="shared" si="67"/>
        <v>Controller: &lt;I0201N51.b02&gt; - ROBOT FAULTED DO2</v>
      </c>
      <c r="I138" s="4" t="str">
        <f t="shared" si="68"/>
        <v>AB_RACKx_SLOTa</v>
      </c>
      <c r="J138" s="4"/>
      <c r="K138" s="56" t="str">
        <f t="shared" si="69"/>
        <v>BOOL</v>
      </c>
      <c r="L138" s="56" t="str">
        <f t="shared" si="4"/>
        <v>ROBOTS\SxxRyy</v>
      </c>
      <c r="M138" s="56" t="str">
        <f t="shared" si="5"/>
        <v>STELLANTIS\Common\ToolPrototype\Robots</v>
      </c>
      <c r="N138" s="56" t="str">
        <f t="shared" si="6"/>
        <v>STELLANTIS_DN_FANUC_ROBOT_128_BIT_INTEGRATED_SAFETY_SxxRyy.v00</v>
      </c>
      <c r="O138" s="56" t="str">
        <f t="shared" si="70"/>
        <v/>
      </c>
      <c r="P138" s="56" t="str">
        <f t="shared" si="71"/>
        <v/>
      </c>
      <c r="Q138" s="56" t="str">
        <f t="shared" si="72"/>
        <v/>
      </c>
      <c r="R138" s="56" t="str">
        <f t="shared" si="73"/>
        <v/>
      </c>
      <c r="S138" s="56" t="str">
        <f t="shared" si="74"/>
        <v/>
      </c>
      <c r="T138" s="56" t="str">
        <f t="shared" si="75"/>
        <v/>
      </c>
      <c r="U138" s="56" t="str">
        <f t="shared" si="76"/>
        <v/>
      </c>
      <c r="V138" s="56" t="str">
        <f t="shared" si="77"/>
        <v/>
      </c>
      <c r="W138" s="56"/>
      <c r="X138" s="56"/>
      <c r="Y138" s="56"/>
      <c r="Z138" s="56" t="str">
        <f t="shared" si="78"/>
        <v/>
      </c>
      <c r="AA138" s="56" t="str">
        <f t="shared" si="79"/>
        <v/>
      </c>
      <c r="AB138" s="56" t="str">
        <f t="shared" si="9"/>
        <v>ToolPrototype</v>
      </c>
      <c r="AC138" s="56" t="str">
        <f t="shared" si="80"/>
        <v/>
      </c>
      <c r="AD138" s="56" t="str">
        <f t="shared" si="10"/>
        <v>&lt;device&gt;
&lt;name&gt;SxxRyy&lt;/name&gt;
&lt;type&gt;FCA_DN_FANUC&lt;/type&gt;
&lt;deviceNetwork&gt;201&lt;/deviceNetwork&gt;
&lt;deviceNode&gt;56&lt;/deviceNode&gt;
&lt;/device&gt;</v>
      </c>
      <c r="AE138" s="56" t="str">
        <f t="shared" si="11"/>
        <v/>
      </c>
      <c r="AF138" s="56" t="str">
        <f t="shared" si="12"/>
        <v/>
      </c>
      <c r="AG138" s="56" t="str">
        <f t="shared" si="13"/>
        <v/>
      </c>
      <c r="AH138" s="56" t="str">
        <f t="shared" si="14"/>
        <v/>
      </c>
      <c r="AI138" s="56" t="str">
        <f t="shared" si="15"/>
        <v/>
      </c>
      <c r="AJ138" s="56" t="str">
        <f t="shared" si="16"/>
        <v/>
      </c>
      <c r="AK138" s="56" t="str">
        <f t="shared" si="17"/>
        <v/>
      </c>
      <c r="AL138" s="56" t="str">
        <f t="shared" si="18"/>
        <v/>
      </c>
      <c r="AM138" s="56" t="str">
        <f t="shared" si="19"/>
        <v/>
      </c>
      <c r="AN138" s="56" t="str">
        <f t="shared" si="81"/>
        <v/>
      </c>
      <c r="AO138" s="56" t="str">
        <f t="shared" si="82"/>
        <v/>
      </c>
      <c r="AP138" s="56" t="str">
        <f t="shared" si="83"/>
        <v>PLC</v>
      </c>
      <c r="AQ138" s="56" t="str">
        <f t="shared" si="84"/>
        <v>EXIT</v>
      </c>
      <c r="AR138" s="39" t="s">
        <v>130</v>
      </c>
      <c r="AT138" s="44" t="str">
        <f t="shared" si="85"/>
        <v>BOOL</v>
      </c>
      <c r="AU138" s="23">
        <f t="shared" si="86"/>
        <v>0</v>
      </c>
      <c r="AV138" s="23" t="str">
        <f t="shared" si="87"/>
        <v>I</v>
      </c>
      <c r="AW138" s="23" t="str">
        <f t="shared" si="88"/>
        <v xml:space="preserve">I.: </v>
      </c>
      <c r="AX138" s="23" t="str">
        <f t="shared" si="89"/>
        <v>ENBT200:1:I.Data[82].1</v>
      </c>
      <c r="AY138" s="36" t="str">
        <f t="shared" si="90"/>
        <v xml:space="preserve">Controller: &lt;I0201N51.b02&gt; - </v>
      </c>
      <c r="BB138" s="42" t="s">
        <v>17</v>
      </c>
      <c r="BC138" t="s">
        <v>16</v>
      </c>
      <c r="BD138" t="str">
        <f t="shared" si="99"/>
        <v>AB_RACKx_SLOTa</v>
      </c>
      <c r="BV138" s="30" t="s">
        <v>577</v>
      </c>
      <c r="BW138" t="str">
        <f t="shared" ref="BW138:BW201" si="100">"DO["&amp;VALUE(MID(CO138,2,3))&amp;"]"</f>
        <v>DO[2]</v>
      </c>
      <c r="BY138" s="42"/>
      <c r="CB138" s="42"/>
      <c r="CE138" s="30"/>
      <c r="CH138" s="42"/>
      <c r="CJ138" t="str">
        <f>Prep!$U$3&amp;":I.Data["&amp;Prep!$U$7&amp;"]."</f>
        <v>ENBT200:1:I.Data[82].</v>
      </c>
      <c r="CK138">
        <v>1</v>
      </c>
      <c r="CM138" t="s">
        <v>75</v>
      </c>
      <c r="CN138" s="30" t="str">
        <f>"I0"&amp;Header_Config03&amp;"N"&amp;TEXT(Prep!$U$6,"00")&amp;"."</f>
        <v>I0201N51.</v>
      </c>
      <c r="CO138" t="s">
        <v>250</v>
      </c>
      <c r="CP138" t="s">
        <v>12</v>
      </c>
      <c r="CQ138" s="40"/>
      <c r="CR138" s="30" t="s">
        <v>578</v>
      </c>
    </row>
    <row r="139" spans="2:96" x14ac:dyDescent="0.35">
      <c r="B139" s="4" t="str">
        <f t="shared" ref="B139:B202" si="101">IF(LEN(BT139)=0,Header_LB_Name,"&lt;BLANK&gt;")</f>
        <v>FANUC_SxxRyy</v>
      </c>
      <c r="C139" s="4"/>
      <c r="D139" s="4" t="str">
        <f t="shared" ref="D139:D202" si="102">IF(BC139="CUSTOM",BV139,IF(BB139="ENTRY","From_",IF(BB139="EXIT","To_","&lt;invalid&gt;"))&amp;IF(OR(BC139="RBT",BC139="KEY",BC139="SNS"),IF(BE139="",BC139,BC139&amp;"_"&amp;BE139),IF(BC139="OPR",IF(BE139="",BC139&amp;"_"&amp;BD139,BC139&amp;"_"&amp;BE139),IF(BC139="LBS",IF(BE139="",BD139,BE139),BC139)))&amp;"_"&amp;IF(BC139="OPR",IF(BB139="ENTRY","end",IF(BB139="EXIT","start","&lt;invalid&gt;")),BV139))</f>
        <v>To_PLC_WaitForTPInput</v>
      </c>
      <c r="E139" s="4" t="str">
        <f t="shared" ref="E139:E202" si="103">IF(OR(BC139="PLC",BC139="PSF"),IF(Header_PLC_Type="CLX",AX139,IF(LEFT(Header_PLC_Type,2)="S7",AU139,"&lt;invalid PLC type&gt;")),IF(BB139="ENTRY",IF(BC139="LBS",IF(BD139&lt;&gt;"",IF(BF139="",BC139&amp;"_"&amp;BD139&amp;"_To_"&amp;B139&amp;"_"&amp;BV139,BC139&amp;"_"&amp;BD139&amp;"_To_"&amp;BF139&amp;"_"&amp;BV139),"&lt;missing other LB/group name&gt;"),IF(OR(BC139="SNS",BC139="KEY"),IF(BD139&lt;&gt;"",BC139&amp;"_"&amp;BD139&amp;"_"&amp;BV139,"&lt;missing unique identifier&gt;"),IF(OR(BC139="RBT",BC139="OPR"),IF(BD139&lt;&gt;"",BD139&amp;"_"&amp;IF(BC139="OPR","end",IF(BG139&lt;&gt;"",BG139,BV139)),"&lt;missing unique identifier&gt;"),IF(BC139="CUSTOM",BD139,"&lt;invalid connection&gt;")))),IF(BB139="EXIT",IF(BC139="LBS",IF(BD139&lt;&gt;"",BC139&amp;"_"&amp;B139&amp;"_To_"&amp;BD139&amp;"_"&amp;BV139,"&lt;missing other LB/group name&gt;"),IF(OR(BC139="RBT",BC139="OPR"),IF(BD139&lt;&gt;"",BD139&amp;"_"&amp;IF(BC139="OPR","start",IF(BG139&lt;&gt;"",BG139,BV139)),"&lt;missing unique identifier&gt;"),IF(BC139="CUSTOM",BD139,"&lt;invalid connection (sensor or key signal can't be exit)&gt;"))),"&lt;invalid entry/exit&gt;")))</f>
        <v>ENBT200:1:I.Data[82].2</v>
      </c>
      <c r="F139" s="4" t="str">
        <f t="shared" ref="F139:F202" si="104">IF(BC139="CUSTOM",BE139,IF(OR(AND(BB139="ENTRY",OR(BC139="PLC",BC139="PSF")),AND(BB139="EXIT",OR(BC139="RBT",BC139="OPR"))),"Q","I"))</f>
        <v>I</v>
      </c>
      <c r="G139" s="4" t="str">
        <f t="shared" ref="G139:G202" si="105">IF(Header_PLC_Type="S7-ADD",IF(OR(BC139="PSF",BC139="PLC"),IF(BY139&lt;&gt;"",IF(AT139="BOOL",BY139&amp;"."&amp;BZ139,BY139),"&lt;missing&gt;"),""),"")</f>
        <v/>
      </c>
      <c r="H139" s="4" t="str">
        <f t="shared" ref="H139:H202" si="106">IF(OR(BC139="PLC",BC139="PSF"),IF(Header_PLC_Type="CLX",AY139&amp;CR139,IF(LEFT(Header_PLC_Type,2)="S7",AW139&amp;CE139,"&lt;invalid PLC type&gt;")),IF(Header_PLC_Type="CLX",IF(CR139&lt;&gt;"",CR139,""),IF(LEFT(Header_PLC_Type,2)="S7",IF(CE139&lt;&gt;"",CE139,""),"&lt;invalid PLC type&gt;")))</f>
        <v>Controller: &lt;I0201N51.b03&gt; - WAITING FOR TP INPUT DO3</v>
      </c>
      <c r="I139" s="4" t="str">
        <f t="shared" ref="I139:I202" si="107">IF(OR(BC139="PLC",BC139="PSF"),BD139,IF(AND(BC139="CUSTOM",BF139&lt;&gt;""),BF139,""))</f>
        <v>AB_RACKx_SLOTa</v>
      </c>
      <c r="J139" s="4"/>
      <c r="K139" s="56" t="str">
        <f t="shared" ref="K139:K202" si="108">AT139</f>
        <v>BOOL</v>
      </c>
      <c r="L139" s="56" t="str">
        <f t="shared" si="4"/>
        <v>ROBOTS\SxxRyy</v>
      </c>
      <c r="M139" s="56" t="str">
        <f t="shared" si="5"/>
        <v>STELLANTIS\Common\ToolPrototype\Robots</v>
      </c>
      <c r="N139" s="56" t="str">
        <f t="shared" si="6"/>
        <v>STELLANTIS_DN_FANUC_ROBOT_128_BIT_INTEGRATED_SAFETY_SxxRyy.v00</v>
      </c>
      <c r="O139" s="56" t="str">
        <f t="shared" ref="O139:O202" si="109">IF(AND(OR(BC139="SNS",BC139="OPR",BC139="RBT"),BF139&lt;&gt;""),BF139,IF(OR(BC139="PSF",BC139="PLC"),IF(BB139="ENTRY",IF(OR(ISLOGICAL(BF139),ISNUMBER(BF139)),LOWER(TEXT(BF139,"General")),IF((ISTEXT(BF139)),"CEE_To_VC_"&amp;BE139&amp;"_"&amp;BF139,"")),IF((ISTEXT(BF139)),"CEE_From_VC_"&amp;BE139&amp;"_"&amp;BF139,"")),IF(BC139="CUSTOM",IF(BH139&lt;&gt;"",BH139,""),"")))</f>
        <v/>
      </c>
      <c r="P139" s="56" t="str">
        <f t="shared" ref="P139:P202" si="110">IF(OR(BC139="SNS",BC139="OPR"),IF(BG139&lt;&gt;"",BG139,""),IF(BC139="RBT",BD139,IF(BC139="CUSTOM",IF(BG139&lt;&gt;"",BG139,""),"")))</f>
        <v/>
      </c>
      <c r="Q139" s="56" t="str">
        <f t="shared" ref="Q139:Q202" si="111">IF(BC139="OPR",IF(BV139&lt;&gt;"",BV139,"NONSIM"),IF(BC139="RBT",IF(BH139&lt;&gt;"",BH139,""),IF(BC139="SNS",IF(BH139&lt;&gt;"",BH139,L139),IF(OR(BC139="PLC",BC139="PSF"),IF(BG139&lt;&gt;"",BG139,""),""))))</f>
        <v/>
      </c>
      <c r="R139" s="56" t="str">
        <f t="shared" ref="R139:R202" si="112">IF(OR(BC139="PLC",BC139="PSF",BC139="OPR"),IF(BH139&lt;&gt;"",BH139,""),IF(BC139="RBT",IF(BI139&lt;&gt;"",BI139,""),IF(BC139="SNS",IF(BI139&lt;&gt;"",BI139,"PHOTOELECTRIC"),"")))</f>
        <v/>
      </c>
      <c r="S139" s="56" t="str">
        <f t="shared" ref="S139:S202" si="113">IF(OR(BC139="PLC",BC139="PSF",BC139="OPR",AND(BC139="CUSTOM",OR(BU139="PLC",BU139="PSF"))),IF(BI139&lt;&gt;"",BI139,""),IF(BC139="SNS",IF(BJ139&lt;&gt;"",BJ139,""),""))</f>
        <v/>
      </c>
      <c r="T139" s="56" t="str">
        <f t="shared" ref="T139:T202" si="114">IF(AND(Header_PLC_Type="CLX",BC139="PSF",BB139="EXIT"),CJ139&amp;CK139,IF(BC139="OPR",IF(BJ139&lt;&gt;"",BJ139,""),""))</f>
        <v/>
      </c>
      <c r="U139" s="56" t="str">
        <f t="shared" ref="U139:U202" si="115">IF(OR(BC139="SNS",BC139="OPR"),IF(BK139&lt;&gt;"",BK139,""),"")</f>
        <v/>
      </c>
      <c r="V139" s="56" t="str">
        <f t="shared" ref="V139:V202" si="116">IF(OR(BC139="SNS",BC139="OPR"),IF(BL139&lt;&gt;"",BL139,""),"")</f>
        <v/>
      </c>
      <c r="W139" s="56"/>
      <c r="X139" s="56"/>
      <c r="Y139" s="56"/>
      <c r="Z139" s="56" t="str">
        <f t="shared" ref="Z139:Z202" si="117">IF(BP139="","",BP139)</f>
        <v/>
      </c>
      <c r="AA139" s="56" t="str">
        <f t="shared" ref="AA139:AA202" si="118">IF($BQ139="","",$BQ139)</f>
        <v/>
      </c>
      <c r="AB139" s="56" t="str">
        <f t="shared" si="9"/>
        <v>ToolPrototype</v>
      </c>
      <c r="AC139" s="56" t="str">
        <f t="shared" ref="AC139:AC202" si="119">IF(ISBLANK(BT139),"","Optional")</f>
        <v/>
      </c>
      <c r="AD139" s="56" t="str">
        <f t="shared" si="10"/>
        <v>&lt;device&gt;
&lt;name&gt;SxxRyy&lt;/name&gt;
&lt;type&gt;FCA_DN_FANUC&lt;/type&gt;
&lt;deviceNetwork&gt;201&lt;/deviceNetwork&gt;
&lt;deviceNode&gt;56&lt;/deviceNode&gt;
&lt;/device&gt;</v>
      </c>
      <c r="AE139" s="56" t="str">
        <f t="shared" si="11"/>
        <v/>
      </c>
      <c r="AF139" s="56" t="str">
        <f t="shared" si="12"/>
        <v/>
      </c>
      <c r="AG139" s="56" t="str">
        <f t="shared" si="13"/>
        <v/>
      </c>
      <c r="AH139" s="56" t="str">
        <f t="shared" si="14"/>
        <v/>
      </c>
      <c r="AI139" s="56" t="str">
        <f t="shared" si="15"/>
        <v/>
      </c>
      <c r="AJ139" s="56" t="str">
        <f t="shared" si="16"/>
        <v/>
      </c>
      <c r="AK139" s="56" t="str">
        <f t="shared" si="17"/>
        <v/>
      </c>
      <c r="AL139" s="56" t="str">
        <f t="shared" si="18"/>
        <v/>
      </c>
      <c r="AM139" s="56" t="str">
        <f t="shared" si="19"/>
        <v/>
      </c>
      <c r="AN139" s="56" t="str">
        <f t="shared" ref="AN139:AN202" si="120">IF(BR139&lt;&gt;"",BR139,"")</f>
        <v/>
      </c>
      <c r="AO139" s="56" t="str">
        <f t="shared" ref="AO139:AO202" si="121">IF(BS139&lt;&gt;"",BS139,"")</f>
        <v/>
      </c>
      <c r="AP139" s="56" t="str">
        <f t="shared" ref="AP139:AP202" si="122">IF(BC139&lt;&gt;"CUSTOM",BC139,BU139)</f>
        <v>PLC</v>
      </c>
      <c r="AQ139" s="56" t="str">
        <f t="shared" ref="AQ139:AQ202" si="123">BB139</f>
        <v>EXIT</v>
      </c>
      <c r="AR139" s="39" t="s">
        <v>130</v>
      </c>
      <c r="AT139" s="44" t="str">
        <f t="shared" ref="AT139:AT202" si="124">IF(Header_PLC_Type="CLX",IF(CP139&lt;&gt;"",CP139,"&lt;noType&gt;"),IF(LEFT(Header_PLC_Type,2)="S7",IF(CD139&lt;&gt;"",CD139,"&lt;noType&gt;"),"&lt;noPLC&gt;"))</f>
        <v>BOOL</v>
      </c>
      <c r="AU139" s="23">
        <f t="shared" ref="AU139:AU202" si="125">IF(OR(BC139="PLC",BC139="PSF"),CA139,"")</f>
        <v>0</v>
      </c>
      <c r="AV139" s="23" t="str">
        <f t="shared" ref="AV139:AV202" si="126">IF(OR(BC139="PLC",BC139="PSF"),IF(AT139="BOOL",F139,IF(AT139="BYTE",F139&amp;"B",IF(OR(AT139="WORD",AT139="INT"),F139&amp;"W",IF(OR(AT139="DWORD",AT139="DINT",AT139="REAL"),F139&amp;"D","&lt;invalid&gt;")))),"")</f>
        <v>I</v>
      </c>
      <c r="AW139" s="23" t="str">
        <f t="shared" ref="AW139:AW202" si="127">IF(OR(BC139="PLC",BC139="PSF"),""&amp;AV139&amp;IF(AT139="BOOL",BY139&amp;"."&amp;BZ139,BY139)&amp; IF(CA139&lt;&gt;"",": &lt;"&amp;CA139&amp;"&gt; - ",": "),"")</f>
        <v xml:space="preserve">I.: </v>
      </c>
      <c r="AX139" s="23" t="str">
        <f t="shared" ref="AX139:AX202" si="128">IF(OR(BC139="PLC",BC139="PSF"),IF(AND(BB139="EXIT",BC139="PSF"),CH139&amp;SUBSTITUTE(CJ139,":","_")&amp;CK139,CJ139&amp;CK139),"")</f>
        <v>ENBT200:1:I.Data[82].2</v>
      </c>
      <c r="AY139" s="36" t="str">
        <f t="shared" ref="AY139:AY202" si="129">IF(OR(BC139="PLC",BC139="PSF"),IF(CM139&lt;&gt;"",CM139 &amp; ": &lt;" &amp; CN139&amp;CO139 &amp; "&gt; - ","Controller: &lt;"&amp;CJ139&amp;CK139&amp;"&gt; - "),"")</f>
        <v xml:space="preserve">Controller: &lt;I0201N51.b03&gt; - </v>
      </c>
      <c r="BB139" s="42" t="s">
        <v>17</v>
      </c>
      <c r="BC139" t="s">
        <v>16</v>
      </c>
      <c r="BD139" t="str">
        <f t="shared" si="99"/>
        <v>AB_RACKx_SLOTa</v>
      </c>
      <c r="BV139" s="30" t="s">
        <v>579</v>
      </c>
      <c r="BW139" t="str">
        <f t="shared" si="100"/>
        <v>DO[3]</v>
      </c>
      <c r="BY139" s="42"/>
      <c r="CB139" s="42"/>
      <c r="CE139" s="30"/>
      <c r="CH139" s="42"/>
      <c r="CJ139" t="str">
        <f>Prep!$U$3&amp;":I.Data["&amp;Prep!$U$7&amp;"]."</f>
        <v>ENBT200:1:I.Data[82].</v>
      </c>
      <c r="CK139">
        <v>2</v>
      </c>
      <c r="CM139" t="s">
        <v>75</v>
      </c>
      <c r="CN139" s="30" t="str">
        <f>"I0"&amp;Header_Config03&amp;"N"&amp;TEXT(Prep!$U$6,"00")&amp;"."</f>
        <v>I0201N51.</v>
      </c>
      <c r="CO139" t="s">
        <v>257</v>
      </c>
      <c r="CP139" t="s">
        <v>12</v>
      </c>
      <c r="CQ139" s="40"/>
      <c r="CR139" s="30" t="s">
        <v>580</v>
      </c>
    </row>
    <row r="140" spans="2:96" x14ac:dyDescent="0.35">
      <c r="B140" s="4" t="str">
        <f t="shared" si="101"/>
        <v>FANUC_SxxRyy</v>
      </c>
      <c r="C140" s="4"/>
      <c r="D140" s="4" t="str">
        <f t="shared" si="102"/>
        <v>To_PLC_InCycle</v>
      </c>
      <c r="E140" s="4" t="str">
        <f t="shared" si="103"/>
        <v>ENBT200:1:I.Data[82].3</v>
      </c>
      <c r="F140" s="4" t="str">
        <f t="shared" si="104"/>
        <v>I</v>
      </c>
      <c r="G140" s="4" t="str">
        <f t="shared" si="105"/>
        <v/>
      </c>
      <c r="H140" s="4" t="str">
        <f t="shared" si="106"/>
        <v>Controller: &lt;I0201N51.b04&gt; - IN CYCLE DO4</v>
      </c>
      <c r="I140" s="4" t="str">
        <f t="shared" si="107"/>
        <v>AB_RACKx_SLOTa</v>
      </c>
      <c r="J140" s="4"/>
      <c r="K140" s="56" t="str">
        <f t="shared" si="108"/>
        <v>BOOL</v>
      </c>
      <c r="L140" s="56" t="str">
        <f t="shared" si="4"/>
        <v>ROBOTS\SxxRyy</v>
      </c>
      <c r="M140" s="56" t="str">
        <f t="shared" si="5"/>
        <v>STELLANTIS\Common\ToolPrototype\Robots</v>
      </c>
      <c r="N140" s="56" t="str">
        <f t="shared" si="6"/>
        <v>STELLANTIS_DN_FANUC_ROBOT_128_BIT_INTEGRATED_SAFETY_SxxRyy.v00</v>
      </c>
      <c r="O140" s="56" t="str">
        <f t="shared" si="109"/>
        <v/>
      </c>
      <c r="P140" s="56" t="str">
        <f t="shared" si="110"/>
        <v/>
      </c>
      <c r="Q140" s="56" t="str">
        <f t="shared" si="111"/>
        <v/>
      </c>
      <c r="R140" s="56" t="str">
        <f t="shared" si="112"/>
        <v/>
      </c>
      <c r="S140" s="56" t="str">
        <f t="shared" si="113"/>
        <v/>
      </c>
      <c r="T140" s="56" t="str">
        <f t="shared" si="114"/>
        <v/>
      </c>
      <c r="U140" s="56" t="str">
        <f t="shared" si="115"/>
        <v/>
      </c>
      <c r="V140" s="56" t="str">
        <f t="shared" si="116"/>
        <v/>
      </c>
      <c r="W140" s="56"/>
      <c r="X140" s="56"/>
      <c r="Y140" s="56"/>
      <c r="Z140" s="56" t="str">
        <f t="shared" si="117"/>
        <v/>
      </c>
      <c r="AA140" s="56" t="str">
        <f t="shared" si="118"/>
        <v/>
      </c>
      <c r="AB140" s="56" t="str">
        <f t="shared" si="9"/>
        <v>ToolPrototype</v>
      </c>
      <c r="AC140" s="56" t="str">
        <f t="shared" si="119"/>
        <v/>
      </c>
      <c r="AD140" s="56" t="str">
        <f t="shared" si="10"/>
        <v>&lt;device&gt;
&lt;name&gt;SxxRyy&lt;/name&gt;
&lt;type&gt;FCA_DN_FANUC&lt;/type&gt;
&lt;deviceNetwork&gt;201&lt;/deviceNetwork&gt;
&lt;deviceNode&gt;56&lt;/deviceNode&gt;
&lt;/device&gt;</v>
      </c>
      <c r="AE140" s="56" t="str">
        <f t="shared" si="11"/>
        <v/>
      </c>
      <c r="AF140" s="56" t="str">
        <f t="shared" si="12"/>
        <v/>
      </c>
      <c r="AG140" s="56" t="str">
        <f t="shared" si="13"/>
        <v/>
      </c>
      <c r="AH140" s="56" t="str">
        <f t="shared" si="14"/>
        <v/>
      </c>
      <c r="AI140" s="56" t="str">
        <f t="shared" si="15"/>
        <v/>
      </c>
      <c r="AJ140" s="56" t="str">
        <f t="shared" si="16"/>
        <v/>
      </c>
      <c r="AK140" s="56" t="str">
        <f t="shared" si="17"/>
        <v/>
      </c>
      <c r="AL140" s="56" t="str">
        <f t="shared" si="18"/>
        <v/>
      </c>
      <c r="AM140" s="56" t="str">
        <f t="shared" si="19"/>
        <v/>
      </c>
      <c r="AN140" s="56" t="str">
        <f t="shared" si="120"/>
        <v/>
      </c>
      <c r="AO140" s="56" t="str">
        <f t="shared" si="121"/>
        <v/>
      </c>
      <c r="AP140" s="56" t="str">
        <f t="shared" si="122"/>
        <v>PLC</v>
      </c>
      <c r="AQ140" s="56" t="str">
        <f t="shared" si="123"/>
        <v>EXIT</v>
      </c>
      <c r="AR140" s="39" t="s">
        <v>130</v>
      </c>
      <c r="AT140" s="44" t="str">
        <f t="shared" si="124"/>
        <v>BOOL</v>
      </c>
      <c r="AU140" s="23">
        <f t="shared" si="125"/>
        <v>0</v>
      </c>
      <c r="AV140" s="23" t="str">
        <f t="shared" si="126"/>
        <v>I</v>
      </c>
      <c r="AW140" s="23" t="str">
        <f t="shared" si="127"/>
        <v xml:space="preserve">I.: </v>
      </c>
      <c r="AX140" s="23" t="str">
        <f t="shared" si="128"/>
        <v>ENBT200:1:I.Data[82].3</v>
      </c>
      <c r="AY140" s="36" t="str">
        <f t="shared" si="129"/>
        <v xml:space="preserve">Controller: &lt;I0201N51.b04&gt; - </v>
      </c>
      <c r="BB140" s="42" t="s">
        <v>17</v>
      </c>
      <c r="BC140" t="s">
        <v>16</v>
      </c>
      <c r="BD140" t="str">
        <f t="shared" si="99"/>
        <v>AB_RACKx_SLOTa</v>
      </c>
      <c r="BV140" s="30" t="s">
        <v>581</v>
      </c>
      <c r="BW140" t="str">
        <f t="shared" si="100"/>
        <v>DO[4]</v>
      </c>
      <c r="BY140" s="42"/>
      <c r="CB140" s="42"/>
      <c r="CE140" s="30"/>
      <c r="CH140" s="42"/>
      <c r="CJ140" t="str">
        <f>Prep!$U$3&amp;":I.Data["&amp;Prep!$U$7&amp;"]."</f>
        <v>ENBT200:1:I.Data[82].</v>
      </c>
      <c r="CK140">
        <v>3</v>
      </c>
      <c r="CM140" t="s">
        <v>75</v>
      </c>
      <c r="CN140" s="30" t="str">
        <f>"I0"&amp;Header_Config03&amp;"N"&amp;TEXT(Prep!$U$6,"00")&amp;"."</f>
        <v>I0201N51.</v>
      </c>
      <c r="CO140" t="s">
        <v>258</v>
      </c>
      <c r="CP140" t="s">
        <v>12</v>
      </c>
      <c r="CQ140" s="40"/>
      <c r="CR140" s="30" t="s">
        <v>582</v>
      </c>
    </row>
    <row r="141" spans="2:96" x14ac:dyDescent="0.35">
      <c r="B141" s="4" t="str">
        <f t="shared" si="101"/>
        <v>FANUC_SxxRyy</v>
      </c>
      <c r="C141" s="4"/>
      <c r="D141" s="4" t="str">
        <f t="shared" si="102"/>
        <v>To_PLC_CollisionDetd</v>
      </c>
      <c r="E141" s="4" t="str">
        <f t="shared" si="103"/>
        <v>ENBT200:1:I.Data[82].4</v>
      </c>
      <c r="F141" s="4" t="str">
        <f t="shared" si="104"/>
        <v>I</v>
      </c>
      <c r="G141" s="4" t="str">
        <f t="shared" si="105"/>
        <v/>
      </c>
      <c r="H141" s="4" t="str">
        <f t="shared" si="106"/>
        <v>Controller: &lt;I0201N51.b05&gt; - COLLISION DETECTED DO5</v>
      </c>
      <c r="I141" s="4" t="str">
        <f t="shared" si="107"/>
        <v>AB_RACKx_SLOTa</v>
      </c>
      <c r="J141" s="4"/>
      <c r="K141" s="56" t="str">
        <f t="shared" si="108"/>
        <v>BOOL</v>
      </c>
      <c r="L141" s="56" t="str">
        <f t="shared" si="4"/>
        <v>ROBOTS\SxxRyy</v>
      </c>
      <c r="M141" s="56" t="str">
        <f t="shared" si="5"/>
        <v>STELLANTIS\Common\ToolPrototype\Robots</v>
      </c>
      <c r="N141" s="56" t="str">
        <f t="shared" si="6"/>
        <v>STELLANTIS_DN_FANUC_ROBOT_128_BIT_INTEGRATED_SAFETY_SxxRyy.v00</v>
      </c>
      <c r="O141" s="56" t="str">
        <f t="shared" si="109"/>
        <v/>
      </c>
      <c r="P141" s="56" t="str">
        <f t="shared" si="110"/>
        <v/>
      </c>
      <c r="Q141" s="56" t="str">
        <f t="shared" si="111"/>
        <v/>
      </c>
      <c r="R141" s="56" t="str">
        <f t="shared" si="112"/>
        <v/>
      </c>
      <c r="S141" s="56" t="str">
        <f t="shared" si="113"/>
        <v/>
      </c>
      <c r="T141" s="56" t="str">
        <f t="shared" si="114"/>
        <v/>
      </c>
      <c r="U141" s="56" t="str">
        <f t="shared" si="115"/>
        <v/>
      </c>
      <c r="V141" s="56" t="str">
        <f t="shared" si="116"/>
        <v/>
      </c>
      <c r="W141" s="56"/>
      <c r="X141" s="56"/>
      <c r="Y141" s="56"/>
      <c r="Z141" s="56" t="str">
        <f t="shared" si="117"/>
        <v/>
      </c>
      <c r="AA141" s="56" t="str">
        <f t="shared" si="118"/>
        <v/>
      </c>
      <c r="AB141" s="56" t="str">
        <f t="shared" si="9"/>
        <v>ToolPrototype</v>
      </c>
      <c r="AC141" s="56" t="str">
        <f t="shared" si="119"/>
        <v/>
      </c>
      <c r="AD141" s="56" t="str">
        <f t="shared" si="10"/>
        <v>&lt;device&gt;
&lt;name&gt;SxxRyy&lt;/name&gt;
&lt;type&gt;FCA_DN_FANUC&lt;/type&gt;
&lt;deviceNetwork&gt;201&lt;/deviceNetwork&gt;
&lt;deviceNode&gt;56&lt;/deviceNode&gt;
&lt;/device&gt;</v>
      </c>
      <c r="AE141" s="56" t="str">
        <f t="shared" si="11"/>
        <v/>
      </c>
      <c r="AF141" s="56" t="str">
        <f t="shared" si="12"/>
        <v/>
      </c>
      <c r="AG141" s="56" t="str">
        <f t="shared" si="13"/>
        <v/>
      </c>
      <c r="AH141" s="56" t="str">
        <f t="shared" si="14"/>
        <v/>
      </c>
      <c r="AI141" s="56" t="str">
        <f t="shared" si="15"/>
        <v/>
      </c>
      <c r="AJ141" s="56" t="str">
        <f t="shared" si="16"/>
        <v/>
      </c>
      <c r="AK141" s="56" t="str">
        <f t="shared" si="17"/>
        <v/>
      </c>
      <c r="AL141" s="56" t="str">
        <f t="shared" si="18"/>
        <v/>
      </c>
      <c r="AM141" s="56" t="str">
        <f t="shared" si="19"/>
        <v/>
      </c>
      <c r="AN141" s="56" t="str">
        <f t="shared" si="120"/>
        <v/>
      </c>
      <c r="AO141" s="56" t="str">
        <f t="shared" si="121"/>
        <v/>
      </c>
      <c r="AP141" s="56" t="str">
        <f t="shared" si="122"/>
        <v>PLC</v>
      </c>
      <c r="AQ141" s="56" t="str">
        <f t="shared" si="123"/>
        <v>EXIT</v>
      </c>
      <c r="AR141" s="39" t="s">
        <v>130</v>
      </c>
      <c r="AT141" s="44" t="str">
        <f t="shared" si="124"/>
        <v>BOOL</v>
      </c>
      <c r="AU141" s="23">
        <f t="shared" si="125"/>
        <v>0</v>
      </c>
      <c r="AV141" s="23" t="str">
        <f t="shared" si="126"/>
        <v>I</v>
      </c>
      <c r="AW141" s="23" t="str">
        <f t="shared" si="127"/>
        <v xml:space="preserve">I.: </v>
      </c>
      <c r="AX141" s="23" t="str">
        <f t="shared" si="128"/>
        <v>ENBT200:1:I.Data[82].4</v>
      </c>
      <c r="AY141" s="36" t="str">
        <f t="shared" si="129"/>
        <v xml:space="preserve">Controller: &lt;I0201N51.b05&gt; - </v>
      </c>
      <c r="BB141" s="42" t="s">
        <v>17</v>
      </c>
      <c r="BC141" t="s">
        <v>16</v>
      </c>
      <c r="BD141" t="str">
        <f t="shared" si="99"/>
        <v>AB_RACKx_SLOTa</v>
      </c>
      <c r="BV141" s="30" t="s">
        <v>583</v>
      </c>
      <c r="BW141" t="str">
        <f t="shared" si="100"/>
        <v>DO[5]</v>
      </c>
      <c r="BY141" s="42"/>
      <c r="CB141" s="42"/>
      <c r="CE141" s="30"/>
      <c r="CH141" s="42"/>
      <c r="CJ141" t="str">
        <f>Prep!$U$3&amp;":I.Data["&amp;Prep!$U$7&amp;"]."</f>
        <v>ENBT200:1:I.Data[82].</v>
      </c>
      <c r="CK141">
        <v>4</v>
      </c>
      <c r="CM141" t="s">
        <v>75</v>
      </c>
      <c r="CN141" s="30" t="str">
        <f>"I0"&amp;Header_Config03&amp;"N"&amp;TEXT(Prep!$U$6,"00")&amp;"."</f>
        <v>I0201N51.</v>
      </c>
      <c r="CO141" t="s">
        <v>259</v>
      </c>
      <c r="CP141" t="s">
        <v>12</v>
      </c>
      <c r="CQ141" s="40"/>
      <c r="CR141" s="30" t="s">
        <v>584</v>
      </c>
    </row>
    <row r="142" spans="2:96" x14ac:dyDescent="0.35">
      <c r="B142" s="4" t="str">
        <f t="shared" si="101"/>
        <v>FANUC_SxxRyy</v>
      </c>
      <c r="C142" s="4"/>
      <c r="D142" s="4" t="str">
        <f t="shared" si="102"/>
        <v>To_PLC_IOSimulated</v>
      </c>
      <c r="E142" s="4" t="str">
        <f t="shared" si="103"/>
        <v>ENBT200:1:I.Data[82].5</v>
      </c>
      <c r="F142" s="4" t="str">
        <f t="shared" si="104"/>
        <v>I</v>
      </c>
      <c r="G142" s="4" t="str">
        <f t="shared" si="105"/>
        <v/>
      </c>
      <c r="H142" s="4" t="str">
        <f t="shared" si="106"/>
        <v>Controller: &lt;I0201N51.b06&gt; - I/O SIMULATED DO6</v>
      </c>
      <c r="I142" s="4" t="str">
        <f t="shared" si="107"/>
        <v>AB_RACKx_SLOTa</v>
      </c>
      <c r="J142" s="4"/>
      <c r="K142" s="56" t="str">
        <f t="shared" si="108"/>
        <v>BOOL</v>
      </c>
      <c r="L142" s="56" t="str">
        <f t="shared" si="4"/>
        <v>ROBOTS\SxxRyy</v>
      </c>
      <c r="M142" s="56" t="str">
        <f t="shared" si="5"/>
        <v>STELLANTIS\Common\ToolPrototype\Robots</v>
      </c>
      <c r="N142" s="56" t="str">
        <f t="shared" si="6"/>
        <v>STELLANTIS_DN_FANUC_ROBOT_128_BIT_INTEGRATED_SAFETY_SxxRyy.v00</v>
      </c>
      <c r="O142" s="56" t="str">
        <f t="shared" si="109"/>
        <v/>
      </c>
      <c r="P142" s="56" t="str">
        <f t="shared" si="110"/>
        <v/>
      </c>
      <c r="Q142" s="56" t="str">
        <f t="shared" si="111"/>
        <v/>
      </c>
      <c r="R142" s="56" t="str">
        <f t="shared" si="112"/>
        <v/>
      </c>
      <c r="S142" s="56" t="str">
        <f t="shared" si="113"/>
        <v/>
      </c>
      <c r="T142" s="56" t="str">
        <f t="shared" si="114"/>
        <v/>
      </c>
      <c r="U142" s="56" t="str">
        <f t="shared" si="115"/>
        <v/>
      </c>
      <c r="V142" s="56" t="str">
        <f t="shared" si="116"/>
        <v/>
      </c>
      <c r="W142" s="56"/>
      <c r="X142" s="56"/>
      <c r="Y142" s="56"/>
      <c r="Z142" s="56" t="str">
        <f t="shared" si="117"/>
        <v/>
      </c>
      <c r="AA142" s="56" t="str">
        <f t="shared" si="118"/>
        <v/>
      </c>
      <c r="AB142" s="56" t="str">
        <f t="shared" si="9"/>
        <v>ToolPrototype</v>
      </c>
      <c r="AC142" s="56" t="str">
        <f t="shared" si="119"/>
        <v/>
      </c>
      <c r="AD142" s="56" t="str">
        <f t="shared" si="10"/>
        <v>&lt;device&gt;
&lt;name&gt;SxxRyy&lt;/name&gt;
&lt;type&gt;FCA_DN_FANUC&lt;/type&gt;
&lt;deviceNetwork&gt;201&lt;/deviceNetwork&gt;
&lt;deviceNode&gt;56&lt;/deviceNode&gt;
&lt;/device&gt;</v>
      </c>
      <c r="AE142" s="56" t="str">
        <f t="shared" si="11"/>
        <v/>
      </c>
      <c r="AF142" s="56" t="str">
        <f t="shared" si="12"/>
        <v/>
      </c>
      <c r="AG142" s="56" t="str">
        <f t="shared" si="13"/>
        <v/>
      </c>
      <c r="AH142" s="56" t="str">
        <f t="shared" si="14"/>
        <v/>
      </c>
      <c r="AI142" s="56" t="str">
        <f t="shared" si="15"/>
        <v/>
      </c>
      <c r="AJ142" s="56" t="str">
        <f t="shared" si="16"/>
        <v/>
      </c>
      <c r="AK142" s="56" t="str">
        <f t="shared" si="17"/>
        <v/>
      </c>
      <c r="AL142" s="56" t="str">
        <f t="shared" si="18"/>
        <v/>
      </c>
      <c r="AM142" s="56" t="str">
        <f t="shared" si="19"/>
        <v/>
      </c>
      <c r="AN142" s="56" t="str">
        <f t="shared" si="120"/>
        <v/>
      </c>
      <c r="AO142" s="56" t="str">
        <f t="shared" si="121"/>
        <v/>
      </c>
      <c r="AP142" s="56" t="str">
        <f t="shared" si="122"/>
        <v>PLC</v>
      </c>
      <c r="AQ142" s="56" t="str">
        <f t="shared" si="123"/>
        <v>EXIT</v>
      </c>
      <c r="AR142" s="39" t="s">
        <v>130</v>
      </c>
      <c r="AT142" s="44" t="str">
        <f t="shared" si="124"/>
        <v>BOOL</v>
      </c>
      <c r="AU142" s="23">
        <f t="shared" si="125"/>
        <v>0</v>
      </c>
      <c r="AV142" s="23" t="str">
        <f t="shared" si="126"/>
        <v>I</v>
      </c>
      <c r="AW142" s="23" t="str">
        <f t="shared" si="127"/>
        <v xml:space="preserve">I.: </v>
      </c>
      <c r="AX142" s="23" t="str">
        <f t="shared" si="128"/>
        <v>ENBT200:1:I.Data[82].5</v>
      </c>
      <c r="AY142" s="36" t="str">
        <f t="shared" si="129"/>
        <v xml:space="preserve">Controller: &lt;I0201N51.b06&gt; - </v>
      </c>
      <c r="BB142" s="42" t="s">
        <v>17</v>
      </c>
      <c r="BC142" t="s">
        <v>16</v>
      </c>
      <c r="BD142" t="str">
        <f t="shared" si="99"/>
        <v>AB_RACKx_SLOTa</v>
      </c>
      <c r="BV142" s="30" t="s">
        <v>585</v>
      </c>
      <c r="BW142" t="str">
        <f t="shared" si="100"/>
        <v>DO[6]</v>
      </c>
      <c r="BY142" s="42"/>
      <c r="CB142" s="42"/>
      <c r="CE142" s="30"/>
      <c r="CH142" s="42"/>
      <c r="CJ142" t="str">
        <f>Prep!$U$3&amp;":I.Data["&amp;Prep!$U$7&amp;"]."</f>
        <v>ENBT200:1:I.Data[82].</v>
      </c>
      <c r="CK142">
        <v>5</v>
      </c>
      <c r="CM142" t="s">
        <v>75</v>
      </c>
      <c r="CN142" s="30" t="str">
        <f>"I0"&amp;Header_Config03&amp;"N"&amp;TEXT(Prep!$U$6,"00")&amp;"."</f>
        <v>I0201N51.</v>
      </c>
      <c r="CO142" t="s">
        <v>251</v>
      </c>
      <c r="CP142" t="s">
        <v>12</v>
      </c>
      <c r="CQ142" s="40"/>
      <c r="CR142" s="30" t="s">
        <v>586</v>
      </c>
    </row>
    <row r="143" spans="2:96" x14ac:dyDescent="0.35">
      <c r="B143" s="4" t="str">
        <f t="shared" si="101"/>
        <v>&lt;BLANK&gt;</v>
      </c>
      <c r="C143" s="4"/>
      <c r="D143" s="4" t="str">
        <f t="shared" si="102"/>
        <v>To_PLC_WeldModeEnabled</v>
      </c>
      <c r="E143" s="4" t="str">
        <f t="shared" si="103"/>
        <v>ENBT200:1:I.Data[82].6</v>
      </c>
      <c r="F143" s="4" t="str">
        <f t="shared" si="104"/>
        <v>I</v>
      </c>
      <c r="G143" s="4" t="str">
        <f t="shared" si="105"/>
        <v/>
      </c>
      <c r="H143" s="4" t="str">
        <f t="shared" si="106"/>
        <v>Controller: &lt;I0201N51.b07&gt; - WELD MODE ENABLED DO7</v>
      </c>
      <c r="I143" s="4" t="str">
        <f t="shared" si="107"/>
        <v>AB_RACKx_SLOTa</v>
      </c>
      <c r="J143" s="4"/>
      <c r="K143" s="56" t="str">
        <f t="shared" si="108"/>
        <v>BOOL</v>
      </c>
      <c r="L143" s="56" t="str">
        <f t="shared" si="4"/>
        <v>ROBOTS\SxxRyy</v>
      </c>
      <c r="M143" s="56" t="str">
        <f t="shared" si="5"/>
        <v>STELLANTIS\Common\ToolPrototype\Robots</v>
      </c>
      <c r="N143" s="56" t="str">
        <f t="shared" si="6"/>
        <v>STELLANTIS_DN_FANUC_ROBOT_128_BIT_INTEGRATED_SAFETY_SxxRyy.v00</v>
      </c>
      <c r="O143" s="56" t="str">
        <f t="shared" si="109"/>
        <v/>
      </c>
      <c r="P143" s="56" t="str">
        <f t="shared" si="110"/>
        <v/>
      </c>
      <c r="Q143" s="56" t="str">
        <f t="shared" si="111"/>
        <v/>
      </c>
      <c r="R143" s="56" t="str">
        <f t="shared" si="112"/>
        <v/>
      </c>
      <c r="S143" s="56" t="str">
        <f t="shared" si="113"/>
        <v/>
      </c>
      <c r="T143" s="56" t="str">
        <f t="shared" si="114"/>
        <v/>
      </c>
      <c r="U143" s="56" t="str">
        <f t="shared" si="115"/>
        <v/>
      </c>
      <c r="V143" s="56" t="str">
        <f t="shared" si="116"/>
        <v/>
      </c>
      <c r="W143" s="56"/>
      <c r="X143" s="56"/>
      <c r="Y143" s="56"/>
      <c r="Z143" s="56" t="str">
        <f t="shared" si="117"/>
        <v/>
      </c>
      <c r="AA143" s="56" t="str">
        <f t="shared" si="118"/>
        <v/>
      </c>
      <c r="AB143" s="56" t="str">
        <f t="shared" si="9"/>
        <v>ToolPrototype</v>
      </c>
      <c r="AC143" s="56" t="str">
        <f t="shared" si="119"/>
        <v>Optional</v>
      </c>
      <c r="AD143" s="56" t="str">
        <f t="shared" si="10"/>
        <v>&lt;device&gt;
&lt;name&gt;SxxRyy&lt;/name&gt;
&lt;type&gt;FCA_DN_FANUC&lt;/type&gt;
&lt;deviceNetwork&gt;201&lt;/deviceNetwork&gt;
&lt;deviceNode&gt;56&lt;/deviceNode&gt;
&lt;/device&gt;</v>
      </c>
      <c r="AE143" s="56" t="str">
        <f t="shared" si="11"/>
        <v/>
      </c>
      <c r="AF143" s="56" t="str">
        <f t="shared" si="12"/>
        <v/>
      </c>
      <c r="AG143" s="56" t="str">
        <f t="shared" si="13"/>
        <v/>
      </c>
      <c r="AH143" s="56" t="str">
        <f t="shared" si="14"/>
        <v/>
      </c>
      <c r="AI143" s="56" t="str">
        <f t="shared" si="15"/>
        <v/>
      </c>
      <c r="AJ143" s="56" t="str">
        <f t="shared" si="16"/>
        <v/>
      </c>
      <c r="AK143" s="56" t="str">
        <f t="shared" si="17"/>
        <v/>
      </c>
      <c r="AL143" s="56" t="str">
        <f t="shared" si="18"/>
        <v/>
      </c>
      <c r="AM143" s="56" t="str">
        <f t="shared" si="19"/>
        <v/>
      </c>
      <c r="AN143" s="56" t="str">
        <f t="shared" si="120"/>
        <v/>
      </c>
      <c r="AO143" s="56" t="str">
        <f t="shared" si="121"/>
        <v/>
      </c>
      <c r="AP143" s="56" t="str">
        <f t="shared" si="122"/>
        <v>PLC</v>
      </c>
      <c r="AQ143" s="56" t="str">
        <f t="shared" si="123"/>
        <v>EXIT</v>
      </c>
      <c r="AR143" s="39" t="s">
        <v>130</v>
      </c>
      <c r="AT143" s="44" t="str">
        <f t="shared" si="124"/>
        <v>BOOL</v>
      </c>
      <c r="AU143" s="23">
        <f t="shared" si="125"/>
        <v>0</v>
      </c>
      <c r="AV143" s="23" t="str">
        <f t="shared" si="126"/>
        <v>I</v>
      </c>
      <c r="AW143" s="23" t="str">
        <f t="shared" si="127"/>
        <v xml:space="preserve">I.: </v>
      </c>
      <c r="AX143" s="23" t="str">
        <f t="shared" si="128"/>
        <v>ENBT200:1:I.Data[82].6</v>
      </c>
      <c r="AY143" s="36" t="str">
        <f t="shared" si="129"/>
        <v xml:space="preserve">Controller: &lt;I0201N51.b07&gt; - </v>
      </c>
      <c r="BB143" s="42" t="s">
        <v>17</v>
      </c>
      <c r="BC143" t="s">
        <v>16</v>
      </c>
      <c r="BD143" t="str">
        <f t="shared" si="99"/>
        <v>AB_RACKx_SLOTa</v>
      </c>
      <c r="BT143" t="str">
        <f>Prep!$G$4</f>
        <v>X</v>
      </c>
      <c r="BV143" s="30" t="s">
        <v>587</v>
      </c>
      <c r="BW143" t="str">
        <f t="shared" si="100"/>
        <v>DO[7]</v>
      </c>
      <c r="BY143" s="42"/>
      <c r="CB143" s="42"/>
      <c r="CE143" s="30"/>
      <c r="CH143" s="42"/>
      <c r="CJ143" t="str">
        <f>Prep!$U$3&amp;":I.Data["&amp;Prep!$U$7&amp;"]."</f>
        <v>ENBT200:1:I.Data[82].</v>
      </c>
      <c r="CK143">
        <v>6</v>
      </c>
      <c r="CM143" t="s">
        <v>75</v>
      </c>
      <c r="CN143" s="30" t="str">
        <f>"I0"&amp;Header_Config03&amp;"N"&amp;TEXT(Prep!$U$6,"00")&amp;"."</f>
        <v>I0201N51.</v>
      </c>
      <c r="CO143" t="s">
        <v>252</v>
      </c>
      <c r="CP143" t="s">
        <v>12</v>
      </c>
      <c r="CQ143" s="40"/>
      <c r="CR143" s="30" t="s">
        <v>588</v>
      </c>
    </row>
    <row r="144" spans="2:96" x14ac:dyDescent="0.35">
      <c r="B144" s="4" t="str">
        <f t="shared" si="101"/>
        <v>FANUC_SxxRyy</v>
      </c>
      <c r="C144" s="4"/>
      <c r="D144" s="4" t="str">
        <f t="shared" si="102"/>
        <v>To_PLC_RobotReady</v>
      </c>
      <c r="E144" s="4" t="str">
        <f t="shared" si="103"/>
        <v>ENBT200:1:I.Data[82].7</v>
      </c>
      <c r="F144" s="4" t="str">
        <f t="shared" si="104"/>
        <v>I</v>
      </c>
      <c r="G144" s="4" t="str">
        <f t="shared" si="105"/>
        <v/>
      </c>
      <c r="H144" s="4" t="str">
        <f t="shared" si="106"/>
        <v>Controller: &lt;I0201N51.b08&gt; - ROBOT READY DO8</v>
      </c>
      <c r="I144" s="4" t="str">
        <f t="shared" si="107"/>
        <v>AB_RACKx_SLOTa</v>
      </c>
      <c r="J144" s="4"/>
      <c r="K144" s="56" t="str">
        <f t="shared" si="108"/>
        <v>BOOL</v>
      </c>
      <c r="L144" s="56" t="str">
        <f t="shared" si="4"/>
        <v>ROBOTS\SxxRyy</v>
      </c>
      <c r="M144" s="56" t="str">
        <f t="shared" si="5"/>
        <v>STELLANTIS\Common\ToolPrototype\Robots</v>
      </c>
      <c r="N144" s="56" t="str">
        <f t="shared" si="6"/>
        <v>STELLANTIS_DN_FANUC_ROBOT_128_BIT_INTEGRATED_SAFETY_SxxRyy.v00</v>
      </c>
      <c r="O144" s="56" t="str">
        <f t="shared" si="109"/>
        <v/>
      </c>
      <c r="P144" s="56" t="str">
        <f t="shared" si="110"/>
        <v/>
      </c>
      <c r="Q144" s="56" t="str">
        <f t="shared" si="111"/>
        <v/>
      </c>
      <c r="R144" s="56" t="str">
        <f t="shared" si="112"/>
        <v/>
      </c>
      <c r="S144" s="56" t="str">
        <f t="shared" si="113"/>
        <v/>
      </c>
      <c r="T144" s="56" t="str">
        <f t="shared" si="114"/>
        <v/>
      </c>
      <c r="U144" s="56" t="str">
        <f t="shared" si="115"/>
        <v/>
      </c>
      <c r="V144" s="56" t="str">
        <f t="shared" si="116"/>
        <v/>
      </c>
      <c r="W144" s="56"/>
      <c r="X144" s="56"/>
      <c r="Y144" s="56"/>
      <c r="Z144" s="56" t="str">
        <f t="shared" si="117"/>
        <v/>
      </c>
      <c r="AA144" s="56" t="str">
        <f t="shared" si="118"/>
        <v/>
      </c>
      <c r="AB144" s="56" t="str">
        <f t="shared" si="9"/>
        <v>ToolPrototype</v>
      </c>
      <c r="AC144" s="56" t="str">
        <f t="shared" si="119"/>
        <v/>
      </c>
      <c r="AD144" s="56" t="str">
        <f t="shared" si="10"/>
        <v>&lt;device&gt;
&lt;name&gt;SxxRyy&lt;/name&gt;
&lt;type&gt;FCA_DN_FANUC&lt;/type&gt;
&lt;deviceNetwork&gt;201&lt;/deviceNetwork&gt;
&lt;deviceNode&gt;56&lt;/deviceNode&gt;
&lt;/device&gt;</v>
      </c>
      <c r="AE144" s="56" t="str">
        <f t="shared" si="11"/>
        <v/>
      </c>
      <c r="AF144" s="56" t="str">
        <f t="shared" si="12"/>
        <v/>
      </c>
      <c r="AG144" s="56" t="str">
        <f t="shared" si="13"/>
        <v/>
      </c>
      <c r="AH144" s="56" t="str">
        <f t="shared" si="14"/>
        <v/>
      </c>
      <c r="AI144" s="56" t="str">
        <f t="shared" si="15"/>
        <v/>
      </c>
      <c r="AJ144" s="56" t="str">
        <f t="shared" si="16"/>
        <v/>
      </c>
      <c r="AK144" s="56" t="str">
        <f t="shared" si="17"/>
        <v/>
      </c>
      <c r="AL144" s="56" t="str">
        <f t="shared" si="18"/>
        <v/>
      </c>
      <c r="AM144" s="56" t="str">
        <f t="shared" si="19"/>
        <v/>
      </c>
      <c r="AN144" s="56" t="str">
        <f t="shared" si="120"/>
        <v/>
      </c>
      <c r="AO144" s="56" t="str">
        <f t="shared" si="121"/>
        <v/>
      </c>
      <c r="AP144" s="56" t="str">
        <f t="shared" si="122"/>
        <v>PLC</v>
      </c>
      <c r="AQ144" s="56" t="str">
        <f t="shared" si="123"/>
        <v>EXIT</v>
      </c>
      <c r="AR144" s="39" t="s">
        <v>130</v>
      </c>
      <c r="AT144" s="44" t="str">
        <f t="shared" si="124"/>
        <v>BOOL</v>
      </c>
      <c r="AU144" s="23">
        <f t="shared" si="125"/>
        <v>0</v>
      </c>
      <c r="AV144" s="23" t="str">
        <f t="shared" si="126"/>
        <v>I</v>
      </c>
      <c r="AW144" s="23" t="str">
        <f t="shared" si="127"/>
        <v xml:space="preserve">I.: </v>
      </c>
      <c r="AX144" s="23" t="str">
        <f t="shared" si="128"/>
        <v>ENBT200:1:I.Data[82].7</v>
      </c>
      <c r="AY144" s="36" t="str">
        <f t="shared" si="129"/>
        <v xml:space="preserve">Controller: &lt;I0201N51.b08&gt; - </v>
      </c>
      <c r="BB144" s="42" t="s">
        <v>17</v>
      </c>
      <c r="BC144" t="s">
        <v>16</v>
      </c>
      <c r="BD144" t="str">
        <f t="shared" si="99"/>
        <v>AB_RACKx_SLOTa</v>
      </c>
      <c r="BV144" s="30" t="s">
        <v>589</v>
      </c>
      <c r="BW144" t="str">
        <f t="shared" si="100"/>
        <v>DO[8]</v>
      </c>
      <c r="BY144" s="42"/>
      <c r="CB144" s="42"/>
      <c r="CE144" s="30"/>
      <c r="CH144" s="42"/>
      <c r="CJ144" t="str">
        <f>Prep!$U$3&amp;":I.Data["&amp;Prep!$U$7&amp;"]."</f>
        <v>ENBT200:1:I.Data[82].</v>
      </c>
      <c r="CK144">
        <v>7</v>
      </c>
      <c r="CM144" t="s">
        <v>75</v>
      </c>
      <c r="CN144" s="30" t="str">
        <f>"I0"&amp;Header_Config03&amp;"N"&amp;TEXT(Prep!$U$6,"00")&amp;"."</f>
        <v>I0201N51.</v>
      </c>
      <c r="CO144" t="s">
        <v>281</v>
      </c>
      <c r="CP144" t="s">
        <v>12</v>
      </c>
      <c r="CQ144" s="40"/>
      <c r="CR144" s="30" t="s">
        <v>590</v>
      </c>
    </row>
    <row r="145" spans="2:96" x14ac:dyDescent="0.35">
      <c r="B145" s="4" t="str">
        <f t="shared" si="101"/>
        <v>FANUC_SxxRyy</v>
      </c>
      <c r="C145" s="4"/>
      <c r="D145" s="4" t="str">
        <f t="shared" si="102"/>
        <v>To_PLC_ActiveStyleBit1</v>
      </c>
      <c r="E145" s="4" t="str">
        <f t="shared" si="103"/>
        <v>ENBT200:1:I.Data[82].8</v>
      </c>
      <c r="F145" s="4" t="str">
        <f t="shared" si="104"/>
        <v>I</v>
      </c>
      <c r="G145" s="4" t="str">
        <f t="shared" si="105"/>
        <v/>
      </c>
      <c r="H145" s="4" t="str">
        <f t="shared" si="106"/>
        <v>Controller: &lt;I0201N51.b09&gt; - ACTIVE STYLE BIT 1 DO9</v>
      </c>
      <c r="I145" s="4" t="str">
        <f t="shared" si="107"/>
        <v>AB_RACKx_SLOTa</v>
      </c>
      <c r="J145" s="4"/>
      <c r="K145" s="56" t="str">
        <f t="shared" si="108"/>
        <v>BOOL</v>
      </c>
      <c r="L145" s="56" t="str">
        <f t="shared" si="4"/>
        <v>ROBOTS\SxxRyy</v>
      </c>
      <c r="M145" s="56" t="str">
        <f t="shared" si="5"/>
        <v>STELLANTIS\Common\ToolPrototype\Robots</v>
      </c>
      <c r="N145" s="56" t="str">
        <f t="shared" si="6"/>
        <v>STELLANTIS_DN_FANUC_ROBOT_128_BIT_INTEGRATED_SAFETY_SxxRyy.v00</v>
      </c>
      <c r="O145" s="56" t="str">
        <f t="shared" si="109"/>
        <v/>
      </c>
      <c r="P145" s="56" t="str">
        <f t="shared" si="110"/>
        <v/>
      </c>
      <c r="Q145" s="56" t="str">
        <f t="shared" si="111"/>
        <v/>
      </c>
      <c r="R145" s="56" t="str">
        <f t="shared" si="112"/>
        <v/>
      </c>
      <c r="S145" s="56" t="str">
        <f t="shared" si="113"/>
        <v/>
      </c>
      <c r="T145" s="56" t="str">
        <f t="shared" si="114"/>
        <v/>
      </c>
      <c r="U145" s="56" t="str">
        <f t="shared" si="115"/>
        <v/>
      </c>
      <c r="V145" s="56" t="str">
        <f t="shared" si="116"/>
        <v/>
      </c>
      <c r="W145" s="56"/>
      <c r="X145" s="56"/>
      <c r="Y145" s="56"/>
      <c r="Z145" s="56" t="str">
        <f t="shared" si="117"/>
        <v/>
      </c>
      <c r="AA145" s="56" t="str">
        <f t="shared" si="118"/>
        <v/>
      </c>
      <c r="AB145" s="56" t="str">
        <f t="shared" si="9"/>
        <v>ToolPrototype</v>
      </c>
      <c r="AC145" s="56" t="str">
        <f t="shared" si="119"/>
        <v/>
      </c>
      <c r="AD145" s="56" t="str">
        <f t="shared" si="10"/>
        <v>&lt;device&gt;
&lt;name&gt;SxxRyy&lt;/name&gt;
&lt;type&gt;FCA_DN_FANUC&lt;/type&gt;
&lt;deviceNetwork&gt;201&lt;/deviceNetwork&gt;
&lt;deviceNode&gt;56&lt;/deviceNode&gt;
&lt;/device&gt;</v>
      </c>
      <c r="AE145" s="56" t="str">
        <f t="shared" si="11"/>
        <v/>
      </c>
      <c r="AF145" s="56" t="str">
        <f t="shared" si="12"/>
        <v/>
      </c>
      <c r="AG145" s="56" t="str">
        <f t="shared" si="13"/>
        <v/>
      </c>
      <c r="AH145" s="56" t="str">
        <f t="shared" si="14"/>
        <v/>
      </c>
      <c r="AI145" s="56" t="str">
        <f t="shared" si="15"/>
        <v/>
      </c>
      <c r="AJ145" s="56" t="str">
        <f t="shared" si="16"/>
        <v/>
      </c>
      <c r="AK145" s="56" t="str">
        <f t="shared" si="17"/>
        <v/>
      </c>
      <c r="AL145" s="56" t="str">
        <f t="shared" si="18"/>
        <v/>
      </c>
      <c r="AM145" s="56" t="str">
        <f t="shared" si="19"/>
        <v/>
      </c>
      <c r="AN145" s="56">
        <f t="shared" si="120"/>
        <v>250</v>
      </c>
      <c r="AO145" s="56" t="str">
        <f t="shared" si="121"/>
        <v>ROBOTS:SxxRyy\000_COMMON|ROBOTS_NOPLC:SxxRyy\000_COMMON</v>
      </c>
      <c r="AP145" s="56" t="str">
        <f t="shared" si="122"/>
        <v>PLC</v>
      </c>
      <c r="AQ145" s="56" t="str">
        <f t="shared" si="123"/>
        <v>EXIT</v>
      </c>
      <c r="AR145" s="39" t="s">
        <v>130</v>
      </c>
      <c r="AT145" s="44" t="str">
        <f t="shared" si="124"/>
        <v>BOOL</v>
      </c>
      <c r="AU145" s="23">
        <f t="shared" si="125"/>
        <v>0</v>
      </c>
      <c r="AV145" s="23" t="str">
        <f t="shared" si="126"/>
        <v>I</v>
      </c>
      <c r="AW145" s="23" t="str">
        <f t="shared" si="127"/>
        <v xml:space="preserve">I.: </v>
      </c>
      <c r="AX145" s="23" t="str">
        <f t="shared" si="128"/>
        <v>ENBT200:1:I.Data[82].8</v>
      </c>
      <c r="AY145" s="36" t="str">
        <f t="shared" si="129"/>
        <v xml:space="preserve">Controller: &lt;I0201N51.b09&gt; - </v>
      </c>
      <c r="BB145" s="42" t="s">
        <v>17</v>
      </c>
      <c r="BC145" t="s">
        <v>16</v>
      </c>
      <c r="BD145" t="str">
        <f t="shared" si="99"/>
        <v>AB_RACKx_SLOTa</v>
      </c>
      <c r="BR145">
        <v>250</v>
      </c>
      <c r="BS145" t="str">
        <f t="shared" ref="BS145:BS159" si="130">"ROBOTS:"&amp;Header_Config02&amp;"\000_COMMON|ROBOTS_NOPLC:"&amp;Header_Config02&amp;"\000_COMMON"</f>
        <v>ROBOTS:SxxRyy\000_COMMON|ROBOTS_NOPLC:SxxRyy\000_COMMON</v>
      </c>
      <c r="BV145" s="30" t="s">
        <v>591</v>
      </c>
      <c r="BW145" t="str">
        <f t="shared" si="100"/>
        <v>DO[9]</v>
      </c>
      <c r="BX145" t="s">
        <v>386</v>
      </c>
      <c r="BY145" s="42"/>
      <c r="CB145" s="42"/>
      <c r="CE145" s="30"/>
      <c r="CH145" s="42"/>
      <c r="CJ145" t="str">
        <f>Prep!$U$3&amp;":I.Data["&amp;Prep!$U$7&amp;"]."</f>
        <v>ENBT200:1:I.Data[82].</v>
      </c>
      <c r="CK145">
        <v>8</v>
      </c>
      <c r="CM145" t="s">
        <v>75</v>
      </c>
      <c r="CN145" s="30" t="str">
        <f>"I0"&amp;Header_Config03&amp;"N"&amp;TEXT(Prep!$U$6,"00")&amp;"."</f>
        <v>I0201N51.</v>
      </c>
      <c r="CO145" t="s">
        <v>282</v>
      </c>
      <c r="CP145" t="s">
        <v>12</v>
      </c>
      <c r="CQ145" s="40"/>
      <c r="CR145" s="30" t="s">
        <v>592</v>
      </c>
    </row>
    <row r="146" spans="2:96" x14ac:dyDescent="0.35">
      <c r="B146" s="4" t="str">
        <f t="shared" si="101"/>
        <v>FANUC_SxxRyy</v>
      </c>
      <c r="C146" s="4"/>
      <c r="D146" s="4" t="str">
        <f t="shared" si="102"/>
        <v>To_PLC_ActiveStyleBit2</v>
      </c>
      <c r="E146" s="4" t="str">
        <f t="shared" si="103"/>
        <v>ENBT200:1:I.Data[82].9</v>
      </c>
      <c r="F146" s="4" t="str">
        <f t="shared" si="104"/>
        <v>I</v>
      </c>
      <c r="G146" s="4" t="str">
        <f t="shared" si="105"/>
        <v/>
      </c>
      <c r="H146" s="4" t="str">
        <f t="shared" si="106"/>
        <v>Controller: &lt;I0201N51.b10&gt; - ACTIVE STYLE BIT 2 DO10</v>
      </c>
      <c r="I146" s="4" t="str">
        <f t="shared" si="107"/>
        <v>AB_RACKx_SLOTa</v>
      </c>
      <c r="J146" s="4"/>
      <c r="K146" s="56" t="str">
        <f t="shared" si="108"/>
        <v>BOOL</v>
      </c>
      <c r="L146" s="56" t="str">
        <f t="shared" si="4"/>
        <v>ROBOTS\SxxRyy</v>
      </c>
      <c r="M146" s="56" t="str">
        <f t="shared" si="5"/>
        <v>STELLANTIS\Common\ToolPrototype\Robots</v>
      </c>
      <c r="N146" s="56" t="str">
        <f t="shared" si="6"/>
        <v>STELLANTIS_DN_FANUC_ROBOT_128_BIT_INTEGRATED_SAFETY_SxxRyy.v00</v>
      </c>
      <c r="O146" s="56" t="str">
        <f t="shared" si="109"/>
        <v/>
      </c>
      <c r="P146" s="56" t="str">
        <f t="shared" si="110"/>
        <v/>
      </c>
      <c r="Q146" s="56" t="str">
        <f t="shared" si="111"/>
        <v/>
      </c>
      <c r="R146" s="56" t="str">
        <f t="shared" si="112"/>
        <v/>
      </c>
      <c r="S146" s="56" t="str">
        <f t="shared" si="113"/>
        <v/>
      </c>
      <c r="T146" s="56" t="str">
        <f t="shared" si="114"/>
        <v/>
      </c>
      <c r="U146" s="56" t="str">
        <f t="shared" si="115"/>
        <v/>
      </c>
      <c r="V146" s="56" t="str">
        <f t="shared" si="116"/>
        <v/>
      </c>
      <c r="W146" s="56"/>
      <c r="X146" s="56"/>
      <c r="Y146" s="56"/>
      <c r="Z146" s="56" t="str">
        <f t="shared" si="117"/>
        <v/>
      </c>
      <c r="AA146" s="56" t="str">
        <f t="shared" si="118"/>
        <v/>
      </c>
      <c r="AB146" s="56" t="str">
        <f t="shared" si="9"/>
        <v>ToolPrototype</v>
      </c>
      <c r="AC146" s="56" t="str">
        <f t="shared" si="119"/>
        <v/>
      </c>
      <c r="AD146" s="56" t="str">
        <f t="shared" si="10"/>
        <v>&lt;device&gt;
&lt;name&gt;SxxRyy&lt;/name&gt;
&lt;type&gt;FCA_DN_FANUC&lt;/type&gt;
&lt;deviceNetwork&gt;201&lt;/deviceNetwork&gt;
&lt;deviceNode&gt;56&lt;/deviceNode&gt;
&lt;/device&gt;</v>
      </c>
      <c r="AE146" s="56" t="str">
        <f t="shared" si="11"/>
        <v/>
      </c>
      <c r="AF146" s="56" t="str">
        <f t="shared" si="12"/>
        <v/>
      </c>
      <c r="AG146" s="56" t="str">
        <f t="shared" si="13"/>
        <v/>
      </c>
      <c r="AH146" s="56" t="str">
        <f t="shared" si="14"/>
        <v/>
      </c>
      <c r="AI146" s="56" t="str">
        <f t="shared" si="15"/>
        <v/>
      </c>
      <c r="AJ146" s="56" t="str">
        <f t="shared" si="16"/>
        <v/>
      </c>
      <c r="AK146" s="56" t="str">
        <f t="shared" si="17"/>
        <v/>
      </c>
      <c r="AL146" s="56" t="str">
        <f t="shared" si="18"/>
        <v/>
      </c>
      <c r="AM146" s="56" t="str">
        <f t="shared" si="19"/>
        <v/>
      </c>
      <c r="AN146" s="56">
        <f t="shared" si="120"/>
        <v>250</v>
      </c>
      <c r="AO146" s="56" t="str">
        <f t="shared" si="121"/>
        <v>ROBOTS:SxxRyy\000_COMMON|ROBOTS_NOPLC:SxxRyy\000_COMMON</v>
      </c>
      <c r="AP146" s="56" t="str">
        <f t="shared" si="122"/>
        <v>PLC</v>
      </c>
      <c r="AQ146" s="56" t="str">
        <f t="shared" si="123"/>
        <v>EXIT</v>
      </c>
      <c r="AR146" s="39" t="s">
        <v>130</v>
      </c>
      <c r="AT146" s="44" t="str">
        <f t="shared" si="124"/>
        <v>BOOL</v>
      </c>
      <c r="AU146" s="23">
        <f t="shared" si="125"/>
        <v>0</v>
      </c>
      <c r="AV146" s="23" t="str">
        <f t="shared" si="126"/>
        <v>I</v>
      </c>
      <c r="AW146" s="23" t="str">
        <f t="shared" si="127"/>
        <v xml:space="preserve">I.: </v>
      </c>
      <c r="AX146" s="23" t="str">
        <f t="shared" si="128"/>
        <v>ENBT200:1:I.Data[82].9</v>
      </c>
      <c r="AY146" s="36" t="str">
        <f t="shared" si="129"/>
        <v xml:space="preserve">Controller: &lt;I0201N51.b10&gt; - </v>
      </c>
      <c r="BB146" s="42" t="s">
        <v>17</v>
      </c>
      <c r="BC146" t="s">
        <v>16</v>
      </c>
      <c r="BD146" t="str">
        <f t="shared" si="99"/>
        <v>AB_RACKx_SLOTa</v>
      </c>
      <c r="BR146">
        <v>250</v>
      </c>
      <c r="BS146" t="str">
        <f t="shared" si="130"/>
        <v>ROBOTS:SxxRyy\000_COMMON|ROBOTS_NOPLC:SxxRyy\000_COMMON</v>
      </c>
      <c r="BV146" s="30" t="s">
        <v>593</v>
      </c>
      <c r="BW146" t="str">
        <f t="shared" si="100"/>
        <v>DO[10]</v>
      </c>
      <c r="BX146" t="s">
        <v>386</v>
      </c>
      <c r="BY146" s="42"/>
      <c r="CB146" s="42"/>
      <c r="CE146" s="30"/>
      <c r="CH146" s="42"/>
      <c r="CJ146" t="str">
        <f>Prep!$U$3&amp;":I.Data["&amp;Prep!$U$7&amp;"]."</f>
        <v>ENBT200:1:I.Data[82].</v>
      </c>
      <c r="CK146">
        <v>9</v>
      </c>
      <c r="CM146" t="s">
        <v>75</v>
      </c>
      <c r="CN146" s="30" t="str">
        <f>"I0"&amp;Header_Config03&amp;"N"&amp;TEXT(Prep!$U$6,"00")&amp;"."</f>
        <v>I0201N51.</v>
      </c>
      <c r="CO146" t="s">
        <v>440</v>
      </c>
      <c r="CP146" t="s">
        <v>12</v>
      </c>
      <c r="CQ146" s="40"/>
      <c r="CR146" s="30" t="s">
        <v>594</v>
      </c>
    </row>
    <row r="147" spans="2:96" x14ac:dyDescent="0.35">
      <c r="B147" s="4" t="str">
        <f t="shared" si="101"/>
        <v>FANUC_SxxRyy</v>
      </c>
      <c r="C147" s="4"/>
      <c r="D147" s="4" t="str">
        <f t="shared" si="102"/>
        <v>To_PLC_ActiveStyleBit4</v>
      </c>
      <c r="E147" s="4" t="str">
        <f t="shared" si="103"/>
        <v>ENBT200:1:I.Data[82].10</v>
      </c>
      <c r="F147" s="4" t="str">
        <f t="shared" si="104"/>
        <v>I</v>
      </c>
      <c r="G147" s="4" t="str">
        <f t="shared" si="105"/>
        <v/>
      </c>
      <c r="H147" s="4" t="str">
        <f t="shared" si="106"/>
        <v>Controller: &lt;I0201N51.b11&gt; - ACTIVE STYLE BIT 4 DO11</v>
      </c>
      <c r="I147" s="4" t="str">
        <f t="shared" si="107"/>
        <v>AB_RACKx_SLOTa</v>
      </c>
      <c r="J147" s="4"/>
      <c r="K147" s="56" t="str">
        <f t="shared" si="108"/>
        <v>BOOL</v>
      </c>
      <c r="L147" s="56" t="str">
        <f t="shared" si="4"/>
        <v>ROBOTS\SxxRyy</v>
      </c>
      <c r="M147" s="56" t="str">
        <f t="shared" si="5"/>
        <v>STELLANTIS\Common\ToolPrototype\Robots</v>
      </c>
      <c r="N147" s="56" t="str">
        <f t="shared" si="6"/>
        <v>STELLANTIS_DN_FANUC_ROBOT_128_BIT_INTEGRATED_SAFETY_SxxRyy.v00</v>
      </c>
      <c r="O147" s="56" t="str">
        <f t="shared" si="109"/>
        <v/>
      </c>
      <c r="P147" s="56" t="str">
        <f t="shared" si="110"/>
        <v/>
      </c>
      <c r="Q147" s="56" t="str">
        <f t="shared" si="111"/>
        <v/>
      </c>
      <c r="R147" s="56" t="str">
        <f t="shared" si="112"/>
        <v/>
      </c>
      <c r="S147" s="56" t="str">
        <f t="shared" si="113"/>
        <v/>
      </c>
      <c r="T147" s="56" t="str">
        <f t="shared" si="114"/>
        <v/>
      </c>
      <c r="U147" s="56" t="str">
        <f t="shared" si="115"/>
        <v/>
      </c>
      <c r="V147" s="56" t="str">
        <f t="shared" si="116"/>
        <v/>
      </c>
      <c r="W147" s="56"/>
      <c r="X147" s="56"/>
      <c r="Y147" s="56"/>
      <c r="Z147" s="56" t="str">
        <f t="shared" si="117"/>
        <v/>
      </c>
      <c r="AA147" s="56" t="str">
        <f t="shared" si="118"/>
        <v/>
      </c>
      <c r="AB147" s="56" t="str">
        <f t="shared" si="9"/>
        <v>ToolPrototype</v>
      </c>
      <c r="AC147" s="56" t="str">
        <f t="shared" si="119"/>
        <v/>
      </c>
      <c r="AD147" s="56" t="str">
        <f t="shared" si="10"/>
        <v>&lt;device&gt;
&lt;name&gt;SxxRyy&lt;/name&gt;
&lt;type&gt;FCA_DN_FANUC&lt;/type&gt;
&lt;deviceNetwork&gt;201&lt;/deviceNetwork&gt;
&lt;deviceNode&gt;56&lt;/deviceNode&gt;
&lt;/device&gt;</v>
      </c>
      <c r="AE147" s="56" t="str">
        <f t="shared" si="11"/>
        <v/>
      </c>
      <c r="AF147" s="56" t="str">
        <f t="shared" si="12"/>
        <v/>
      </c>
      <c r="AG147" s="56" t="str">
        <f t="shared" si="13"/>
        <v/>
      </c>
      <c r="AH147" s="56" t="str">
        <f t="shared" si="14"/>
        <v/>
      </c>
      <c r="AI147" s="56" t="str">
        <f t="shared" si="15"/>
        <v/>
      </c>
      <c r="AJ147" s="56" t="str">
        <f t="shared" si="16"/>
        <v/>
      </c>
      <c r="AK147" s="56" t="str">
        <f t="shared" si="17"/>
        <v/>
      </c>
      <c r="AL147" s="56" t="str">
        <f t="shared" si="18"/>
        <v/>
      </c>
      <c r="AM147" s="56" t="str">
        <f t="shared" si="19"/>
        <v/>
      </c>
      <c r="AN147" s="56">
        <f t="shared" si="120"/>
        <v>251</v>
      </c>
      <c r="AO147" s="56" t="str">
        <f t="shared" si="121"/>
        <v>ROBOTS:SxxRyy\000_COMMON|ROBOTS_NOPLC:SxxRyy\000_COMMON</v>
      </c>
      <c r="AP147" s="56" t="str">
        <f t="shared" si="122"/>
        <v>PLC</v>
      </c>
      <c r="AQ147" s="56" t="str">
        <f t="shared" si="123"/>
        <v>EXIT</v>
      </c>
      <c r="AR147" s="39" t="s">
        <v>130</v>
      </c>
      <c r="AT147" s="44" t="str">
        <f t="shared" si="124"/>
        <v>BOOL</v>
      </c>
      <c r="AU147" s="23">
        <f t="shared" si="125"/>
        <v>0</v>
      </c>
      <c r="AV147" s="23" t="str">
        <f t="shared" si="126"/>
        <v>I</v>
      </c>
      <c r="AW147" s="23" t="str">
        <f t="shared" si="127"/>
        <v xml:space="preserve">I.: </v>
      </c>
      <c r="AX147" s="23" t="str">
        <f t="shared" si="128"/>
        <v>ENBT200:1:I.Data[82].10</v>
      </c>
      <c r="AY147" s="36" t="str">
        <f t="shared" si="129"/>
        <v xml:space="preserve">Controller: &lt;I0201N51.b11&gt; - </v>
      </c>
      <c r="BB147" s="42" t="s">
        <v>17</v>
      </c>
      <c r="BC147" t="s">
        <v>16</v>
      </c>
      <c r="BD147" t="str">
        <f t="shared" si="99"/>
        <v>AB_RACKx_SLOTa</v>
      </c>
      <c r="BR147">
        <v>251</v>
      </c>
      <c r="BS147" t="str">
        <f t="shared" si="130"/>
        <v>ROBOTS:SxxRyy\000_COMMON|ROBOTS_NOPLC:SxxRyy\000_COMMON</v>
      </c>
      <c r="BV147" s="30" t="s">
        <v>595</v>
      </c>
      <c r="BW147" t="str">
        <f t="shared" si="100"/>
        <v>DO[11]</v>
      </c>
      <c r="BX147" t="s">
        <v>386</v>
      </c>
      <c r="BY147" s="42"/>
      <c r="CB147" s="42"/>
      <c r="CE147" s="30"/>
      <c r="CH147" s="42"/>
      <c r="CJ147" t="str">
        <f>Prep!$U$3&amp;":I.Data["&amp;Prep!$U$7&amp;"]."</f>
        <v>ENBT200:1:I.Data[82].</v>
      </c>
      <c r="CK147">
        <v>10</v>
      </c>
      <c r="CM147" t="s">
        <v>75</v>
      </c>
      <c r="CN147" s="30" t="str">
        <f>"I0"&amp;Header_Config03&amp;"N"&amp;TEXT(Prep!$U$6,"00")&amp;"."</f>
        <v>I0201N51.</v>
      </c>
      <c r="CO147" t="s">
        <v>260</v>
      </c>
      <c r="CP147" t="s">
        <v>12</v>
      </c>
      <c r="CQ147" s="40"/>
      <c r="CR147" s="30" t="s">
        <v>596</v>
      </c>
    </row>
    <row r="148" spans="2:96" x14ac:dyDescent="0.35">
      <c r="B148" s="4" t="str">
        <f t="shared" si="101"/>
        <v>FANUC_SxxRyy</v>
      </c>
      <c r="C148" s="4"/>
      <c r="D148" s="4" t="str">
        <f t="shared" si="102"/>
        <v>To_PLC_ActiveStyleBit8</v>
      </c>
      <c r="E148" s="4" t="str">
        <f t="shared" si="103"/>
        <v>ENBT200:1:I.Data[82].11</v>
      </c>
      <c r="F148" s="4" t="str">
        <f t="shared" si="104"/>
        <v>I</v>
      </c>
      <c r="G148" s="4" t="str">
        <f t="shared" si="105"/>
        <v/>
      </c>
      <c r="H148" s="4" t="str">
        <f t="shared" si="106"/>
        <v>Controller: &lt;I0201N51.b12&gt; - ACTIVE STYLE BIT 8 DO12</v>
      </c>
      <c r="I148" s="4" t="str">
        <f t="shared" si="107"/>
        <v>AB_RACKx_SLOTa</v>
      </c>
      <c r="J148" s="4"/>
      <c r="K148" s="56" t="str">
        <f t="shared" si="108"/>
        <v>BOOL</v>
      </c>
      <c r="L148" s="56" t="str">
        <f t="shared" si="4"/>
        <v>ROBOTS\SxxRyy</v>
      </c>
      <c r="M148" s="56" t="str">
        <f t="shared" si="5"/>
        <v>STELLANTIS\Common\ToolPrototype\Robots</v>
      </c>
      <c r="N148" s="56" t="str">
        <f t="shared" si="6"/>
        <v>STELLANTIS_DN_FANUC_ROBOT_128_BIT_INTEGRATED_SAFETY_SxxRyy.v00</v>
      </c>
      <c r="O148" s="56" t="str">
        <f t="shared" si="109"/>
        <v/>
      </c>
      <c r="P148" s="56" t="str">
        <f t="shared" si="110"/>
        <v/>
      </c>
      <c r="Q148" s="56" t="str">
        <f t="shared" si="111"/>
        <v/>
      </c>
      <c r="R148" s="56" t="str">
        <f t="shared" si="112"/>
        <v/>
      </c>
      <c r="S148" s="56" t="str">
        <f t="shared" si="113"/>
        <v/>
      </c>
      <c r="T148" s="56" t="str">
        <f t="shared" si="114"/>
        <v/>
      </c>
      <c r="U148" s="56" t="str">
        <f t="shared" si="115"/>
        <v/>
      </c>
      <c r="V148" s="56" t="str">
        <f t="shared" si="116"/>
        <v/>
      </c>
      <c r="W148" s="56"/>
      <c r="X148" s="56"/>
      <c r="Y148" s="56"/>
      <c r="Z148" s="56" t="str">
        <f t="shared" si="117"/>
        <v/>
      </c>
      <c r="AA148" s="56" t="str">
        <f t="shared" si="118"/>
        <v/>
      </c>
      <c r="AB148" s="56" t="str">
        <f t="shared" si="9"/>
        <v>ToolPrototype</v>
      </c>
      <c r="AC148" s="56" t="str">
        <f t="shared" si="119"/>
        <v/>
      </c>
      <c r="AD148" s="56" t="str">
        <f t="shared" si="10"/>
        <v>&lt;device&gt;
&lt;name&gt;SxxRyy&lt;/name&gt;
&lt;type&gt;FCA_DN_FANUC&lt;/type&gt;
&lt;deviceNetwork&gt;201&lt;/deviceNetwork&gt;
&lt;deviceNode&gt;56&lt;/deviceNode&gt;
&lt;/device&gt;</v>
      </c>
      <c r="AE148" s="56" t="str">
        <f t="shared" si="11"/>
        <v/>
      </c>
      <c r="AF148" s="56" t="str">
        <f t="shared" si="12"/>
        <v/>
      </c>
      <c r="AG148" s="56" t="str">
        <f t="shared" si="13"/>
        <v/>
      </c>
      <c r="AH148" s="56" t="str">
        <f t="shared" si="14"/>
        <v/>
      </c>
      <c r="AI148" s="56" t="str">
        <f t="shared" si="15"/>
        <v/>
      </c>
      <c r="AJ148" s="56" t="str">
        <f t="shared" si="16"/>
        <v/>
      </c>
      <c r="AK148" s="56" t="str">
        <f t="shared" si="17"/>
        <v/>
      </c>
      <c r="AL148" s="56" t="str">
        <f t="shared" si="18"/>
        <v/>
      </c>
      <c r="AM148" s="56" t="str">
        <f t="shared" si="19"/>
        <v/>
      </c>
      <c r="AN148" s="56">
        <f t="shared" si="120"/>
        <v>251</v>
      </c>
      <c r="AO148" s="56" t="str">
        <f t="shared" si="121"/>
        <v>ROBOTS:SxxRyy\000_COMMON|ROBOTS_NOPLC:SxxRyy\000_COMMON</v>
      </c>
      <c r="AP148" s="56" t="str">
        <f t="shared" si="122"/>
        <v>PLC</v>
      </c>
      <c r="AQ148" s="56" t="str">
        <f t="shared" si="123"/>
        <v>EXIT</v>
      </c>
      <c r="AR148" s="39" t="s">
        <v>130</v>
      </c>
      <c r="AT148" s="44" t="str">
        <f t="shared" si="124"/>
        <v>BOOL</v>
      </c>
      <c r="AU148" s="23">
        <f t="shared" si="125"/>
        <v>0</v>
      </c>
      <c r="AV148" s="23" t="str">
        <f t="shared" si="126"/>
        <v>I</v>
      </c>
      <c r="AW148" s="23" t="str">
        <f t="shared" si="127"/>
        <v xml:space="preserve">I.: </v>
      </c>
      <c r="AX148" s="23" t="str">
        <f t="shared" si="128"/>
        <v>ENBT200:1:I.Data[82].11</v>
      </c>
      <c r="AY148" s="36" t="str">
        <f t="shared" si="129"/>
        <v xml:space="preserve">Controller: &lt;I0201N51.b12&gt; - </v>
      </c>
      <c r="BB148" s="42" t="s">
        <v>17</v>
      </c>
      <c r="BC148" t="s">
        <v>16</v>
      </c>
      <c r="BD148" t="str">
        <f t="shared" si="99"/>
        <v>AB_RACKx_SLOTa</v>
      </c>
      <c r="BR148">
        <v>251</v>
      </c>
      <c r="BS148" t="str">
        <f t="shared" si="130"/>
        <v>ROBOTS:SxxRyy\000_COMMON|ROBOTS_NOPLC:SxxRyy\000_COMMON</v>
      </c>
      <c r="BV148" s="30" t="s">
        <v>597</v>
      </c>
      <c r="BW148" t="str">
        <f t="shared" si="100"/>
        <v>DO[12]</v>
      </c>
      <c r="BX148" t="s">
        <v>386</v>
      </c>
      <c r="BY148" s="42"/>
      <c r="CB148" s="42"/>
      <c r="CE148" s="30"/>
      <c r="CH148" s="42"/>
      <c r="CJ148" t="str">
        <f>Prep!$U$3&amp;":I.Data["&amp;Prep!$U$7&amp;"]."</f>
        <v>ENBT200:1:I.Data[82].</v>
      </c>
      <c r="CK148">
        <v>11</v>
      </c>
      <c r="CM148" t="s">
        <v>75</v>
      </c>
      <c r="CN148" s="30" t="str">
        <f>"I0"&amp;Header_Config03&amp;"N"&amp;TEXT(Prep!$U$6,"00")&amp;"."</f>
        <v>I0201N51.</v>
      </c>
      <c r="CO148" t="s">
        <v>261</v>
      </c>
      <c r="CP148" t="s">
        <v>12</v>
      </c>
      <c r="CQ148" s="40"/>
      <c r="CR148" s="30" t="s">
        <v>598</v>
      </c>
    </row>
    <row r="149" spans="2:96" x14ac:dyDescent="0.35">
      <c r="B149" s="4" t="str">
        <f t="shared" si="101"/>
        <v>FANUC_SxxRyy</v>
      </c>
      <c r="C149" s="4"/>
      <c r="D149" s="4" t="str">
        <f t="shared" si="102"/>
        <v>To_PLC_ActiveStyleBit16</v>
      </c>
      <c r="E149" s="4" t="str">
        <f t="shared" si="103"/>
        <v>ENBT200:1:I.Data[82].12</v>
      </c>
      <c r="F149" s="4" t="str">
        <f t="shared" si="104"/>
        <v>I</v>
      </c>
      <c r="G149" s="4" t="str">
        <f t="shared" si="105"/>
        <v/>
      </c>
      <c r="H149" s="4" t="str">
        <f t="shared" si="106"/>
        <v>Controller: &lt;I0201N51.b13&gt; - ACTIVE STYLE BIT 16 DO13</v>
      </c>
      <c r="I149" s="4" t="str">
        <f t="shared" si="107"/>
        <v>AB_RACKx_SLOTa</v>
      </c>
      <c r="J149" s="4"/>
      <c r="K149" s="56" t="str">
        <f t="shared" si="108"/>
        <v>BOOL</v>
      </c>
      <c r="L149" s="56" t="str">
        <f t="shared" si="4"/>
        <v>ROBOTS\SxxRyy</v>
      </c>
      <c r="M149" s="56" t="str">
        <f t="shared" si="5"/>
        <v>STELLANTIS\Common\ToolPrototype\Robots</v>
      </c>
      <c r="N149" s="56" t="str">
        <f t="shared" si="6"/>
        <v>STELLANTIS_DN_FANUC_ROBOT_128_BIT_INTEGRATED_SAFETY_SxxRyy.v00</v>
      </c>
      <c r="O149" s="56" t="str">
        <f t="shared" si="109"/>
        <v/>
      </c>
      <c r="P149" s="56" t="str">
        <f t="shared" si="110"/>
        <v/>
      </c>
      <c r="Q149" s="56" t="str">
        <f t="shared" si="111"/>
        <v/>
      </c>
      <c r="R149" s="56" t="str">
        <f t="shared" si="112"/>
        <v/>
      </c>
      <c r="S149" s="56" t="str">
        <f t="shared" si="113"/>
        <v/>
      </c>
      <c r="T149" s="56" t="str">
        <f t="shared" si="114"/>
        <v/>
      </c>
      <c r="U149" s="56" t="str">
        <f t="shared" si="115"/>
        <v/>
      </c>
      <c r="V149" s="56" t="str">
        <f t="shared" si="116"/>
        <v/>
      </c>
      <c r="W149" s="56"/>
      <c r="X149" s="56"/>
      <c r="Y149" s="56"/>
      <c r="Z149" s="56" t="str">
        <f t="shared" si="117"/>
        <v/>
      </c>
      <c r="AA149" s="56" t="str">
        <f t="shared" si="118"/>
        <v/>
      </c>
      <c r="AB149" s="56" t="str">
        <f t="shared" si="9"/>
        <v>ToolPrototype</v>
      </c>
      <c r="AC149" s="56" t="str">
        <f t="shared" si="119"/>
        <v/>
      </c>
      <c r="AD149" s="56" t="str">
        <f t="shared" si="10"/>
        <v>&lt;device&gt;
&lt;name&gt;SxxRyy&lt;/name&gt;
&lt;type&gt;FCA_DN_FANUC&lt;/type&gt;
&lt;deviceNetwork&gt;201&lt;/deviceNetwork&gt;
&lt;deviceNode&gt;56&lt;/deviceNode&gt;
&lt;/device&gt;</v>
      </c>
      <c r="AE149" s="56" t="str">
        <f t="shared" si="11"/>
        <v/>
      </c>
      <c r="AF149" s="56" t="str">
        <f t="shared" si="12"/>
        <v/>
      </c>
      <c r="AG149" s="56" t="str">
        <f t="shared" si="13"/>
        <v/>
      </c>
      <c r="AH149" s="56" t="str">
        <f t="shared" si="14"/>
        <v/>
      </c>
      <c r="AI149" s="56" t="str">
        <f t="shared" si="15"/>
        <v/>
      </c>
      <c r="AJ149" s="56" t="str">
        <f t="shared" si="16"/>
        <v/>
      </c>
      <c r="AK149" s="56" t="str">
        <f t="shared" si="17"/>
        <v/>
      </c>
      <c r="AL149" s="56" t="str">
        <f t="shared" si="18"/>
        <v/>
      </c>
      <c r="AM149" s="56" t="str">
        <f t="shared" si="19"/>
        <v/>
      </c>
      <c r="AN149" s="56">
        <f t="shared" si="120"/>
        <v>251</v>
      </c>
      <c r="AO149" s="56" t="str">
        <f t="shared" si="121"/>
        <v>ROBOTS:SxxRyy\000_COMMON|ROBOTS_NOPLC:SxxRyy\000_COMMON</v>
      </c>
      <c r="AP149" s="56" t="str">
        <f t="shared" si="122"/>
        <v>PLC</v>
      </c>
      <c r="AQ149" s="56" t="str">
        <f t="shared" si="123"/>
        <v>EXIT</v>
      </c>
      <c r="AR149" s="39" t="s">
        <v>130</v>
      </c>
      <c r="AT149" s="44" t="str">
        <f t="shared" si="124"/>
        <v>BOOL</v>
      </c>
      <c r="AU149" s="23">
        <f t="shared" si="125"/>
        <v>0</v>
      </c>
      <c r="AV149" s="23" t="str">
        <f t="shared" si="126"/>
        <v>I</v>
      </c>
      <c r="AW149" s="23" t="str">
        <f t="shared" si="127"/>
        <v xml:space="preserve">I.: </v>
      </c>
      <c r="AX149" s="23" t="str">
        <f t="shared" si="128"/>
        <v>ENBT200:1:I.Data[82].12</v>
      </c>
      <c r="AY149" s="36" t="str">
        <f t="shared" si="129"/>
        <v xml:space="preserve">Controller: &lt;I0201N51.b13&gt; - </v>
      </c>
      <c r="BB149" s="42" t="s">
        <v>17</v>
      </c>
      <c r="BC149" t="s">
        <v>16</v>
      </c>
      <c r="BD149" t="str">
        <f t="shared" si="99"/>
        <v>AB_RACKx_SLOTa</v>
      </c>
      <c r="BR149">
        <v>251</v>
      </c>
      <c r="BS149" t="str">
        <f t="shared" si="130"/>
        <v>ROBOTS:SxxRyy\000_COMMON|ROBOTS_NOPLC:SxxRyy\000_COMMON</v>
      </c>
      <c r="BV149" s="30" t="s">
        <v>599</v>
      </c>
      <c r="BW149" t="str">
        <f t="shared" si="100"/>
        <v>DO[13]</v>
      </c>
      <c r="BX149" t="s">
        <v>386</v>
      </c>
      <c r="BY149" s="42"/>
      <c r="CB149" s="42"/>
      <c r="CE149" s="30"/>
      <c r="CH149" s="42"/>
      <c r="CJ149" t="str">
        <f>Prep!$U$3&amp;":I.Data["&amp;Prep!$U$7&amp;"]."</f>
        <v>ENBT200:1:I.Data[82].</v>
      </c>
      <c r="CK149">
        <v>12</v>
      </c>
      <c r="CM149" t="s">
        <v>75</v>
      </c>
      <c r="CN149" s="30" t="str">
        <f>"I0"&amp;Header_Config03&amp;"N"&amp;TEXT(Prep!$U$6,"00")&amp;"."</f>
        <v>I0201N51.</v>
      </c>
      <c r="CO149" t="s">
        <v>262</v>
      </c>
      <c r="CP149" t="s">
        <v>12</v>
      </c>
      <c r="CQ149" s="40"/>
      <c r="CR149" s="30" t="s">
        <v>600</v>
      </c>
    </row>
    <row r="150" spans="2:96" x14ac:dyDescent="0.35">
      <c r="B150" s="4" t="str">
        <f t="shared" si="101"/>
        <v>FANUC_SxxRyy</v>
      </c>
      <c r="C150" s="4"/>
      <c r="D150" s="4" t="str">
        <f t="shared" si="102"/>
        <v>To_PLC_ActiveStyleBit32</v>
      </c>
      <c r="E150" s="4" t="str">
        <f t="shared" si="103"/>
        <v>ENBT200:1:I.Data[82].13</v>
      </c>
      <c r="F150" s="4" t="str">
        <f t="shared" si="104"/>
        <v>I</v>
      </c>
      <c r="G150" s="4" t="str">
        <f t="shared" si="105"/>
        <v/>
      </c>
      <c r="H150" s="4" t="str">
        <f t="shared" si="106"/>
        <v>Controller: &lt;I0201N51.b14&gt; - ACTIVE STYLE BIT 32 DO14</v>
      </c>
      <c r="I150" s="4" t="str">
        <f t="shared" si="107"/>
        <v>AB_RACKx_SLOTa</v>
      </c>
      <c r="J150" s="4"/>
      <c r="K150" s="56" t="str">
        <f t="shared" si="108"/>
        <v>BOOL</v>
      </c>
      <c r="L150" s="56" t="str">
        <f t="shared" si="4"/>
        <v>ROBOTS\SxxRyy</v>
      </c>
      <c r="M150" s="56" t="str">
        <f t="shared" si="5"/>
        <v>STELLANTIS\Common\ToolPrototype\Robots</v>
      </c>
      <c r="N150" s="56" t="str">
        <f t="shared" si="6"/>
        <v>STELLANTIS_DN_FANUC_ROBOT_128_BIT_INTEGRATED_SAFETY_SxxRyy.v00</v>
      </c>
      <c r="O150" s="56" t="str">
        <f t="shared" si="109"/>
        <v/>
      </c>
      <c r="P150" s="56" t="str">
        <f t="shared" si="110"/>
        <v/>
      </c>
      <c r="Q150" s="56" t="str">
        <f t="shared" si="111"/>
        <v/>
      </c>
      <c r="R150" s="56" t="str">
        <f t="shared" si="112"/>
        <v/>
      </c>
      <c r="S150" s="56" t="str">
        <f t="shared" si="113"/>
        <v/>
      </c>
      <c r="T150" s="56" t="str">
        <f t="shared" si="114"/>
        <v/>
      </c>
      <c r="U150" s="56" t="str">
        <f t="shared" si="115"/>
        <v/>
      </c>
      <c r="V150" s="56" t="str">
        <f t="shared" si="116"/>
        <v/>
      </c>
      <c r="W150" s="56"/>
      <c r="X150" s="56"/>
      <c r="Y150" s="56"/>
      <c r="Z150" s="56" t="str">
        <f t="shared" si="117"/>
        <v/>
      </c>
      <c r="AA150" s="56" t="str">
        <f t="shared" si="118"/>
        <v/>
      </c>
      <c r="AB150" s="56" t="str">
        <f t="shared" si="9"/>
        <v>ToolPrototype</v>
      </c>
      <c r="AC150" s="56" t="str">
        <f t="shared" si="119"/>
        <v/>
      </c>
      <c r="AD150" s="56" t="str">
        <f t="shared" si="10"/>
        <v>&lt;device&gt;
&lt;name&gt;SxxRyy&lt;/name&gt;
&lt;type&gt;FCA_DN_FANUC&lt;/type&gt;
&lt;deviceNetwork&gt;201&lt;/deviceNetwork&gt;
&lt;deviceNode&gt;56&lt;/deviceNode&gt;
&lt;/device&gt;</v>
      </c>
      <c r="AE150" s="56" t="str">
        <f t="shared" si="11"/>
        <v/>
      </c>
      <c r="AF150" s="56" t="str">
        <f t="shared" si="12"/>
        <v/>
      </c>
      <c r="AG150" s="56" t="str">
        <f t="shared" si="13"/>
        <v/>
      </c>
      <c r="AH150" s="56" t="str">
        <f t="shared" si="14"/>
        <v/>
      </c>
      <c r="AI150" s="56" t="str">
        <f t="shared" si="15"/>
        <v/>
      </c>
      <c r="AJ150" s="56" t="str">
        <f t="shared" si="16"/>
        <v/>
      </c>
      <c r="AK150" s="56" t="str">
        <f t="shared" si="17"/>
        <v/>
      </c>
      <c r="AL150" s="56" t="str">
        <f t="shared" si="18"/>
        <v/>
      </c>
      <c r="AM150" s="56" t="str">
        <f t="shared" si="19"/>
        <v/>
      </c>
      <c r="AN150" s="56">
        <f t="shared" si="120"/>
        <v>251</v>
      </c>
      <c r="AO150" s="56" t="str">
        <f t="shared" si="121"/>
        <v>ROBOTS:SxxRyy\000_COMMON|ROBOTS_NOPLC:SxxRyy\000_COMMON</v>
      </c>
      <c r="AP150" s="56" t="str">
        <f t="shared" si="122"/>
        <v>PLC</v>
      </c>
      <c r="AQ150" s="56" t="str">
        <f t="shared" si="123"/>
        <v>EXIT</v>
      </c>
      <c r="AR150" s="39" t="s">
        <v>130</v>
      </c>
      <c r="AT150" s="44" t="str">
        <f t="shared" si="124"/>
        <v>BOOL</v>
      </c>
      <c r="AU150" s="23">
        <f t="shared" si="125"/>
        <v>0</v>
      </c>
      <c r="AV150" s="23" t="str">
        <f t="shared" si="126"/>
        <v>I</v>
      </c>
      <c r="AW150" s="23" t="str">
        <f t="shared" si="127"/>
        <v xml:space="preserve">I.: </v>
      </c>
      <c r="AX150" s="23" t="str">
        <f t="shared" si="128"/>
        <v>ENBT200:1:I.Data[82].13</v>
      </c>
      <c r="AY150" s="36" t="str">
        <f t="shared" si="129"/>
        <v xml:space="preserve">Controller: &lt;I0201N51.b14&gt; - </v>
      </c>
      <c r="BB150" s="42" t="s">
        <v>17</v>
      </c>
      <c r="BC150" t="s">
        <v>16</v>
      </c>
      <c r="BD150" t="str">
        <f t="shared" si="99"/>
        <v>AB_RACKx_SLOTa</v>
      </c>
      <c r="BR150">
        <v>251</v>
      </c>
      <c r="BS150" t="str">
        <f t="shared" si="130"/>
        <v>ROBOTS:SxxRyy\000_COMMON|ROBOTS_NOPLC:SxxRyy\000_COMMON</v>
      </c>
      <c r="BV150" s="30" t="s">
        <v>601</v>
      </c>
      <c r="BW150" t="str">
        <f t="shared" si="100"/>
        <v>DO[14]</v>
      </c>
      <c r="BX150" t="s">
        <v>386</v>
      </c>
      <c r="BY150" s="42"/>
      <c r="CB150" s="42"/>
      <c r="CE150" s="30"/>
      <c r="CH150" s="42"/>
      <c r="CJ150" t="str">
        <f>Prep!$U$3&amp;":I.Data["&amp;Prep!$U$7&amp;"]."</f>
        <v>ENBT200:1:I.Data[82].</v>
      </c>
      <c r="CK150">
        <v>13</v>
      </c>
      <c r="CM150" t="s">
        <v>75</v>
      </c>
      <c r="CN150" s="30" t="str">
        <f>"I0"&amp;Header_Config03&amp;"N"&amp;TEXT(Prep!$U$6,"00")&amp;"."</f>
        <v>I0201N51.</v>
      </c>
      <c r="CO150" t="s">
        <v>449</v>
      </c>
      <c r="CP150" t="s">
        <v>12</v>
      </c>
      <c r="CQ150" s="40"/>
      <c r="CR150" s="30" t="s">
        <v>602</v>
      </c>
    </row>
    <row r="151" spans="2:96" x14ac:dyDescent="0.35">
      <c r="B151" s="4" t="str">
        <f t="shared" si="101"/>
        <v>FANUC_SxxRyy</v>
      </c>
      <c r="C151" s="4"/>
      <c r="D151" s="4" t="str">
        <f t="shared" si="102"/>
        <v>To_PLC_ActiveStyleBit64</v>
      </c>
      <c r="E151" s="4" t="str">
        <f t="shared" si="103"/>
        <v>ENBT200:1:I.Data[82].14</v>
      </c>
      <c r="F151" s="4" t="str">
        <f t="shared" si="104"/>
        <v>I</v>
      </c>
      <c r="G151" s="4" t="str">
        <f t="shared" si="105"/>
        <v/>
      </c>
      <c r="H151" s="4" t="str">
        <f t="shared" si="106"/>
        <v>Controller: &lt;I0201N51.b15&gt; - ACTIVE STYLE BIT 64 DO15</v>
      </c>
      <c r="I151" s="4" t="str">
        <f t="shared" si="107"/>
        <v>AB_RACKx_SLOTa</v>
      </c>
      <c r="J151" s="4"/>
      <c r="K151" s="56" t="str">
        <f t="shared" si="108"/>
        <v>BOOL</v>
      </c>
      <c r="L151" s="56" t="str">
        <f t="shared" si="4"/>
        <v>ROBOTS\SxxRyy</v>
      </c>
      <c r="M151" s="56" t="str">
        <f t="shared" si="5"/>
        <v>STELLANTIS\Common\ToolPrototype\Robots</v>
      </c>
      <c r="N151" s="56" t="str">
        <f t="shared" si="6"/>
        <v>STELLANTIS_DN_FANUC_ROBOT_128_BIT_INTEGRATED_SAFETY_SxxRyy.v00</v>
      </c>
      <c r="O151" s="56" t="str">
        <f t="shared" si="109"/>
        <v/>
      </c>
      <c r="P151" s="56" t="str">
        <f t="shared" si="110"/>
        <v/>
      </c>
      <c r="Q151" s="56" t="str">
        <f t="shared" si="111"/>
        <v/>
      </c>
      <c r="R151" s="56" t="str">
        <f t="shared" si="112"/>
        <v/>
      </c>
      <c r="S151" s="56" t="str">
        <f t="shared" si="113"/>
        <v/>
      </c>
      <c r="T151" s="56" t="str">
        <f t="shared" si="114"/>
        <v/>
      </c>
      <c r="U151" s="56" t="str">
        <f t="shared" si="115"/>
        <v/>
      </c>
      <c r="V151" s="56" t="str">
        <f t="shared" si="116"/>
        <v/>
      </c>
      <c r="W151" s="56"/>
      <c r="X151" s="56"/>
      <c r="Y151" s="56"/>
      <c r="Z151" s="56" t="str">
        <f t="shared" si="117"/>
        <v/>
      </c>
      <c r="AA151" s="56" t="str">
        <f t="shared" si="118"/>
        <v/>
      </c>
      <c r="AB151" s="56" t="str">
        <f t="shared" si="9"/>
        <v>ToolPrototype</v>
      </c>
      <c r="AC151" s="56" t="str">
        <f t="shared" si="119"/>
        <v/>
      </c>
      <c r="AD151" s="56" t="str">
        <f t="shared" si="10"/>
        <v>&lt;device&gt;
&lt;name&gt;SxxRyy&lt;/name&gt;
&lt;type&gt;FCA_DN_FANUC&lt;/type&gt;
&lt;deviceNetwork&gt;201&lt;/deviceNetwork&gt;
&lt;deviceNode&gt;56&lt;/deviceNode&gt;
&lt;/device&gt;</v>
      </c>
      <c r="AE151" s="56" t="str">
        <f t="shared" si="11"/>
        <v/>
      </c>
      <c r="AF151" s="56" t="str">
        <f t="shared" si="12"/>
        <v/>
      </c>
      <c r="AG151" s="56" t="str">
        <f t="shared" si="13"/>
        <v/>
      </c>
      <c r="AH151" s="56" t="str">
        <f t="shared" si="14"/>
        <v/>
      </c>
      <c r="AI151" s="56" t="str">
        <f t="shared" si="15"/>
        <v/>
      </c>
      <c r="AJ151" s="56" t="str">
        <f t="shared" si="16"/>
        <v/>
      </c>
      <c r="AK151" s="56" t="str">
        <f t="shared" si="17"/>
        <v/>
      </c>
      <c r="AL151" s="56" t="str">
        <f t="shared" si="18"/>
        <v/>
      </c>
      <c r="AM151" s="56" t="str">
        <f t="shared" si="19"/>
        <v/>
      </c>
      <c r="AN151" s="56">
        <f t="shared" si="120"/>
        <v>251</v>
      </c>
      <c r="AO151" s="56" t="str">
        <f t="shared" si="121"/>
        <v>ROBOTS:SxxRyy\000_COMMON|ROBOTS_NOPLC:SxxRyy\000_COMMON</v>
      </c>
      <c r="AP151" s="56" t="str">
        <f t="shared" si="122"/>
        <v>PLC</v>
      </c>
      <c r="AQ151" s="56" t="str">
        <f t="shared" si="123"/>
        <v>EXIT</v>
      </c>
      <c r="AR151" s="39" t="s">
        <v>130</v>
      </c>
      <c r="AT151" s="44" t="str">
        <f t="shared" si="124"/>
        <v>BOOL</v>
      </c>
      <c r="AU151" s="23">
        <f t="shared" si="125"/>
        <v>0</v>
      </c>
      <c r="AV151" s="23" t="str">
        <f t="shared" si="126"/>
        <v>I</v>
      </c>
      <c r="AW151" s="23" t="str">
        <f t="shared" si="127"/>
        <v xml:space="preserve">I.: </v>
      </c>
      <c r="AX151" s="23" t="str">
        <f t="shared" si="128"/>
        <v>ENBT200:1:I.Data[82].14</v>
      </c>
      <c r="AY151" s="36" t="str">
        <f t="shared" si="129"/>
        <v xml:space="preserve">Controller: &lt;I0201N51.b15&gt; - </v>
      </c>
      <c r="BB151" s="42" t="s">
        <v>17</v>
      </c>
      <c r="BC151" t="s">
        <v>16</v>
      </c>
      <c r="BD151" t="str">
        <f t="shared" si="99"/>
        <v>AB_RACKx_SLOTa</v>
      </c>
      <c r="BR151">
        <v>251</v>
      </c>
      <c r="BS151" t="str">
        <f t="shared" si="130"/>
        <v>ROBOTS:SxxRyy\000_COMMON|ROBOTS_NOPLC:SxxRyy\000_COMMON</v>
      </c>
      <c r="BV151" s="30" t="s">
        <v>603</v>
      </c>
      <c r="BW151" t="str">
        <f t="shared" si="100"/>
        <v>DO[15]</v>
      </c>
      <c r="BX151" t="s">
        <v>386</v>
      </c>
      <c r="BY151" s="42"/>
      <c r="CB151" s="42"/>
      <c r="CE151" s="30"/>
      <c r="CH151" s="42"/>
      <c r="CJ151" t="str">
        <f>Prep!$U$3&amp;":I.Data["&amp;Prep!$U$7&amp;"]."</f>
        <v>ENBT200:1:I.Data[82].</v>
      </c>
      <c r="CK151">
        <v>14</v>
      </c>
      <c r="CM151" t="s">
        <v>75</v>
      </c>
      <c r="CN151" s="30" t="str">
        <f>"I0"&amp;Header_Config03&amp;"N"&amp;TEXT(Prep!$U$6,"00")&amp;"."</f>
        <v>I0201N51.</v>
      </c>
      <c r="CO151" t="s">
        <v>452</v>
      </c>
      <c r="CP151" t="s">
        <v>12</v>
      </c>
      <c r="CQ151" s="40"/>
      <c r="CR151" s="30" t="s">
        <v>604</v>
      </c>
    </row>
    <row r="152" spans="2:96" x14ac:dyDescent="0.35">
      <c r="B152" s="4" t="str">
        <f t="shared" si="101"/>
        <v>FANUC_SxxRyy</v>
      </c>
      <c r="C152" s="4"/>
      <c r="D152" s="4" t="str">
        <f t="shared" si="102"/>
        <v>To_PLC_PrgPaused</v>
      </c>
      <c r="E152" s="4" t="str">
        <f t="shared" si="103"/>
        <v>ENBT200:1:I.Data[82].15</v>
      </c>
      <c r="F152" s="4" t="str">
        <f t="shared" si="104"/>
        <v>I</v>
      </c>
      <c r="G152" s="4" t="str">
        <f t="shared" si="105"/>
        <v/>
      </c>
      <c r="H152" s="4" t="str">
        <f t="shared" si="106"/>
        <v>Controller: &lt;I0201N51.b16&gt; - PROGRAM PAUSED DO16</v>
      </c>
      <c r="I152" s="4" t="str">
        <f t="shared" si="107"/>
        <v>AB_RACKx_SLOTa</v>
      </c>
      <c r="J152" s="4"/>
      <c r="K152" s="56" t="str">
        <f t="shared" si="108"/>
        <v>BOOL</v>
      </c>
      <c r="L152" s="56" t="str">
        <f t="shared" si="4"/>
        <v>ROBOTS\SxxRyy</v>
      </c>
      <c r="M152" s="56" t="str">
        <f t="shared" si="5"/>
        <v>STELLANTIS\Common\ToolPrototype\Robots</v>
      </c>
      <c r="N152" s="56" t="str">
        <f t="shared" si="6"/>
        <v>STELLANTIS_DN_FANUC_ROBOT_128_BIT_INTEGRATED_SAFETY_SxxRyy.v00</v>
      </c>
      <c r="O152" s="56" t="str">
        <f t="shared" si="109"/>
        <v/>
      </c>
      <c r="P152" s="56" t="str">
        <f t="shared" si="110"/>
        <v/>
      </c>
      <c r="Q152" s="56" t="str">
        <f t="shared" si="111"/>
        <v/>
      </c>
      <c r="R152" s="56" t="str">
        <f t="shared" si="112"/>
        <v/>
      </c>
      <c r="S152" s="56" t="str">
        <f t="shared" si="113"/>
        <v/>
      </c>
      <c r="T152" s="56" t="str">
        <f t="shared" si="114"/>
        <v/>
      </c>
      <c r="U152" s="56" t="str">
        <f t="shared" si="115"/>
        <v/>
      </c>
      <c r="V152" s="56" t="str">
        <f t="shared" si="116"/>
        <v/>
      </c>
      <c r="W152" s="56"/>
      <c r="X152" s="56"/>
      <c r="Y152" s="56"/>
      <c r="Z152" s="56" t="str">
        <f t="shared" si="117"/>
        <v/>
      </c>
      <c r="AA152" s="56" t="str">
        <f t="shared" si="118"/>
        <v/>
      </c>
      <c r="AB152" s="56" t="str">
        <f t="shared" si="9"/>
        <v>ToolPrototype</v>
      </c>
      <c r="AC152" s="56" t="str">
        <f t="shared" si="119"/>
        <v/>
      </c>
      <c r="AD152" s="56" t="str">
        <f t="shared" si="10"/>
        <v>&lt;device&gt;
&lt;name&gt;SxxRyy&lt;/name&gt;
&lt;type&gt;FCA_DN_FANUC&lt;/type&gt;
&lt;deviceNetwork&gt;201&lt;/deviceNetwork&gt;
&lt;deviceNode&gt;56&lt;/deviceNode&gt;
&lt;/device&gt;</v>
      </c>
      <c r="AE152" s="56" t="str">
        <f t="shared" si="11"/>
        <v/>
      </c>
      <c r="AF152" s="56" t="str">
        <f t="shared" si="12"/>
        <v/>
      </c>
      <c r="AG152" s="56" t="str">
        <f t="shared" si="13"/>
        <v/>
      </c>
      <c r="AH152" s="56" t="str">
        <f t="shared" si="14"/>
        <v/>
      </c>
      <c r="AI152" s="56" t="str">
        <f t="shared" si="15"/>
        <v/>
      </c>
      <c r="AJ152" s="56" t="str">
        <f t="shared" si="16"/>
        <v/>
      </c>
      <c r="AK152" s="56" t="str">
        <f t="shared" si="17"/>
        <v/>
      </c>
      <c r="AL152" s="56" t="str">
        <f t="shared" si="18"/>
        <v/>
      </c>
      <c r="AM152" s="56" t="str">
        <f t="shared" si="19"/>
        <v/>
      </c>
      <c r="AN152" s="56" t="str">
        <f t="shared" si="120"/>
        <v/>
      </c>
      <c r="AO152" s="56" t="str">
        <f t="shared" si="121"/>
        <v/>
      </c>
      <c r="AP152" s="56" t="str">
        <f t="shared" si="122"/>
        <v>PLC</v>
      </c>
      <c r="AQ152" s="56" t="str">
        <f t="shared" si="123"/>
        <v>EXIT</v>
      </c>
      <c r="AR152" s="39" t="s">
        <v>130</v>
      </c>
      <c r="AT152" s="44" t="str">
        <f t="shared" si="124"/>
        <v>BOOL</v>
      </c>
      <c r="AU152" s="23">
        <f t="shared" si="125"/>
        <v>0</v>
      </c>
      <c r="AV152" s="23" t="str">
        <f t="shared" si="126"/>
        <v>I</v>
      </c>
      <c r="AW152" s="23" t="str">
        <f t="shared" si="127"/>
        <v xml:space="preserve">I.: </v>
      </c>
      <c r="AX152" s="23" t="str">
        <f t="shared" si="128"/>
        <v>ENBT200:1:I.Data[82].15</v>
      </c>
      <c r="AY152" s="36" t="str">
        <f t="shared" si="129"/>
        <v xml:space="preserve">Controller: &lt;I0201N51.b16&gt; - </v>
      </c>
      <c r="BB152" s="42" t="s">
        <v>17</v>
      </c>
      <c r="BC152" t="s">
        <v>16</v>
      </c>
      <c r="BD152" t="str">
        <f t="shared" si="99"/>
        <v>AB_RACKx_SLOTa</v>
      </c>
      <c r="BV152" s="30" t="s">
        <v>605</v>
      </c>
      <c r="BW152" t="str">
        <f t="shared" si="100"/>
        <v>DO[16]</v>
      </c>
      <c r="BY152" s="42"/>
      <c r="CB152" s="42"/>
      <c r="CE152" s="30"/>
      <c r="CH152" s="42"/>
      <c r="CJ152" t="str">
        <f>Prep!$U$3&amp;":I.Data["&amp;Prep!$U$7&amp;"]."</f>
        <v>ENBT200:1:I.Data[82].</v>
      </c>
      <c r="CK152">
        <v>15</v>
      </c>
      <c r="CM152" t="s">
        <v>75</v>
      </c>
      <c r="CN152" s="30" t="str">
        <f>"I0"&amp;Header_Config03&amp;"N"&amp;TEXT(Prep!$U$6,"00")&amp;"."</f>
        <v>I0201N51.</v>
      </c>
      <c r="CO152" t="s">
        <v>263</v>
      </c>
      <c r="CP152" t="s">
        <v>12</v>
      </c>
      <c r="CQ152" s="40"/>
      <c r="CR152" s="30" t="s">
        <v>606</v>
      </c>
    </row>
    <row r="153" spans="2:96" x14ac:dyDescent="0.35">
      <c r="B153" s="4" t="str">
        <f t="shared" si="101"/>
        <v>FANUC_SxxRyy</v>
      </c>
      <c r="C153" s="4"/>
      <c r="D153" s="4" t="str">
        <f t="shared" si="102"/>
        <v>To_PLC_PrgRunning</v>
      </c>
      <c r="E153" s="4" t="str">
        <f t="shared" si="103"/>
        <v>ENBT200:1:I.Data[82].16</v>
      </c>
      <c r="F153" s="4" t="str">
        <f t="shared" si="104"/>
        <v>I</v>
      </c>
      <c r="G153" s="4" t="str">
        <f t="shared" si="105"/>
        <v/>
      </c>
      <c r="H153" s="4" t="str">
        <f t="shared" si="106"/>
        <v>Controller: &lt;I0201N51.b17&gt; - PROGRAM RUNNING DO17</v>
      </c>
      <c r="I153" s="4" t="str">
        <f t="shared" si="107"/>
        <v>AB_RACKx_SLOTa</v>
      </c>
      <c r="J153" s="4"/>
      <c r="K153" s="56" t="str">
        <f t="shared" si="108"/>
        <v>BOOL</v>
      </c>
      <c r="L153" s="56" t="str">
        <f t="shared" si="4"/>
        <v>ROBOTS\SxxRyy</v>
      </c>
      <c r="M153" s="56" t="str">
        <f t="shared" si="5"/>
        <v>STELLANTIS\Common\ToolPrototype\Robots</v>
      </c>
      <c r="N153" s="56" t="str">
        <f t="shared" si="6"/>
        <v>STELLANTIS_DN_FANUC_ROBOT_128_BIT_INTEGRATED_SAFETY_SxxRyy.v00</v>
      </c>
      <c r="O153" s="56" t="str">
        <f t="shared" si="109"/>
        <v/>
      </c>
      <c r="P153" s="56" t="str">
        <f t="shared" si="110"/>
        <v/>
      </c>
      <c r="Q153" s="56" t="str">
        <f t="shared" si="111"/>
        <v/>
      </c>
      <c r="R153" s="56" t="str">
        <f t="shared" si="112"/>
        <v/>
      </c>
      <c r="S153" s="56" t="str">
        <f t="shared" si="113"/>
        <v/>
      </c>
      <c r="T153" s="56" t="str">
        <f t="shared" si="114"/>
        <v/>
      </c>
      <c r="U153" s="56" t="str">
        <f t="shared" si="115"/>
        <v/>
      </c>
      <c r="V153" s="56" t="str">
        <f t="shared" si="116"/>
        <v/>
      </c>
      <c r="W153" s="56"/>
      <c r="X153" s="56"/>
      <c r="Y153" s="56"/>
      <c r="Z153" s="56" t="str">
        <f t="shared" si="117"/>
        <v/>
      </c>
      <c r="AA153" s="56" t="str">
        <f t="shared" si="118"/>
        <v/>
      </c>
      <c r="AB153" s="56" t="str">
        <f t="shared" si="9"/>
        <v>ToolPrototype</v>
      </c>
      <c r="AC153" s="56" t="str">
        <f t="shared" si="119"/>
        <v/>
      </c>
      <c r="AD153" s="56" t="str">
        <f t="shared" si="10"/>
        <v>&lt;device&gt;
&lt;name&gt;SxxRyy&lt;/name&gt;
&lt;type&gt;FCA_DN_FANUC&lt;/type&gt;
&lt;deviceNetwork&gt;201&lt;/deviceNetwork&gt;
&lt;deviceNode&gt;56&lt;/deviceNode&gt;
&lt;/device&gt;</v>
      </c>
      <c r="AE153" s="56" t="str">
        <f t="shared" si="11"/>
        <v/>
      </c>
      <c r="AF153" s="56" t="str">
        <f t="shared" si="12"/>
        <v/>
      </c>
      <c r="AG153" s="56" t="str">
        <f t="shared" si="13"/>
        <v/>
      </c>
      <c r="AH153" s="56" t="str">
        <f t="shared" si="14"/>
        <v/>
      </c>
      <c r="AI153" s="56" t="str">
        <f t="shared" si="15"/>
        <v/>
      </c>
      <c r="AJ153" s="56" t="str">
        <f t="shared" si="16"/>
        <v/>
      </c>
      <c r="AK153" s="56" t="str">
        <f t="shared" si="17"/>
        <v/>
      </c>
      <c r="AL153" s="56" t="str">
        <f t="shared" si="18"/>
        <v/>
      </c>
      <c r="AM153" s="56" t="str">
        <f t="shared" si="19"/>
        <v/>
      </c>
      <c r="AN153" s="56" t="str">
        <f t="shared" si="120"/>
        <v/>
      </c>
      <c r="AO153" s="56" t="str">
        <f t="shared" si="121"/>
        <v/>
      </c>
      <c r="AP153" s="56" t="str">
        <f t="shared" si="122"/>
        <v>PLC</v>
      </c>
      <c r="AQ153" s="56" t="str">
        <f t="shared" si="123"/>
        <v>EXIT</v>
      </c>
      <c r="AR153" s="39" t="s">
        <v>130</v>
      </c>
      <c r="AT153" s="44" t="str">
        <f t="shared" si="124"/>
        <v>BOOL</v>
      </c>
      <c r="AU153" s="23">
        <f t="shared" si="125"/>
        <v>0</v>
      </c>
      <c r="AV153" s="23" t="str">
        <f t="shared" si="126"/>
        <v>I</v>
      </c>
      <c r="AW153" s="23" t="str">
        <f t="shared" si="127"/>
        <v xml:space="preserve">I.: </v>
      </c>
      <c r="AX153" s="23" t="str">
        <f t="shared" si="128"/>
        <v>ENBT200:1:I.Data[82].16</v>
      </c>
      <c r="AY153" s="36" t="str">
        <f t="shared" si="129"/>
        <v xml:space="preserve">Controller: &lt;I0201N51.b17&gt; - </v>
      </c>
      <c r="BB153" s="42" t="s">
        <v>17</v>
      </c>
      <c r="BC153" t="s">
        <v>16</v>
      </c>
      <c r="BD153" t="str">
        <f t="shared" si="99"/>
        <v>AB_RACKx_SLOTa</v>
      </c>
      <c r="BV153" s="30" t="s">
        <v>607</v>
      </c>
      <c r="BW153" t="str">
        <f t="shared" si="100"/>
        <v>DO[17]</v>
      </c>
      <c r="BY153" s="42"/>
      <c r="CB153" s="42"/>
      <c r="CE153" s="30"/>
      <c r="CH153" s="42"/>
      <c r="CJ153" t="str">
        <f>Prep!$U$3&amp;":I.Data["&amp;Prep!$U$7&amp;"]."</f>
        <v>ENBT200:1:I.Data[82].</v>
      </c>
      <c r="CK153">
        <v>16</v>
      </c>
      <c r="CM153" t="s">
        <v>75</v>
      </c>
      <c r="CN153" s="30" t="str">
        <f>"I0"&amp;Header_Config03&amp;"N"&amp;TEXT(Prep!$U$6,"00")&amp;"."</f>
        <v>I0201N51.</v>
      </c>
      <c r="CO153" t="s">
        <v>264</v>
      </c>
      <c r="CP153" t="s">
        <v>12</v>
      </c>
      <c r="CQ153" s="40"/>
      <c r="CR153" s="30" t="s">
        <v>608</v>
      </c>
    </row>
    <row r="154" spans="2:96" x14ac:dyDescent="0.35">
      <c r="B154" s="4" t="str">
        <f t="shared" si="101"/>
        <v>FANUC_SxxRyy</v>
      </c>
      <c r="C154" s="4"/>
      <c r="D154" s="4" t="str">
        <f t="shared" si="102"/>
        <v>To_PLC_TwentyHourRunModeAct</v>
      </c>
      <c r="E154" s="4" t="str">
        <f t="shared" si="103"/>
        <v>ENBT200:1:I.Data[82].19</v>
      </c>
      <c r="F154" s="4" t="str">
        <f t="shared" si="104"/>
        <v>I</v>
      </c>
      <c r="G154" s="4" t="str">
        <f t="shared" si="105"/>
        <v/>
      </c>
      <c r="H154" s="4" t="str">
        <f t="shared" si="106"/>
        <v>Controller: &lt;I0201N51.b20&gt; - 20 HOUR RUN MODE ACTIVE DO20</v>
      </c>
      <c r="I154" s="4" t="str">
        <f t="shared" si="107"/>
        <v>AB_RACKx_SLOTa</v>
      </c>
      <c r="J154" s="4"/>
      <c r="K154" s="56" t="str">
        <f t="shared" si="108"/>
        <v>BOOL</v>
      </c>
      <c r="L154" s="56" t="str">
        <f t="shared" si="4"/>
        <v>ROBOTS\SxxRyy</v>
      </c>
      <c r="M154" s="56" t="str">
        <f t="shared" si="5"/>
        <v>STELLANTIS\Common\ToolPrototype\Robots</v>
      </c>
      <c r="N154" s="56" t="str">
        <f t="shared" si="6"/>
        <v>STELLANTIS_DN_FANUC_ROBOT_128_BIT_INTEGRATED_SAFETY_SxxRyy.v00</v>
      </c>
      <c r="O154" s="56" t="str">
        <f t="shared" si="109"/>
        <v/>
      </c>
      <c r="P154" s="56" t="str">
        <f t="shared" si="110"/>
        <v/>
      </c>
      <c r="Q154" s="56" t="str">
        <f t="shared" si="111"/>
        <v/>
      </c>
      <c r="R154" s="56" t="str">
        <f t="shared" si="112"/>
        <v/>
      </c>
      <c r="S154" s="56" t="str">
        <f t="shared" si="113"/>
        <v/>
      </c>
      <c r="T154" s="56" t="str">
        <f t="shared" si="114"/>
        <v/>
      </c>
      <c r="U154" s="56" t="str">
        <f t="shared" si="115"/>
        <v/>
      </c>
      <c r="V154" s="56" t="str">
        <f t="shared" si="116"/>
        <v/>
      </c>
      <c r="W154" s="56"/>
      <c r="X154" s="56"/>
      <c r="Y154" s="56"/>
      <c r="Z154" s="56" t="str">
        <f t="shared" si="117"/>
        <v/>
      </c>
      <c r="AA154" s="56" t="str">
        <f t="shared" si="118"/>
        <v/>
      </c>
      <c r="AB154" s="56" t="str">
        <f t="shared" si="9"/>
        <v>ToolPrototype</v>
      </c>
      <c r="AC154" s="56" t="str">
        <f t="shared" si="119"/>
        <v/>
      </c>
      <c r="AD154" s="56" t="str">
        <f t="shared" si="10"/>
        <v>&lt;device&gt;
&lt;name&gt;SxxRyy&lt;/name&gt;
&lt;type&gt;FCA_DN_FANUC&lt;/type&gt;
&lt;deviceNetwork&gt;201&lt;/deviceNetwork&gt;
&lt;deviceNode&gt;56&lt;/deviceNode&gt;
&lt;/device&gt;</v>
      </c>
      <c r="AE154" s="56" t="str">
        <f t="shared" si="11"/>
        <v/>
      </c>
      <c r="AF154" s="56" t="str">
        <f t="shared" si="12"/>
        <v/>
      </c>
      <c r="AG154" s="56" t="str">
        <f t="shared" si="13"/>
        <v/>
      </c>
      <c r="AH154" s="56" t="str">
        <f t="shared" si="14"/>
        <v/>
      </c>
      <c r="AI154" s="56" t="str">
        <f t="shared" si="15"/>
        <v/>
      </c>
      <c r="AJ154" s="56" t="str">
        <f t="shared" si="16"/>
        <v/>
      </c>
      <c r="AK154" s="56" t="str">
        <f t="shared" si="17"/>
        <v/>
      </c>
      <c r="AL154" s="56" t="str">
        <f t="shared" si="18"/>
        <v/>
      </c>
      <c r="AM154" s="56" t="str">
        <f t="shared" si="19"/>
        <v/>
      </c>
      <c r="AN154" s="56">
        <f t="shared" si="120"/>
        <v>249</v>
      </c>
      <c r="AO154" s="56" t="str">
        <f t="shared" si="121"/>
        <v>ROBOTS:SxxRyy\000_COMMON|ROBOTS_NOPLC:SxxRyy\000_COMMON</v>
      </c>
      <c r="AP154" s="56" t="str">
        <f t="shared" si="122"/>
        <v>PLC</v>
      </c>
      <c r="AQ154" s="56" t="str">
        <f t="shared" si="123"/>
        <v>EXIT</v>
      </c>
      <c r="AR154" s="39" t="s">
        <v>130</v>
      </c>
      <c r="AT154" s="44" t="str">
        <f t="shared" si="124"/>
        <v>BOOL</v>
      </c>
      <c r="AU154" s="23">
        <f t="shared" si="125"/>
        <v>0</v>
      </c>
      <c r="AV154" s="23" t="str">
        <f t="shared" si="126"/>
        <v>I</v>
      </c>
      <c r="AW154" s="23" t="str">
        <f t="shared" si="127"/>
        <v xml:space="preserve">I.: </v>
      </c>
      <c r="AX154" s="23" t="str">
        <f t="shared" si="128"/>
        <v>ENBT200:1:I.Data[82].19</v>
      </c>
      <c r="AY154" s="36" t="str">
        <f t="shared" si="129"/>
        <v xml:space="preserve">Controller: &lt;I0201N51.b20&gt; - </v>
      </c>
      <c r="BB154" s="42" t="s">
        <v>17</v>
      </c>
      <c r="BC154" t="s">
        <v>16</v>
      </c>
      <c r="BD154" t="str">
        <f t="shared" si="99"/>
        <v>AB_RACKx_SLOTa</v>
      </c>
      <c r="BR154">
        <v>249</v>
      </c>
      <c r="BS154" t="str">
        <f t="shared" si="130"/>
        <v>ROBOTS:SxxRyy\000_COMMON|ROBOTS_NOPLC:SxxRyy\000_COMMON</v>
      </c>
      <c r="BV154" s="30" t="s">
        <v>609</v>
      </c>
      <c r="BW154" t="str">
        <f t="shared" si="100"/>
        <v>DO[20]</v>
      </c>
      <c r="BY154" s="42"/>
      <c r="CB154" s="42"/>
      <c r="CE154" s="30"/>
      <c r="CH154" s="42"/>
      <c r="CJ154" t="str">
        <f>Prep!$U$3&amp;":I.Data["&amp;Prep!$U$7&amp;"]."</f>
        <v>ENBT200:1:I.Data[82].</v>
      </c>
      <c r="CK154">
        <v>19</v>
      </c>
      <c r="CM154" t="s">
        <v>75</v>
      </c>
      <c r="CN154" s="30" t="str">
        <f>"I0"&amp;Header_Config03&amp;"N"&amp;TEXT(Prep!$U$6,"00")&amp;"."</f>
        <v>I0201N51.</v>
      </c>
      <c r="CO154" t="s">
        <v>283</v>
      </c>
      <c r="CP154" t="s">
        <v>12</v>
      </c>
      <c r="CQ154" s="40"/>
      <c r="CR154" s="30" t="s">
        <v>610</v>
      </c>
    </row>
    <row r="155" spans="2:96" x14ac:dyDescent="0.35">
      <c r="B155" s="4" t="str">
        <f t="shared" si="101"/>
        <v>FANUC_SxxRyy</v>
      </c>
      <c r="C155" s="4"/>
      <c r="D155" s="4" t="str">
        <f t="shared" si="102"/>
        <v>To_PLC_MaintReqBit1</v>
      </c>
      <c r="E155" s="4" t="str">
        <f t="shared" si="103"/>
        <v>ENBT200:1:I.Data[82].20</v>
      </c>
      <c r="F155" s="4" t="str">
        <f t="shared" si="104"/>
        <v>I</v>
      </c>
      <c r="G155" s="4" t="str">
        <f t="shared" si="105"/>
        <v/>
      </c>
      <c r="H155" s="4" t="str">
        <f t="shared" si="106"/>
        <v>Controller: &lt;I0201N51.b21&gt; - MAINTENANCE REQUEST 1 DO21</v>
      </c>
      <c r="I155" s="4" t="str">
        <f t="shared" si="107"/>
        <v>AB_RACKx_SLOTa</v>
      </c>
      <c r="J155" s="4"/>
      <c r="K155" s="56" t="str">
        <f t="shared" si="108"/>
        <v>BOOL</v>
      </c>
      <c r="L155" s="56" t="str">
        <f t="shared" si="4"/>
        <v>ROBOTS\SxxRyy</v>
      </c>
      <c r="M155" s="56" t="str">
        <f t="shared" si="5"/>
        <v>STELLANTIS\Common\ToolPrototype\Robots</v>
      </c>
      <c r="N155" s="56" t="str">
        <f t="shared" si="6"/>
        <v>STELLANTIS_DN_FANUC_ROBOT_128_BIT_INTEGRATED_SAFETY_SxxRyy.v00</v>
      </c>
      <c r="O155" s="56" t="str">
        <f t="shared" si="109"/>
        <v/>
      </c>
      <c r="P155" s="56" t="str">
        <f t="shared" si="110"/>
        <v/>
      </c>
      <c r="Q155" s="56" t="str">
        <f t="shared" si="111"/>
        <v/>
      </c>
      <c r="R155" s="56" t="str">
        <f t="shared" si="112"/>
        <v/>
      </c>
      <c r="S155" s="56" t="str">
        <f t="shared" si="113"/>
        <v/>
      </c>
      <c r="T155" s="56" t="str">
        <f t="shared" si="114"/>
        <v/>
      </c>
      <c r="U155" s="56" t="str">
        <f t="shared" si="115"/>
        <v/>
      </c>
      <c r="V155" s="56" t="str">
        <f t="shared" si="116"/>
        <v/>
      </c>
      <c r="W155" s="56"/>
      <c r="X155" s="56"/>
      <c r="Y155" s="56"/>
      <c r="Z155" s="56" t="str">
        <f t="shared" si="117"/>
        <v/>
      </c>
      <c r="AA155" s="56" t="str">
        <f t="shared" si="118"/>
        <v/>
      </c>
      <c r="AB155" s="56" t="str">
        <f t="shared" si="9"/>
        <v>ToolPrototype</v>
      </c>
      <c r="AC155" s="56" t="str">
        <f t="shared" si="119"/>
        <v/>
      </c>
      <c r="AD155" s="56" t="str">
        <f t="shared" si="10"/>
        <v>&lt;device&gt;
&lt;name&gt;SxxRyy&lt;/name&gt;
&lt;type&gt;FCA_DN_FANUC&lt;/type&gt;
&lt;deviceNetwork&gt;201&lt;/deviceNetwork&gt;
&lt;deviceNode&gt;56&lt;/deviceNode&gt;
&lt;/device&gt;</v>
      </c>
      <c r="AE155" s="56" t="str">
        <f t="shared" si="11"/>
        <v/>
      </c>
      <c r="AF155" s="56" t="str">
        <f t="shared" si="12"/>
        <v/>
      </c>
      <c r="AG155" s="56" t="str">
        <f t="shared" si="13"/>
        <v/>
      </c>
      <c r="AH155" s="56" t="str">
        <f t="shared" si="14"/>
        <v/>
      </c>
      <c r="AI155" s="56" t="str">
        <f t="shared" si="15"/>
        <v/>
      </c>
      <c r="AJ155" s="56" t="str">
        <f t="shared" si="16"/>
        <v/>
      </c>
      <c r="AK155" s="56" t="str">
        <f t="shared" si="17"/>
        <v/>
      </c>
      <c r="AL155" s="56" t="str">
        <f t="shared" si="18"/>
        <v/>
      </c>
      <c r="AM155" s="56" t="str">
        <f t="shared" si="19"/>
        <v/>
      </c>
      <c r="AN155" s="56">
        <f t="shared" si="120"/>
        <v>251</v>
      </c>
      <c r="AO155" s="56" t="str">
        <f t="shared" si="121"/>
        <v>ROBOTS:SxxRyy\000_COMMON|ROBOTS_NOPLC:SxxRyy\000_COMMON</v>
      </c>
      <c r="AP155" s="56" t="str">
        <f t="shared" si="122"/>
        <v>PLC</v>
      </c>
      <c r="AQ155" s="56" t="str">
        <f t="shared" si="123"/>
        <v>EXIT</v>
      </c>
      <c r="AR155" s="39" t="s">
        <v>130</v>
      </c>
      <c r="AT155" s="44" t="str">
        <f t="shared" si="124"/>
        <v>BOOL</v>
      </c>
      <c r="AU155" s="23">
        <f t="shared" si="125"/>
        <v>0</v>
      </c>
      <c r="AV155" s="23" t="str">
        <f t="shared" si="126"/>
        <v>I</v>
      </c>
      <c r="AW155" s="23" t="str">
        <f t="shared" si="127"/>
        <v xml:space="preserve">I.: </v>
      </c>
      <c r="AX155" s="23" t="str">
        <f t="shared" si="128"/>
        <v>ENBT200:1:I.Data[82].20</v>
      </c>
      <c r="AY155" s="36" t="str">
        <f t="shared" si="129"/>
        <v xml:space="preserve">Controller: &lt;I0201N51.b21&gt; - </v>
      </c>
      <c r="BB155" s="42" t="s">
        <v>17</v>
      </c>
      <c r="BC155" t="s">
        <v>16</v>
      </c>
      <c r="BD155" t="str">
        <f t="shared" si="99"/>
        <v>AB_RACKx_SLOTa</v>
      </c>
      <c r="BR155">
        <v>251</v>
      </c>
      <c r="BS155" t="str">
        <f t="shared" si="130"/>
        <v>ROBOTS:SxxRyy\000_COMMON|ROBOTS_NOPLC:SxxRyy\000_COMMON</v>
      </c>
      <c r="BV155" s="30" t="s">
        <v>611</v>
      </c>
      <c r="BW155" t="str">
        <f t="shared" si="100"/>
        <v>DO[21]</v>
      </c>
      <c r="BX155" t="s">
        <v>612</v>
      </c>
      <c r="BY155" s="42"/>
      <c r="CB155" s="42"/>
      <c r="CE155" s="30"/>
      <c r="CH155" s="42"/>
      <c r="CJ155" t="str">
        <f>Prep!$U$3&amp;":I.Data["&amp;Prep!$U$7&amp;"]."</f>
        <v>ENBT200:1:I.Data[82].</v>
      </c>
      <c r="CK155">
        <v>20</v>
      </c>
      <c r="CM155" t="s">
        <v>75</v>
      </c>
      <c r="CN155" s="30" t="str">
        <f>"I0"&amp;Header_Config03&amp;"N"&amp;TEXT(Prep!$U$6,"00")&amp;"."</f>
        <v>I0201N51.</v>
      </c>
      <c r="CO155" t="s">
        <v>284</v>
      </c>
      <c r="CP155" t="s">
        <v>12</v>
      </c>
      <c r="CQ155" s="40"/>
      <c r="CR155" s="30" t="s">
        <v>613</v>
      </c>
    </row>
    <row r="156" spans="2:96" x14ac:dyDescent="0.35">
      <c r="B156" s="4" t="str">
        <f t="shared" si="101"/>
        <v>FANUC_SxxRyy</v>
      </c>
      <c r="C156" s="4"/>
      <c r="D156" s="4" t="str">
        <f t="shared" si="102"/>
        <v>To_PLC_MaintReqBit2</v>
      </c>
      <c r="E156" s="4" t="str">
        <f t="shared" si="103"/>
        <v>ENBT200:1:I.Data[82].21</v>
      </c>
      <c r="F156" s="4" t="str">
        <f t="shared" si="104"/>
        <v>I</v>
      </c>
      <c r="G156" s="4" t="str">
        <f t="shared" si="105"/>
        <v/>
      </c>
      <c r="H156" s="4" t="str">
        <f t="shared" si="106"/>
        <v>Controller: &lt;I0201N51.b22&gt; - MAINTENANCE REQUEST 2 DO22</v>
      </c>
      <c r="I156" s="4" t="str">
        <f t="shared" si="107"/>
        <v>AB_RACKx_SLOTa</v>
      </c>
      <c r="J156" s="4"/>
      <c r="K156" s="56" t="str">
        <f t="shared" si="108"/>
        <v>BOOL</v>
      </c>
      <c r="L156" s="56" t="str">
        <f t="shared" si="4"/>
        <v>ROBOTS\SxxRyy</v>
      </c>
      <c r="M156" s="56" t="str">
        <f t="shared" si="5"/>
        <v>STELLANTIS\Common\ToolPrototype\Robots</v>
      </c>
      <c r="N156" s="56" t="str">
        <f t="shared" si="6"/>
        <v>STELLANTIS_DN_FANUC_ROBOT_128_BIT_INTEGRATED_SAFETY_SxxRyy.v00</v>
      </c>
      <c r="O156" s="56" t="str">
        <f t="shared" si="109"/>
        <v/>
      </c>
      <c r="P156" s="56" t="str">
        <f t="shared" si="110"/>
        <v/>
      </c>
      <c r="Q156" s="56" t="str">
        <f t="shared" si="111"/>
        <v/>
      </c>
      <c r="R156" s="56" t="str">
        <f t="shared" si="112"/>
        <v/>
      </c>
      <c r="S156" s="56" t="str">
        <f t="shared" si="113"/>
        <v/>
      </c>
      <c r="T156" s="56" t="str">
        <f t="shared" si="114"/>
        <v/>
      </c>
      <c r="U156" s="56" t="str">
        <f t="shared" si="115"/>
        <v/>
      </c>
      <c r="V156" s="56" t="str">
        <f t="shared" si="116"/>
        <v/>
      </c>
      <c r="W156" s="56"/>
      <c r="X156" s="56"/>
      <c r="Y156" s="56"/>
      <c r="Z156" s="56" t="str">
        <f t="shared" si="117"/>
        <v/>
      </c>
      <c r="AA156" s="56" t="str">
        <f t="shared" si="118"/>
        <v/>
      </c>
      <c r="AB156" s="56" t="str">
        <f t="shared" si="9"/>
        <v>ToolPrototype</v>
      </c>
      <c r="AC156" s="56" t="str">
        <f t="shared" si="119"/>
        <v/>
      </c>
      <c r="AD156" s="56" t="str">
        <f t="shared" si="10"/>
        <v>&lt;device&gt;
&lt;name&gt;SxxRyy&lt;/name&gt;
&lt;type&gt;FCA_DN_FANUC&lt;/type&gt;
&lt;deviceNetwork&gt;201&lt;/deviceNetwork&gt;
&lt;deviceNode&gt;56&lt;/deviceNode&gt;
&lt;/device&gt;</v>
      </c>
      <c r="AE156" s="56" t="str">
        <f t="shared" si="11"/>
        <v/>
      </c>
      <c r="AF156" s="56" t="str">
        <f t="shared" si="12"/>
        <v/>
      </c>
      <c r="AG156" s="56" t="str">
        <f t="shared" si="13"/>
        <v/>
      </c>
      <c r="AH156" s="56" t="str">
        <f t="shared" si="14"/>
        <v/>
      </c>
      <c r="AI156" s="56" t="str">
        <f t="shared" si="15"/>
        <v/>
      </c>
      <c r="AJ156" s="56" t="str">
        <f t="shared" si="16"/>
        <v/>
      </c>
      <c r="AK156" s="56" t="str">
        <f t="shared" si="17"/>
        <v/>
      </c>
      <c r="AL156" s="56" t="str">
        <f t="shared" si="18"/>
        <v/>
      </c>
      <c r="AM156" s="56" t="str">
        <f t="shared" si="19"/>
        <v/>
      </c>
      <c r="AN156" s="56">
        <f t="shared" si="120"/>
        <v>251</v>
      </c>
      <c r="AO156" s="56" t="str">
        <f t="shared" si="121"/>
        <v>ROBOTS:SxxRyy\000_COMMON|ROBOTS_NOPLC:SxxRyy\000_COMMON</v>
      </c>
      <c r="AP156" s="56" t="str">
        <f t="shared" si="122"/>
        <v>PLC</v>
      </c>
      <c r="AQ156" s="56" t="str">
        <f t="shared" si="123"/>
        <v>EXIT</v>
      </c>
      <c r="AR156" s="39" t="s">
        <v>130</v>
      </c>
      <c r="AT156" s="44" t="str">
        <f t="shared" si="124"/>
        <v>BOOL</v>
      </c>
      <c r="AU156" s="23">
        <f t="shared" si="125"/>
        <v>0</v>
      </c>
      <c r="AV156" s="23" t="str">
        <f t="shared" si="126"/>
        <v>I</v>
      </c>
      <c r="AW156" s="23" t="str">
        <f t="shared" si="127"/>
        <v xml:space="preserve">I.: </v>
      </c>
      <c r="AX156" s="23" t="str">
        <f t="shared" si="128"/>
        <v>ENBT200:1:I.Data[82].21</v>
      </c>
      <c r="AY156" s="36" t="str">
        <f t="shared" si="129"/>
        <v xml:space="preserve">Controller: &lt;I0201N51.b22&gt; - </v>
      </c>
      <c r="BB156" s="42" t="s">
        <v>17</v>
      </c>
      <c r="BC156" t="s">
        <v>16</v>
      </c>
      <c r="BD156" t="str">
        <f t="shared" si="99"/>
        <v>AB_RACKx_SLOTa</v>
      </c>
      <c r="BR156">
        <v>251</v>
      </c>
      <c r="BS156" t="str">
        <f t="shared" si="130"/>
        <v>ROBOTS:SxxRyy\000_COMMON|ROBOTS_NOPLC:SxxRyy\000_COMMON</v>
      </c>
      <c r="BV156" s="30" t="s">
        <v>614</v>
      </c>
      <c r="BW156" t="str">
        <f t="shared" si="100"/>
        <v>DO[22]</v>
      </c>
      <c r="BX156" t="s">
        <v>612</v>
      </c>
      <c r="BY156" s="42"/>
      <c r="CB156" s="42"/>
      <c r="CE156" s="30"/>
      <c r="CH156" s="42"/>
      <c r="CJ156" t="str">
        <f>Prep!$U$3&amp;":I.Data["&amp;Prep!$U$7&amp;"]."</f>
        <v>ENBT200:1:I.Data[82].</v>
      </c>
      <c r="CK156">
        <v>21</v>
      </c>
      <c r="CM156" t="s">
        <v>75</v>
      </c>
      <c r="CN156" s="30" t="str">
        <f>"I0"&amp;Header_Config03&amp;"N"&amp;TEXT(Prep!$U$6,"00")&amp;"."</f>
        <v>I0201N51.</v>
      </c>
      <c r="CO156" t="s">
        <v>285</v>
      </c>
      <c r="CP156" t="s">
        <v>12</v>
      </c>
      <c r="CQ156" s="40"/>
      <c r="CR156" s="30" t="s">
        <v>615</v>
      </c>
    </row>
    <row r="157" spans="2:96" x14ac:dyDescent="0.35">
      <c r="B157" s="4" t="str">
        <f t="shared" si="101"/>
        <v>FANUC_SxxRyy</v>
      </c>
      <c r="C157" s="4"/>
      <c r="D157" s="4" t="str">
        <f t="shared" si="102"/>
        <v>To_PLC_MaintReqBit4</v>
      </c>
      <c r="E157" s="4" t="str">
        <f t="shared" si="103"/>
        <v>ENBT200:1:I.Data[82].22</v>
      </c>
      <c r="F157" s="4" t="str">
        <f t="shared" si="104"/>
        <v>I</v>
      </c>
      <c r="G157" s="4" t="str">
        <f t="shared" si="105"/>
        <v/>
      </c>
      <c r="H157" s="4" t="str">
        <f t="shared" si="106"/>
        <v>Controller: &lt;I0201N51.b23&gt; - MAINTENANCE REQUEST 4 DO23</v>
      </c>
      <c r="I157" s="4" t="str">
        <f t="shared" si="107"/>
        <v>AB_RACKx_SLOTa</v>
      </c>
      <c r="J157" s="4"/>
      <c r="K157" s="56" t="str">
        <f t="shared" si="108"/>
        <v>BOOL</v>
      </c>
      <c r="L157" s="56" t="str">
        <f t="shared" si="4"/>
        <v>ROBOTS\SxxRyy</v>
      </c>
      <c r="M157" s="56" t="str">
        <f t="shared" si="5"/>
        <v>STELLANTIS\Common\ToolPrototype\Robots</v>
      </c>
      <c r="N157" s="56" t="str">
        <f t="shared" si="6"/>
        <v>STELLANTIS_DN_FANUC_ROBOT_128_BIT_INTEGRATED_SAFETY_SxxRyy.v00</v>
      </c>
      <c r="O157" s="56" t="str">
        <f t="shared" si="109"/>
        <v/>
      </c>
      <c r="P157" s="56" t="str">
        <f t="shared" si="110"/>
        <v/>
      </c>
      <c r="Q157" s="56" t="str">
        <f t="shared" si="111"/>
        <v/>
      </c>
      <c r="R157" s="56" t="str">
        <f t="shared" si="112"/>
        <v/>
      </c>
      <c r="S157" s="56" t="str">
        <f t="shared" si="113"/>
        <v/>
      </c>
      <c r="T157" s="56" t="str">
        <f t="shared" si="114"/>
        <v/>
      </c>
      <c r="U157" s="56" t="str">
        <f t="shared" si="115"/>
        <v/>
      </c>
      <c r="V157" s="56" t="str">
        <f t="shared" si="116"/>
        <v/>
      </c>
      <c r="W157" s="56"/>
      <c r="X157" s="56"/>
      <c r="Y157" s="56"/>
      <c r="Z157" s="56" t="str">
        <f t="shared" si="117"/>
        <v/>
      </c>
      <c r="AA157" s="56" t="str">
        <f t="shared" si="118"/>
        <v/>
      </c>
      <c r="AB157" s="56" t="str">
        <f t="shared" si="9"/>
        <v>ToolPrototype</v>
      </c>
      <c r="AC157" s="56" t="str">
        <f t="shared" si="119"/>
        <v/>
      </c>
      <c r="AD157" s="56" t="str">
        <f t="shared" si="10"/>
        <v>&lt;device&gt;
&lt;name&gt;SxxRyy&lt;/name&gt;
&lt;type&gt;FCA_DN_FANUC&lt;/type&gt;
&lt;deviceNetwork&gt;201&lt;/deviceNetwork&gt;
&lt;deviceNode&gt;56&lt;/deviceNode&gt;
&lt;/device&gt;</v>
      </c>
      <c r="AE157" s="56" t="str">
        <f t="shared" si="11"/>
        <v/>
      </c>
      <c r="AF157" s="56" t="str">
        <f t="shared" si="12"/>
        <v/>
      </c>
      <c r="AG157" s="56" t="str">
        <f t="shared" si="13"/>
        <v/>
      </c>
      <c r="AH157" s="56" t="str">
        <f t="shared" si="14"/>
        <v/>
      </c>
      <c r="AI157" s="56" t="str">
        <f t="shared" si="15"/>
        <v/>
      </c>
      <c r="AJ157" s="56" t="str">
        <f t="shared" si="16"/>
        <v/>
      </c>
      <c r="AK157" s="56" t="str">
        <f t="shared" si="17"/>
        <v/>
      </c>
      <c r="AL157" s="56" t="str">
        <f t="shared" si="18"/>
        <v/>
      </c>
      <c r="AM157" s="56" t="str">
        <f t="shared" si="19"/>
        <v/>
      </c>
      <c r="AN157" s="56">
        <f t="shared" si="120"/>
        <v>251</v>
      </c>
      <c r="AO157" s="56" t="str">
        <f t="shared" si="121"/>
        <v>ROBOTS:SxxRyy\000_COMMON|ROBOTS_NOPLC:SxxRyy\000_COMMON</v>
      </c>
      <c r="AP157" s="56" t="str">
        <f t="shared" si="122"/>
        <v>PLC</v>
      </c>
      <c r="AQ157" s="56" t="str">
        <f t="shared" si="123"/>
        <v>EXIT</v>
      </c>
      <c r="AR157" s="39" t="s">
        <v>130</v>
      </c>
      <c r="AT157" s="44" t="str">
        <f t="shared" si="124"/>
        <v>BOOL</v>
      </c>
      <c r="AU157" s="23">
        <f t="shared" si="125"/>
        <v>0</v>
      </c>
      <c r="AV157" s="23" t="str">
        <f t="shared" si="126"/>
        <v>I</v>
      </c>
      <c r="AW157" s="23" t="str">
        <f t="shared" si="127"/>
        <v xml:space="preserve">I.: </v>
      </c>
      <c r="AX157" s="23" t="str">
        <f t="shared" si="128"/>
        <v>ENBT200:1:I.Data[82].22</v>
      </c>
      <c r="AY157" s="36" t="str">
        <f t="shared" si="129"/>
        <v xml:space="preserve">Controller: &lt;I0201N51.b23&gt; - </v>
      </c>
      <c r="BB157" s="42" t="s">
        <v>17</v>
      </c>
      <c r="BC157" t="s">
        <v>16</v>
      </c>
      <c r="BD157" t="str">
        <f t="shared" si="99"/>
        <v>AB_RACKx_SLOTa</v>
      </c>
      <c r="BR157">
        <v>251</v>
      </c>
      <c r="BS157" t="str">
        <f t="shared" si="130"/>
        <v>ROBOTS:SxxRyy\000_COMMON|ROBOTS_NOPLC:SxxRyy\000_COMMON</v>
      </c>
      <c r="BV157" s="30" t="s">
        <v>616</v>
      </c>
      <c r="BW157" t="str">
        <f t="shared" si="100"/>
        <v>DO[23]</v>
      </c>
      <c r="BX157" t="s">
        <v>612</v>
      </c>
      <c r="BY157" s="42"/>
      <c r="CB157" s="42"/>
      <c r="CE157" s="30"/>
      <c r="CH157" s="42"/>
      <c r="CJ157" t="str">
        <f>Prep!$U$3&amp;":I.Data["&amp;Prep!$U$7&amp;"]."</f>
        <v>ENBT200:1:I.Data[82].</v>
      </c>
      <c r="CK157">
        <v>22</v>
      </c>
      <c r="CM157" t="s">
        <v>75</v>
      </c>
      <c r="CN157" s="30" t="str">
        <f>"I0"&amp;Header_Config03&amp;"N"&amp;TEXT(Prep!$U$6,"00")&amp;"."</f>
        <v>I0201N51.</v>
      </c>
      <c r="CO157" t="s">
        <v>286</v>
      </c>
      <c r="CP157" t="s">
        <v>12</v>
      </c>
      <c r="CQ157" s="40"/>
      <c r="CR157" s="30" t="s">
        <v>617</v>
      </c>
    </row>
    <row r="158" spans="2:96" x14ac:dyDescent="0.35">
      <c r="B158" s="4" t="str">
        <f t="shared" si="101"/>
        <v>FANUC_SxxRyy</v>
      </c>
      <c r="C158" s="4"/>
      <c r="D158" s="4" t="str">
        <f t="shared" si="102"/>
        <v>To_PLC_MaintReqBit8</v>
      </c>
      <c r="E158" s="4" t="str">
        <f t="shared" si="103"/>
        <v>ENBT200:1:I.Data[82].23</v>
      </c>
      <c r="F158" s="4" t="str">
        <f t="shared" si="104"/>
        <v>I</v>
      </c>
      <c r="G158" s="4" t="str">
        <f t="shared" si="105"/>
        <v/>
      </c>
      <c r="H158" s="4" t="str">
        <f t="shared" si="106"/>
        <v>Controller: &lt;I0201N51.b24&gt; - MAINTENANCE REQUEST 8 DO24</v>
      </c>
      <c r="I158" s="4" t="str">
        <f t="shared" si="107"/>
        <v>AB_RACKx_SLOTa</v>
      </c>
      <c r="J158" s="4"/>
      <c r="K158" s="56" t="str">
        <f t="shared" si="108"/>
        <v>BOOL</v>
      </c>
      <c r="L158" s="56" t="str">
        <f t="shared" si="4"/>
        <v>ROBOTS\SxxRyy</v>
      </c>
      <c r="M158" s="56" t="str">
        <f t="shared" si="5"/>
        <v>STELLANTIS\Common\ToolPrototype\Robots</v>
      </c>
      <c r="N158" s="56" t="str">
        <f t="shared" si="6"/>
        <v>STELLANTIS_DN_FANUC_ROBOT_128_BIT_INTEGRATED_SAFETY_SxxRyy.v00</v>
      </c>
      <c r="O158" s="56" t="str">
        <f t="shared" si="109"/>
        <v/>
      </c>
      <c r="P158" s="56" t="str">
        <f t="shared" si="110"/>
        <v/>
      </c>
      <c r="Q158" s="56" t="str">
        <f t="shared" si="111"/>
        <v/>
      </c>
      <c r="R158" s="56" t="str">
        <f t="shared" si="112"/>
        <v/>
      </c>
      <c r="S158" s="56" t="str">
        <f t="shared" si="113"/>
        <v/>
      </c>
      <c r="T158" s="56" t="str">
        <f t="shared" si="114"/>
        <v/>
      </c>
      <c r="U158" s="56" t="str">
        <f t="shared" si="115"/>
        <v/>
      </c>
      <c r="V158" s="56" t="str">
        <f t="shared" si="116"/>
        <v/>
      </c>
      <c r="W158" s="56"/>
      <c r="X158" s="56"/>
      <c r="Y158" s="56"/>
      <c r="Z158" s="56" t="str">
        <f t="shared" si="117"/>
        <v/>
      </c>
      <c r="AA158" s="56" t="str">
        <f t="shared" si="118"/>
        <v/>
      </c>
      <c r="AB158" s="56" t="str">
        <f t="shared" si="9"/>
        <v>ToolPrototype</v>
      </c>
      <c r="AC158" s="56" t="str">
        <f t="shared" si="119"/>
        <v/>
      </c>
      <c r="AD158" s="56" t="str">
        <f t="shared" si="10"/>
        <v>&lt;device&gt;
&lt;name&gt;SxxRyy&lt;/name&gt;
&lt;type&gt;FCA_DN_FANUC&lt;/type&gt;
&lt;deviceNetwork&gt;201&lt;/deviceNetwork&gt;
&lt;deviceNode&gt;56&lt;/deviceNode&gt;
&lt;/device&gt;</v>
      </c>
      <c r="AE158" s="56" t="str">
        <f t="shared" si="11"/>
        <v/>
      </c>
      <c r="AF158" s="56" t="str">
        <f t="shared" si="12"/>
        <v/>
      </c>
      <c r="AG158" s="56" t="str">
        <f t="shared" si="13"/>
        <v/>
      </c>
      <c r="AH158" s="56" t="str">
        <f t="shared" si="14"/>
        <v/>
      </c>
      <c r="AI158" s="56" t="str">
        <f t="shared" si="15"/>
        <v/>
      </c>
      <c r="AJ158" s="56" t="str">
        <f t="shared" si="16"/>
        <v/>
      </c>
      <c r="AK158" s="56" t="str">
        <f t="shared" si="17"/>
        <v/>
      </c>
      <c r="AL158" s="56" t="str">
        <f t="shared" si="18"/>
        <v/>
      </c>
      <c r="AM158" s="56" t="str">
        <f t="shared" si="19"/>
        <v/>
      </c>
      <c r="AN158" s="56">
        <f t="shared" si="120"/>
        <v>251</v>
      </c>
      <c r="AO158" s="56" t="str">
        <f t="shared" si="121"/>
        <v>ROBOTS:SxxRyy\000_COMMON|ROBOTS_NOPLC:SxxRyy\000_COMMON</v>
      </c>
      <c r="AP158" s="56" t="str">
        <f t="shared" si="122"/>
        <v>PLC</v>
      </c>
      <c r="AQ158" s="56" t="str">
        <f t="shared" si="123"/>
        <v>EXIT</v>
      </c>
      <c r="AR158" s="39" t="s">
        <v>130</v>
      </c>
      <c r="AT158" s="44" t="str">
        <f t="shared" si="124"/>
        <v>BOOL</v>
      </c>
      <c r="AU158" s="23">
        <f t="shared" si="125"/>
        <v>0</v>
      </c>
      <c r="AV158" s="23" t="str">
        <f t="shared" si="126"/>
        <v>I</v>
      </c>
      <c r="AW158" s="23" t="str">
        <f t="shared" si="127"/>
        <v xml:space="preserve">I.: </v>
      </c>
      <c r="AX158" s="23" t="str">
        <f t="shared" si="128"/>
        <v>ENBT200:1:I.Data[82].23</v>
      </c>
      <c r="AY158" s="36" t="str">
        <f t="shared" si="129"/>
        <v xml:space="preserve">Controller: &lt;I0201N51.b24&gt; - </v>
      </c>
      <c r="BB158" s="42" t="s">
        <v>17</v>
      </c>
      <c r="BC158" t="s">
        <v>16</v>
      </c>
      <c r="BD158" t="str">
        <f t="shared" si="99"/>
        <v>AB_RACKx_SLOTa</v>
      </c>
      <c r="BR158">
        <v>251</v>
      </c>
      <c r="BS158" t="str">
        <f t="shared" si="130"/>
        <v>ROBOTS:SxxRyy\000_COMMON|ROBOTS_NOPLC:SxxRyy\000_COMMON</v>
      </c>
      <c r="BV158" s="30" t="s">
        <v>618</v>
      </c>
      <c r="BW158" t="str">
        <f t="shared" si="100"/>
        <v>DO[24]</v>
      </c>
      <c r="BX158" t="s">
        <v>612</v>
      </c>
      <c r="BY158" s="42"/>
      <c r="CB158" s="42"/>
      <c r="CE158" s="30"/>
      <c r="CH158" s="42"/>
      <c r="CJ158" t="str">
        <f>Prep!$U$3&amp;":I.Data["&amp;Prep!$U$7&amp;"]."</f>
        <v>ENBT200:1:I.Data[82].</v>
      </c>
      <c r="CK158">
        <v>23</v>
      </c>
      <c r="CM158" t="s">
        <v>75</v>
      </c>
      <c r="CN158" s="30" t="str">
        <f>"I0"&amp;Header_Config03&amp;"N"&amp;TEXT(Prep!$U$6,"00")&amp;"."</f>
        <v>I0201N51.</v>
      </c>
      <c r="CO158" t="s">
        <v>287</v>
      </c>
      <c r="CP158" t="s">
        <v>12</v>
      </c>
      <c r="CQ158" s="40"/>
      <c r="CR158" s="30" t="s">
        <v>619</v>
      </c>
    </row>
    <row r="159" spans="2:96" x14ac:dyDescent="0.35">
      <c r="B159" s="4" t="str">
        <f t="shared" si="101"/>
        <v>FANUC_SxxRyy</v>
      </c>
      <c r="C159" s="4"/>
      <c r="D159" s="4" t="str">
        <f t="shared" si="102"/>
        <v>To_PLC_RobotAtHome</v>
      </c>
      <c r="E159" s="4" t="str">
        <f t="shared" si="103"/>
        <v>ENBT200:1:I.Data[82].26</v>
      </c>
      <c r="F159" s="4" t="str">
        <f t="shared" si="104"/>
        <v>I</v>
      </c>
      <c r="G159" s="4" t="str">
        <f t="shared" si="105"/>
        <v/>
      </c>
      <c r="H159" s="4" t="str">
        <f t="shared" si="106"/>
        <v>Controller: &lt;I0201N51.b27&gt; - ROBOT AT HOME DO27</v>
      </c>
      <c r="I159" s="4" t="str">
        <f t="shared" si="107"/>
        <v>AB_RACKx_SLOTa</v>
      </c>
      <c r="J159" s="4"/>
      <c r="K159" s="56" t="str">
        <f t="shared" si="108"/>
        <v>BOOL</v>
      </c>
      <c r="L159" s="56" t="str">
        <f t="shared" si="4"/>
        <v>ROBOTS\SxxRyy</v>
      </c>
      <c r="M159" s="56" t="str">
        <f t="shared" si="5"/>
        <v>STELLANTIS\Common\ToolPrototype\Robots</v>
      </c>
      <c r="N159" s="56" t="str">
        <f t="shared" si="6"/>
        <v>STELLANTIS_DN_FANUC_ROBOT_128_BIT_INTEGRATED_SAFETY_SxxRyy.v00</v>
      </c>
      <c r="O159" s="56" t="str">
        <f t="shared" si="109"/>
        <v/>
      </c>
      <c r="P159" s="56" t="str">
        <f t="shared" si="110"/>
        <v/>
      </c>
      <c r="Q159" s="56" t="str">
        <f t="shared" si="111"/>
        <v/>
      </c>
      <c r="R159" s="56" t="str">
        <f t="shared" si="112"/>
        <v/>
      </c>
      <c r="S159" s="56" t="str">
        <f t="shared" si="113"/>
        <v/>
      </c>
      <c r="T159" s="56" t="str">
        <f t="shared" si="114"/>
        <v/>
      </c>
      <c r="U159" s="56" t="str">
        <f t="shared" si="115"/>
        <v/>
      </c>
      <c r="V159" s="56" t="str">
        <f t="shared" si="116"/>
        <v/>
      </c>
      <c r="W159" s="56"/>
      <c r="X159" s="56"/>
      <c r="Y159" s="56"/>
      <c r="Z159" s="56" t="str">
        <f t="shared" si="117"/>
        <v/>
      </c>
      <c r="AA159" s="56" t="str">
        <f t="shared" si="118"/>
        <v/>
      </c>
      <c r="AB159" s="56" t="str">
        <f t="shared" si="9"/>
        <v>ToolPrototype</v>
      </c>
      <c r="AC159" s="56" t="str">
        <f t="shared" si="119"/>
        <v/>
      </c>
      <c r="AD159" s="56" t="str">
        <f t="shared" si="10"/>
        <v>&lt;device&gt;
&lt;name&gt;SxxRyy&lt;/name&gt;
&lt;type&gt;FCA_DN_FANUC&lt;/type&gt;
&lt;deviceNetwork&gt;201&lt;/deviceNetwork&gt;
&lt;deviceNode&gt;56&lt;/deviceNode&gt;
&lt;/device&gt;</v>
      </c>
      <c r="AE159" s="56" t="str">
        <f t="shared" si="11"/>
        <v/>
      </c>
      <c r="AF159" s="56" t="str">
        <f t="shared" si="12"/>
        <v/>
      </c>
      <c r="AG159" s="56" t="str">
        <f t="shared" si="13"/>
        <v/>
      </c>
      <c r="AH159" s="56" t="str">
        <f t="shared" si="14"/>
        <v/>
      </c>
      <c r="AI159" s="56" t="str">
        <f t="shared" si="15"/>
        <v/>
      </c>
      <c r="AJ159" s="56" t="str">
        <f t="shared" si="16"/>
        <v/>
      </c>
      <c r="AK159" s="56" t="str">
        <f t="shared" si="17"/>
        <v/>
      </c>
      <c r="AL159" s="56" t="str">
        <f t="shared" si="18"/>
        <v/>
      </c>
      <c r="AM159" s="56" t="str">
        <f t="shared" si="19"/>
        <v/>
      </c>
      <c r="AN159" s="56">
        <f t="shared" si="120"/>
        <v>249</v>
      </c>
      <c r="AO159" s="56" t="str">
        <f t="shared" si="121"/>
        <v>ROBOTS:SxxRyy\000_COMMON|ROBOTS_NOPLC:SxxRyy\000_COMMON</v>
      </c>
      <c r="AP159" s="56" t="str">
        <f t="shared" si="122"/>
        <v>PLC</v>
      </c>
      <c r="AQ159" s="56" t="str">
        <f t="shared" si="123"/>
        <v>EXIT</v>
      </c>
      <c r="AR159" s="39" t="s">
        <v>130</v>
      </c>
      <c r="AT159" s="44" t="str">
        <f t="shared" si="124"/>
        <v>BOOL</v>
      </c>
      <c r="AU159" s="23">
        <f t="shared" si="125"/>
        <v>0</v>
      </c>
      <c r="AV159" s="23" t="str">
        <f t="shared" si="126"/>
        <v>I</v>
      </c>
      <c r="AW159" s="23" t="str">
        <f t="shared" si="127"/>
        <v xml:space="preserve">I.: </v>
      </c>
      <c r="AX159" s="23" t="str">
        <f t="shared" si="128"/>
        <v>ENBT200:1:I.Data[82].26</v>
      </c>
      <c r="AY159" s="36" t="str">
        <f t="shared" si="129"/>
        <v xml:space="preserve">Controller: &lt;I0201N51.b27&gt; - </v>
      </c>
      <c r="BB159" s="42" t="s">
        <v>17</v>
      </c>
      <c r="BC159" t="s">
        <v>16</v>
      </c>
      <c r="BD159" t="str">
        <f t="shared" si="99"/>
        <v>AB_RACKx_SLOTa</v>
      </c>
      <c r="BR159">
        <v>249</v>
      </c>
      <c r="BS159" t="str">
        <f t="shared" si="130"/>
        <v>ROBOTS:SxxRyy\000_COMMON|ROBOTS_NOPLC:SxxRyy\000_COMMON</v>
      </c>
      <c r="BV159" s="30" t="s">
        <v>620</v>
      </c>
      <c r="BW159" t="str">
        <f t="shared" si="100"/>
        <v>DO[27]</v>
      </c>
      <c r="BY159" s="42"/>
      <c r="CB159" s="42"/>
      <c r="CE159" s="30"/>
      <c r="CH159" s="42"/>
      <c r="CJ159" t="str">
        <f>Prep!$U$3&amp;":I.Data["&amp;Prep!$U$7&amp;"]."</f>
        <v>ENBT200:1:I.Data[82].</v>
      </c>
      <c r="CK159">
        <v>26</v>
      </c>
      <c r="CM159" t="s">
        <v>75</v>
      </c>
      <c r="CN159" s="30" t="str">
        <f>"I0"&amp;Header_Config03&amp;"N"&amp;TEXT(Prep!$U$6,"00")&amp;"."</f>
        <v>I0201N51.</v>
      </c>
      <c r="CO159" t="s">
        <v>289</v>
      </c>
      <c r="CP159" t="s">
        <v>12</v>
      </c>
      <c r="CQ159" s="40"/>
      <c r="CR159" s="30" t="s">
        <v>621</v>
      </c>
    </row>
    <row r="160" spans="2:96" x14ac:dyDescent="0.35">
      <c r="B160" s="4" t="str">
        <f t="shared" si="101"/>
        <v>FANUC_SxxRyy</v>
      </c>
      <c r="C160" s="4"/>
      <c r="D160" s="4" t="str">
        <f t="shared" si="102"/>
        <v>To_PLC_MajorMinorFlt</v>
      </c>
      <c r="E160" s="4" t="str">
        <f t="shared" si="103"/>
        <v>ENBT200:1:I.Data[84].9</v>
      </c>
      <c r="F160" s="4" t="str">
        <f t="shared" si="104"/>
        <v>I</v>
      </c>
      <c r="G160" s="4" t="str">
        <f t="shared" si="105"/>
        <v/>
      </c>
      <c r="H160" s="4" t="str">
        <f t="shared" si="106"/>
        <v>Controller: &lt;I0201N51.b74&gt; - MAJOR/MINOR FAULT DO74</v>
      </c>
      <c r="I160" s="4" t="str">
        <f t="shared" si="107"/>
        <v>AB_RACKx_SLOTa</v>
      </c>
      <c r="J160" s="4"/>
      <c r="K160" s="56" t="str">
        <f t="shared" si="108"/>
        <v>BOOL</v>
      </c>
      <c r="L160" s="56" t="str">
        <f t="shared" si="4"/>
        <v>ROBOTS\SxxRyy</v>
      </c>
      <c r="M160" s="56" t="str">
        <f t="shared" si="5"/>
        <v>STELLANTIS\Common\ToolPrototype\Robots</v>
      </c>
      <c r="N160" s="56" t="str">
        <f t="shared" si="6"/>
        <v>STELLANTIS_DN_FANUC_ROBOT_128_BIT_INTEGRATED_SAFETY_SxxRyy.v00</v>
      </c>
      <c r="O160" s="56" t="str">
        <f t="shared" si="109"/>
        <v/>
      </c>
      <c r="P160" s="56" t="str">
        <f t="shared" si="110"/>
        <v/>
      </c>
      <c r="Q160" s="56" t="str">
        <f t="shared" si="111"/>
        <v/>
      </c>
      <c r="R160" s="56" t="str">
        <f t="shared" si="112"/>
        <v/>
      </c>
      <c r="S160" s="56" t="str">
        <f t="shared" si="113"/>
        <v/>
      </c>
      <c r="T160" s="56" t="str">
        <f t="shared" si="114"/>
        <v/>
      </c>
      <c r="U160" s="56" t="str">
        <f t="shared" si="115"/>
        <v/>
      </c>
      <c r="V160" s="56" t="str">
        <f t="shared" si="116"/>
        <v/>
      </c>
      <c r="W160" s="56"/>
      <c r="X160" s="56"/>
      <c r="Y160" s="56"/>
      <c r="Z160" s="56" t="str">
        <f t="shared" si="117"/>
        <v/>
      </c>
      <c r="AA160" s="56" t="str">
        <f t="shared" si="118"/>
        <v/>
      </c>
      <c r="AB160" s="56" t="str">
        <f t="shared" si="9"/>
        <v>ToolPrototype</v>
      </c>
      <c r="AC160" s="56" t="str">
        <f t="shared" si="119"/>
        <v/>
      </c>
      <c r="AD160" s="56" t="str">
        <f t="shared" si="10"/>
        <v>&lt;device&gt;
&lt;name&gt;SxxRyy&lt;/name&gt;
&lt;type&gt;FCA_DN_FANUC&lt;/type&gt;
&lt;deviceNetwork&gt;201&lt;/deviceNetwork&gt;
&lt;deviceNode&gt;56&lt;/deviceNode&gt;
&lt;/device&gt;</v>
      </c>
      <c r="AE160" s="56" t="str">
        <f t="shared" si="11"/>
        <v/>
      </c>
      <c r="AF160" s="56" t="str">
        <f t="shared" si="12"/>
        <v/>
      </c>
      <c r="AG160" s="56" t="str">
        <f t="shared" si="13"/>
        <v/>
      </c>
      <c r="AH160" s="56" t="str">
        <f t="shared" si="14"/>
        <v/>
      </c>
      <c r="AI160" s="56" t="str">
        <f t="shared" si="15"/>
        <v/>
      </c>
      <c r="AJ160" s="56" t="str">
        <f t="shared" si="16"/>
        <v/>
      </c>
      <c r="AK160" s="56" t="str">
        <f t="shared" si="17"/>
        <v/>
      </c>
      <c r="AL160" s="56" t="str">
        <f t="shared" si="18"/>
        <v/>
      </c>
      <c r="AM160" s="56" t="str">
        <f t="shared" si="19"/>
        <v/>
      </c>
      <c r="AN160" s="56" t="str">
        <f t="shared" si="120"/>
        <v/>
      </c>
      <c r="AO160" s="56" t="str">
        <f t="shared" si="121"/>
        <v/>
      </c>
      <c r="AP160" s="56" t="str">
        <f t="shared" si="122"/>
        <v>PLC</v>
      </c>
      <c r="AQ160" s="56" t="str">
        <f t="shared" si="123"/>
        <v>EXIT</v>
      </c>
      <c r="AR160" s="39" t="s">
        <v>130</v>
      </c>
      <c r="AT160" s="44" t="str">
        <f t="shared" si="124"/>
        <v>BOOL</v>
      </c>
      <c r="AU160" s="23">
        <f t="shared" si="125"/>
        <v>0</v>
      </c>
      <c r="AV160" s="23" t="str">
        <f t="shared" si="126"/>
        <v>I</v>
      </c>
      <c r="AW160" s="23" t="str">
        <f t="shared" si="127"/>
        <v xml:space="preserve">I.: </v>
      </c>
      <c r="AX160" s="23" t="str">
        <f t="shared" si="128"/>
        <v>ENBT200:1:I.Data[84].9</v>
      </c>
      <c r="AY160" s="36" t="str">
        <f t="shared" si="129"/>
        <v xml:space="preserve">Controller: &lt;I0201N51.b74&gt; - </v>
      </c>
      <c r="BB160" s="42" t="s">
        <v>17</v>
      </c>
      <c r="BC160" t="s">
        <v>16</v>
      </c>
      <c r="BD160" t="str">
        <f t="shared" ref="BD160:BD189" si="131">Header_Config01</f>
        <v>AB_RACKx_SLOTa</v>
      </c>
      <c r="BV160" s="30" t="s">
        <v>622</v>
      </c>
      <c r="BW160" t="str">
        <f t="shared" si="100"/>
        <v>DO[74]</v>
      </c>
      <c r="BY160" s="42"/>
      <c r="CB160" s="42"/>
      <c r="CE160" s="30"/>
      <c r="CH160" s="42"/>
      <c r="CJ160" t="str">
        <f>Prep!$U$3&amp;":I.Data["&amp;Prep!$U$7+2&amp;"]."</f>
        <v>ENBT200:1:I.Data[84].</v>
      </c>
      <c r="CK160">
        <v>9</v>
      </c>
      <c r="CM160" t="s">
        <v>75</v>
      </c>
      <c r="CN160" s="30" t="str">
        <f>"I0"&amp;Header_Config03&amp;"N"&amp;TEXT(Prep!$U$6,"00")&amp;"."</f>
        <v>I0201N51.</v>
      </c>
      <c r="CO160" t="s">
        <v>623</v>
      </c>
      <c r="CP160" t="s">
        <v>12</v>
      </c>
      <c r="CQ160" s="40"/>
      <c r="CR160" s="30" t="s">
        <v>624</v>
      </c>
    </row>
    <row r="161" spans="2:96" x14ac:dyDescent="0.35">
      <c r="B161" s="4" t="str">
        <f t="shared" si="101"/>
        <v>FANUC_SxxRyy</v>
      </c>
      <c r="C161" s="4"/>
      <c r="D161" s="4" t="str">
        <f t="shared" si="102"/>
        <v>To_PLC_RemoveFault</v>
      </c>
      <c r="E161" s="4" t="str">
        <f t="shared" si="103"/>
        <v>ENBT200:1:I.Data[84].11</v>
      </c>
      <c r="F161" s="4" t="str">
        <f t="shared" si="104"/>
        <v>I</v>
      </c>
      <c r="G161" s="4" t="str">
        <f t="shared" si="105"/>
        <v/>
      </c>
      <c r="H161" s="4" t="str">
        <f t="shared" si="106"/>
        <v>Controller: &lt;I0201N51.b76&gt; - REMOVE FAULT DO76</v>
      </c>
      <c r="I161" s="4" t="str">
        <f t="shared" si="107"/>
        <v>AB_RACKx_SLOTa</v>
      </c>
      <c r="J161" s="4"/>
      <c r="K161" s="56" t="str">
        <f t="shared" si="108"/>
        <v>BOOL</v>
      </c>
      <c r="L161" s="56" t="str">
        <f t="shared" si="4"/>
        <v>ROBOTS\SxxRyy</v>
      </c>
      <c r="M161" s="56" t="str">
        <f t="shared" si="5"/>
        <v>STELLANTIS\Common\ToolPrototype\Robots</v>
      </c>
      <c r="N161" s="56" t="str">
        <f t="shared" si="6"/>
        <v>STELLANTIS_DN_FANUC_ROBOT_128_BIT_INTEGRATED_SAFETY_SxxRyy.v00</v>
      </c>
      <c r="O161" s="56" t="str">
        <f t="shared" si="109"/>
        <v/>
      </c>
      <c r="P161" s="56" t="str">
        <f t="shared" si="110"/>
        <v/>
      </c>
      <c r="Q161" s="56" t="str">
        <f t="shared" si="111"/>
        <v/>
      </c>
      <c r="R161" s="56" t="str">
        <f t="shared" si="112"/>
        <v/>
      </c>
      <c r="S161" s="56" t="str">
        <f t="shared" si="113"/>
        <v/>
      </c>
      <c r="T161" s="56" t="str">
        <f t="shared" si="114"/>
        <v/>
      </c>
      <c r="U161" s="56" t="str">
        <f t="shared" si="115"/>
        <v/>
      </c>
      <c r="V161" s="56" t="str">
        <f t="shared" si="116"/>
        <v/>
      </c>
      <c r="W161" s="56"/>
      <c r="X161" s="56"/>
      <c r="Y161" s="56"/>
      <c r="Z161" s="56" t="str">
        <f t="shared" si="117"/>
        <v/>
      </c>
      <c r="AA161" s="56" t="str">
        <f t="shared" si="118"/>
        <v/>
      </c>
      <c r="AB161" s="56" t="str">
        <f t="shared" si="9"/>
        <v>ToolPrototype</v>
      </c>
      <c r="AC161" s="56" t="str">
        <f t="shared" si="119"/>
        <v/>
      </c>
      <c r="AD161" s="56" t="str">
        <f t="shared" si="10"/>
        <v>&lt;device&gt;
&lt;name&gt;SxxRyy&lt;/name&gt;
&lt;type&gt;FCA_DN_FANUC&lt;/type&gt;
&lt;deviceNetwork&gt;201&lt;/deviceNetwork&gt;
&lt;deviceNode&gt;56&lt;/deviceNode&gt;
&lt;/device&gt;</v>
      </c>
      <c r="AE161" s="56" t="str">
        <f t="shared" si="11"/>
        <v/>
      </c>
      <c r="AF161" s="56" t="str">
        <f t="shared" si="12"/>
        <v/>
      </c>
      <c r="AG161" s="56" t="str">
        <f t="shared" si="13"/>
        <v/>
      </c>
      <c r="AH161" s="56" t="str">
        <f t="shared" si="14"/>
        <v/>
      </c>
      <c r="AI161" s="56" t="str">
        <f t="shared" si="15"/>
        <v/>
      </c>
      <c r="AJ161" s="56" t="str">
        <f t="shared" si="16"/>
        <v/>
      </c>
      <c r="AK161" s="56" t="str">
        <f t="shared" si="17"/>
        <v/>
      </c>
      <c r="AL161" s="56" t="str">
        <f t="shared" si="18"/>
        <v/>
      </c>
      <c r="AM161" s="56" t="str">
        <f t="shared" si="19"/>
        <v/>
      </c>
      <c r="AN161" s="56" t="str">
        <f t="shared" si="120"/>
        <v/>
      </c>
      <c r="AO161" s="56" t="str">
        <f t="shared" si="121"/>
        <v/>
      </c>
      <c r="AP161" s="56" t="str">
        <f t="shared" si="122"/>
        <v>PLC</v>
      </c>
      <c r="AQ161" s="56" t="str">
        <f t="shared" si="123"/>
        <v>EXIT</v>
      </c>
      <c r="AR161" s="39" t="s">
        <v>130</v>
      </c>
      <c r="AT161" s="44" t="str">
        <f t="shared" si="124"/>
        <v>BOOL</v>
      </c>
      <c r="AU161" s="23">
        <f t="shared" si="125"/>
        <v>0</v>
      </c>
      <c r="AV161" s="23" t="str">
        <f t="shared" si="126"/>
        <v>I</v>
      </c>
      <c r="AW161" s="23" t="str">
        <f t="shared" si="127"/>
        <v xml:space="preserve">I.: </v>
      </c>
      <c r="AX161" s="23" t="str">
        <f t="shared" si="128"/>
        <v>ENBT200:1:I.Data[84].11</v>
      </c>
      <c r="AY161" s="36" t="str">
        <f t="shared" si="129"/>
        <v xml:space="preserve">Controller: &lt;I0201N51.b76&gt; - </v>
      </c>
      <c r="BB161" s="42" t="s">
        <v>17</v>
      </c>
      <c r="BC161" t="s">
        <v>16</v>
      </c>
      <c r="BD161" t="str">
        <f t="shared" si="131"/>
        <v>AB_RACKx_SLOTa</v>
      </c>
      <c r="BV161" s="30" t="s">
        <v>625</v>
      </c>
      <c r="BW161" t="str">
        <f t="shared" si="100"/>
        <v>DO[76]</v>
      </c>
      <c r="BY161" s="42"/>
      <c r="CB161" s="42"/>
      <c r="CE161" s="30"/>
      <c r="CH161" s="42"/>
      <c r="CJ161" t="str">
        <f>Prep!$U$3&amp;":I.Data["&amp;Prep!$U$7+2&amp;"]."</f>
        <v>ENBT200:1:I.Data[84].</v>
      </c>
      <c r="CK161">
        <v>11</v>
      </c>
      <c r="CM161" t="s">
        <v>75</v>
      </c>
      <c r="CN161" s="30" t="str">
        <f>"I0"&amp;Header_Config03&amp;"N"&amp;TEXT(Prep!$U$6,"00")&amp;"."</f>
        <v>I0201N51.</v>
      </c>
      <c r="CO161" t="s">
        <v>626</v>
      </c>
      <c r="CP161" t="s">
        <v>12</v>
      </c>
      <c r="CQ161" s="40"/>
      <c r="CR161" s="30" t="s">
        <v>627</v>
      </c>
    </row>
    <row r="162" spans="2:96" x14ac:dyDescent="0.35">
      <c r="B162" s="4" t="str">
        <f t="shared" si="101"/>
        <v>FANUC_SxxRyy</v>
      </c>
      <c r="C162" s="4"/>
      <c r="D162" s="4" t="str">
        <f t="shared" si="102"/>
        <v>To_PLC_PartPresent1</v>
      </c>
      <c r="E162" s="4" t="str">
        <f t="shared" si="103"/>
        <v>ENBT200:1:I.Data[84].12</v>
      </c>
      <c r="F162" s="4" t="str">
        <f t="shared" si="104"/>
        <v>I</v>
      </c>
      <c r="G162" s="4" t="str">
        <f t="shared" si="105"/>
        <v/>
      </c>
      <c r="H162" s="4" t="str">
        <f t="shared" si="106"/>
        <v>Controller: &lt;I0201N51.b77&gt; - ROBOT PART PRESENT 1 DO77</v>
      </c>
      <c r="I162" s="4" t="str">
        <f t="shared" si="107"/>
        <v>AB_RACKx_SLOTa</v>
      </c>
      <c r="J162" s="4"/>
      <c r="K162" s="56" t="str">
        <f t="shared" si="108"/>
        <v>BOOL</v>
      </c>
      <c r="L162" s="56" t="str">
        <f t="shared" si="4"/>
        <v>ROBOTS\SxxRyy</v>
      </c>
      <c r="M162" s="56" t="str">
        <f t="shared" si="5"/>
        <v>STELLANTIS\Common\ToolPrototype\Robots</v>
      </c>
      <c r="N162" s="56" t="str">
        <f t="shared" si="6"/>
        <v>STELLANTIS_DN_FANUC_ROBOT_128_BIT_INTEGRATED_SAFETY_SxxRyy.v00</v>
      </c>
      <c r="O162" s="56" t="str">
        <f t="shared" si="109"/>
        <v/>
      </c>
      <c r="P162" s="56" t="str">
        <f t="shared" si="110"/>
        <v/>
      </c>
      <c r="Q162" s="56" t="str">
        <f t="shared" si="111"/>
        <v/>
      </c>
      <c r="R162" s="56" t="str">
        <f t="shared" si="112"/>
        <v/>
      </c>
      <c r="S162" s="56" t="str">
        <f t="shared" si="113"/>
        <v/>
      </c>
      <c r="T162" s="56" t="str">
        <f t="shared" si="114"/>
        <v/>
      </c>
      <c r="U162" s="56" t="str">
        <f t="shared" si="115"/>
        <v/>
      </c>
      <c r="V162" s="56" t="str">
        <f t="shared" si="116"/>
        <v/>
      </c>
      <c r="W162" s="56"/>
      <c r="X162" s="56"/>
      <c r="Y162" s="56"/>
      <c r="Z162" s="56" t="str">
        <f t="shared" si="117"/>
        <v/>
      </c>
      <c r="AA162" s="56" t="str">
        <f t="shared" si="118"/>
        <v/>
      </c>
      <c r="AB162" s="56" t="str">
        <f t="shared" si="9"/>
        <v>ToolPrototype</v>
      </c>
      <c r="AC162" s="56" t="str">
        <f t="shared" si="119"/>
        <v>Optional</v>
      </c>
      <c r="AD162" s="56" t="str">
        <f t="shared" si="10"/>
        <v>&lt;device&gt;
&lt;name&gt;SxxRyy&lt;/name&gt;
&lt;type&gt;FCA_DN_FANUC&lt;/type&gt;
&lt;deviceNetwork&gt;201&lt;/deviceNetwork&gt;
&lt;deviceNode&gt;56&lt;/deviceNode&gt;
&lt;/device&gt;</v>
      </c>
      <c r="AE162" s="56" t="str">
        <f t="shared" si="11"/>
        <v/>
      </c>
      <c r="AF162" s="56" t="str">
        <f t="shared" si="12"/>
        <v/>
      </c>
      <c r="AG162" s="56" t="str">
        <f t="shared" si="13"/>
        <v/>
      </c>
      <c r="AH162" s="56" t="str">
        <f t="shared" si="14"/>
        <v/>
      </c>
      <c r="AI162" s="56" t="str">
        <f t="shared" si="15"/>
        <v/>
      </c>
      <c r="AJ162" s="56" t="str">
        <f t="shared" si="16"/>
        <v/>
      </c>
      <c r="AK162" s="56" t="str">
        <f t="shared" si="17"/>
        <v/>
      </c>
      <c r="AL162" s="56" t="str">
        <f t="shared" si="18"/>
        <v/>
      </c>
      <c r="AM162" s="56" t="str">
        <f t="shared" si="19"/>
        <v/>
      </c>
      <c r="AN162" s="56">
        <f t="shared" si="120"/>
        <v>305</v>
      </c>
      <c r="AO162" s="56" t="str">
        <f t="shared" si="121"/>
        <v>ROBOTS:SxxRyy\MH|ROBOTS_NOPLC:SxxRyy\MH</v>
      </c>
      <c r="AP162" s="56" t="str">
        <f t="shared" si="122"/>
        <v>PLC</v>
      </c>
      <c r="AQ162" s="56" t="str">
        <f t="shared" si="123"/>
        <v>EXIT</v>
      </c>
      <c r="AR162" s="39" t="s">
        <v>130</v>
      </c>
      <c r="AT162" s="44" t="str">
        <f t="shared" si="124"/>
        <v>BOOL</v>
      </c>
      <c r="AU162" s="23">
        <f t="shared" si="125"/>
        <v>0</v>
      </c>
      <c r="AV162" s="23" t="str">
        <f t="shared" si="126"/>
        <v>I</v>
      </c>
      <c r="AW162" s="23" t="str">
        <f t="shared" si="127"/>
        <v xml:space="preserve">I.: </v>
      </c>
      <c r="AX162" s="23" t="str">
        <f t="shared" si="128"/>
        <v>ENBT200:1:I.Data[84].12</v>
      </c>
      <c r="AY162" s="36" t="str">
        <f t="shared" si="129"/>
        <v xml:space="preserve">Controller: &lt;I0201N51.b77&gt; - </v>
      </c>
      <c r="BB162" s="42" t="s">
        <v>17</v>
      </c>
      <c r="BC162" t="s">
        <v>16</v>
      </c>
      <c r="BD162" t="str">
        <f t="shared" si="131"/>
        <v>AB_RACKx_SLOTa</v>
      </c>
      <c r="BR162">
        <v>305</v>
      </c>
      <c r="BS162" t="str">
        <f t="shared" ref="BS162:BS173" si="132">"ROBOTS:"&amp;Header_Config02&amp;"\MH|ROBOTS_NOPLC:"&amp;Header_Config02&amp;"\MH"</f>
        <v>ROBOTS:SxxRyy\MH|ROBOTS_NOPLC:SxxRyy\MH</v>
      </c>
      <c r="BT162" t="str">
        <f>IF(Prep!$R$2="","X","")</f>
        <v/>
      </c>
      <c r="BV162" s="30" t="s">
        <v>628</v>
      </c>
      <c r="BW162" t="str">
        <f t="shared" si="100"/>
        <v>DO[77]</v>
      </c>
      <c r="BY162" s="42"/>
      <c r="CB162" s="42"/>
      <c r="CE162" s="30"/>
      <c r="CH162" s="42"/>
      <c r="CJ162" t="str">
        <f>Prep!$U$3&amp;":I.Data["&amp;Prep!$U$7+2&amp;"]."</f>
        <v>ENBT200:1:I.Data[84].</v>
      </c>
      <c r="CK162">
        <v>12</v>
      </c>
      <c r="CM162" t="s">
        <v>75</v>
      </c>
      <c r="CN162" s="30" t="str">
        <f>"I0"&amp;Header_Config03&amp;"N"&amp;TEXT(Prep!$U$6,"00")&amp;"."</f>
        <v>I0201N51.</v>
      </c>
      <c r="CO162" t="s">
        <v>462</v>
      </c>
      <c r="CP162" t="s">
        <v>12</v>
      </c>
      <c r="CQ162" s="40"/>
      <c r="CR162" s="30" t="s">
        <v>629</v>
      </c>
    </row>
    <row r="163" spans="2:96" x14ac:dyDescent="0.35">
      <c r="B163" s="4" t="str">
        <f t="shared" si="101"/>
        <v>FANUC_SxxRyy</v>
      </c>
      <c r="C163" s="4"/>
      <c r="D163" s="4" t="str">
        <f t="shared" si="102"/>
        <v>To_PLC_PartPresent2</v>
      </c>
      <c r="E163" s="4" t="str">
        <f t="shared" si="103"/>
        <v>ENBT200:1:I.Data[84].13</v>
      </c>
      <c r="F163" s="4" t="str">
        <f t="shared" si="104"/>
        <v>I</v>
      </c>
      <c r="G163" s="4" t="str">
        <f t="shared" si="105"/>
        <v/>
      </c>
      <c r="H163" s="4" t="str">
        <f t="shared" si="106"/>
        <v>Controller: &lt;I0201N51.b78&gt; - ROBOT PART PRESENT 2 DO78</v>
      </c>
      <c r="I163" s="4" t="str">
        <f t="shared" si="107"/>
        <v>AB_RACKx_SLOTa</v>
      </c>
      <c r="J163" s="4"/>
      <c r="K163" s="56" t="str">
        <f t="shared" si="108"/>
        <v>BOOL</v>
      </c>
      <c r="L163" s="56" t="str">
        <f t="shared" si="4"/>
        <v>ROBOTS\SxxRyy</v>
      </c>
      <c r="M163" s="56" t="str">
        <f t="shared" si="5"/>
        <v>STELLANTIS\Common\ToolPrototype\Robots</v>
      </c>
      <c r="N163" s="56" t="str">
        <f t="shared" si="6"/>
        <v>STELLANTIS_DN_FANUC_ROBOT_128_BIT_INTEGRATED_SAFETY_SxxRyy.v00</v>
      </c>
      <c r="O163" s="56" t="str">
        <f t="shared" si="109"/>
        <v/>
      </c>
      <c r="P163" s="56" t="str">
        <f t="shared" si="110"/>
        <v/>
      </c>
      <c r="Q163" s="56" t="str">
        <f t="shared" si="111"/>
        <v/>
      </c>
      <c r="R163" s="56" t="str">
        <f t="shared" si="112"/>
        <v/>
      </c>
      <c r="S163" s="56" t="str">
        <f t="shared" si="113"/>
        <v/>
      </c>
      <c r="T163" s="56" t="str">
        <f t="shared" si="114"/>
        <v/>
      </c>
      <c r="U163" s="56" t="str">
        <f t="shared" si="115"/>
        <v/>
      </c>
      <c r="V163" s="56" t="str">
        <f t="shared" si="116"/>
        <v/>
      </c>
      <c r="W163" s="56"/>
      <c r="X163" s="56"/>
      <c r="Y163" s="56"/>
      <c r="Z163" s="56" t="str">
        <f t="shared" si="117"/>
        <v/>
      </c>
      <c r="AA163" s="56" t="str">
        <f t="shared" si="118"/>
        <v/>
      </c>
      <c r="AB163" s="56" t="str">
        <f t="shared" si="9"/>
        <v>ToolPrototype</v>
      </c>
      <c r="AC163" s="56" t="str">
        <f t="shared" si="119"/>
        <v>Optional</v>
      </c>
      <c r="AD163" s="56" t="str">
        <f t="shared" si="10"/>
        <v>&lt;device&gt;
&lt;name&gt;SxxRyy&lt;/name&gt;
&lt;type&gt;FCA_DN_FANUC&lt;/type&gt;
&lt;deviceNetwork&gt;201&lt;/deviceNetwork&gt;
&lt;deviceNode&gt;56&lt;/deviceNode&gt;
&lt;/device&gt;</v>
      </c>
      <c r="AE163" s="56" t="str">
        <f t="shared" si="11"/>
        <v/>
      </c>
      <c r="AF163" s="56" t="str">
        <f t="shared" si="12"/>
        <v/>
      </c>
      <c r="AG163" s="56" t="str">
        <f t="shared" si="13"/>
        <v/>
      </c>
      <c r="AH163" s="56" t="str">
        <f t="shared" si="14"/>
        <v/>
      </c>
      <c r="AI163" s="56" t="str">
        <f t="shared" si="15"/>
        <v/>
      </c>
      <c r="AJ163" s="56" t="str">
        <f t="shared" si="16"/>
        <v/>
      </c>
      <c r="AK163" s="56" t="str">
        <f t="shared" si="17"/>
        <v/>
      </c>
      <c r="AL163" s="56" t="str">
        <f t="shared" si="18"/>
        <v/>
      </c>
      <c r="AM163" s="56" t="str">
        <f t="shared" si="19"/>
        <v/>
      </c>
      <c r="AN163" s="56">
        <f t="shared" si="120"/>
        <v>305</v>
      </c>
      <c r="AO163" s="56" t="str">
        <f t="shared" si="121"/>
        <v>ROBOTS:SxxRyy\MH|ROBOTS_NOPLC:SxxRyy\MH</v>
      </c>
      <c r="AP163" s="56" t="str">
        <f t="shared" si="122"/>
        <v>PLC</v>
      </c>
      <c r="AQ163" s="56" t="str">
        <f t="shared" si="123"/>
        <v>EXIT</v>
      </c>
      <c r="AR163" s="39" t="s">
        <v>130</v>
      </c>
      <c r="AT163" s="44" t="str">
        <f t="shared" si="124"/>
        <v>BOOL</v>
      </c>
      <c r="AU163" s="23">
        <f t="shared" si="125"/>
        <v>0</v>
      </c>
      <c r="AV163" s="23" t="str">
        <f t="shared" si="126"/>
        <v>I</v>
      </c>
      <c r="AW163" s="23" t="str">
        <f t="shared" si="127"/>
        <v xml:space="preserve">I.: </v>
      </c>
      <c r="AX163" s="23" t="str">
        <f t="shared" si="128"/>
        <v>ENBT200:1:I.Data[84].13</v>
      </c>
      <c r="AY163" s="36" t="str">
        <f t="shared" si="129"/>
        <v xml:space="preserve">Controller: &lt;I0201N51.b78&gt; - </v>
      </c>
      <c r="BB163" s="42" t="s">
        <v>17</v>
      </c>
      <c r="BC163" t="s">
        <v>16</v>
      </c>
      <c r="BD163" t="str">
        <f t="shared" si="131"/>
        <v>AB_RACKx_SLOTa</v>
      </c>
      <c r="BR163">
        <v>305</v>
      </c>
      <c r="BS163" t="str">
        <f t="shared" si="132"/>
        <v>ROBOTS:SxxRyy\MH|ROBOTS_NOPLC:SxxRyy\MH</v>
      </c>
      <c r="BT163" t="str">
        <f>IF(Prep!$R$3="","X","")</f>
        <v/>
      </c>
      <c r="BV163" s="30" t="s">
        <v>630</v>
      </c>
      <c r="BW163" t="str">
        <f t="shared" si="100"/>
        <v>DO[78]</v>
      </c>
      <c r="BY163" s="42"/>
      <c r="CB163" s="42"/>
      <c r="CE163" s="30"/>
      <c r="CH163" s="42"/>
      <c r="CJ163" t="str">
        <f>Prep!$U$3&amp;":I.Data["&amp;Prep!$U$7+2&amp;"]."</f>
        <v>ENBT200:1:I.Data[84].</v>
      </c>
      <c r="CK163">
        <v>13</v>
      </c>
      <c r="CM163" t="s">
        <v>75</v>
      </c>
      <c r="CN163" s="30" t="str">
        <f>"I0"&amp;Header_Config03&amp;"N"&amp;TEXT(Prep!$U$6,"00")&amp;"."</f>
        <v>I0201N51.</v>
      </c>
      <c r="CO163" t="s">
        <v>465</v>
      </c>
      <c r="CP163" t="s">
        <v>12</v>
      </c>
      <c r="CQ163" s="40"/>
      <c r="CR163" s="30" t="s">
        <v>631</v>
      </c>
    </row>
    <row r="164" spans="2:96" x14ac:dyDescent="0.35">
      <c r="B164" s="4" t="str">
        <f t="shared" si="101"/>
        <v>FANUC_SxxRyy</v>
      </c>
      <c r="C164" s="4"/>
      <c r="D164" s="4" t="str">
        <f t="shared" si="102"/>
        <v>To_PLC_PartPresent3</v>
      </c>
      <c r="E164" s="4" t="str">
        <f t="shared" si="103"/>
        <v>ENBT200:1:I.Data[84].14</v>
      </c>
      <c r="F164" s="4" t="str">
        <f t="shared" si="104"/>
        <v>I</v>
      </c>
      <c r="G164" s="4" t="str">
        <f t="shared" si="105"/>
        <v/>
      </c>
      <c r="H164" s="4" t="str">
        <f t="shared" si="106"/>
        <v>Controller: &lt;I0201N51.b79&gt; - ROBOT PART PRESENT 3 DO79</v>
      </c>
      <c r="I164" s="4" t="str">
        <f t="shared" si="107"/>
        <v>AB_RACKx_SLOTa</v>
      </c>
      <c r="J164" s="4"/>
      <c r="K164" s="56" t="str">
        <f t="shared" si="108"/>
        <v>BOOL</v>
      </c>
      <c r="L164" s="56" t="str">
        <f t="shared" si="4"/>
        <v>ROBOTS\SxxRyy</v>
      </c>
      <c r="M164" s="56" t="str">
        <f t="shared" si="5"/>
        <v>STELLANTIS\Common\ToolPrototype\Robots</v>
      </c>
      <c r="N164" s="56" t="str">
        <f t="shared" si="6"/>
        <v>STELLANTIS_DN_FANUC_ROBOT_128_BIT_INTEGRATED_SAFETY_SxxRyy.v00</v>
      </c>
      <c r="O164" s="56" t="str">
        <f t="shared" si="109"/>
        <v/>
      </c>
      <c r="P164" s="56" t="str">
        <f t="shared" si="110"/>
        <v/>
      </c>
      <c r="Q164" s="56" t="str">
        <f t="shared" si="111"/>
        <v/>
      </c>
      <c r="R164" s="56" t="str">
        <f t="shared" si="112"/>
        <v/>
      </c>
      <c r="S164" s="56" t="str">
        <f t="shared" si="113"/>
        <v/>
      </c>
      <c r="T164" s="56" t="str">
        <f t="shared" si="114"/>
        <v/>
      </c>
      <c r="U164" s="56" t="str">
        <f t="shared" si="115"/>
        <v/>
      </c>
      <c r="V164" s="56" t="str">
        <f t="shared" si="116"/>
        <v/>
      </c>
      <c r="W164" s="56"/>
      <c r="X164" s="56"/>
      <c r="Y164" s="56"/>
      <c r="Z164" s="56" t="str">
        <f t="shared" si="117"/>
        <v/>
      </c>
      <c r="AA164" s="56" t="str">
        <f t="shared" si="118"/>
        <v/>
      </c>
      <c r="AB164" s="56" t="str">
        <f t="shared" si="9"/>
        <v>ToolPrototype</v>
      </c>
      <c r="AC164" s="56" t="str">
        <f t="shared" si="119"/>
        <v>Optional</v>
      </c>
      <c r="AD164" s="56" t="str">
        <f t="shared" si="10"/>
        <v>&lt;device&gt;
&lt;name&gt;SxxRyy&lt;/name&gt;
&lt;type&gt;FCA_DN_FANUC&lt;/type&gt;
&lt;deviceNetwork&gt;201&lt;/deviceNetwork&gt;
&lt;deviceNode&gt;56&lt;/deviceNode&gt;
&lt;/device&gt;</v>
      </c>
      <c r="AE164" s="56" t="str">
        <f t="shared" si="11"/>
        <v/>
      </c>
      <c r="AF164" s="56" t="str">
        <f t="shared" si="12"/>
        <v/>
      </c>
      <c r="AG164" s="56" t="str">
        <f t="shared" si="13"/>
        <v/>
      </c>
      <c r="AH164" s="56" t="str">
        <f t="shared" si="14"/>
        <v/>
      </c>
      <c r="AI164" s="56" t="str">
        <f t="shared" si="15"/>
        <v/>
      </c>
      <c r="AJ164" s="56" t="str">
        <f t="shared" si="16"/>
        <v/>
      </c>
      <c r="AK164" s="56" t="str">
        <f t="shared" si="17"/>
        <v/>
      </c>
      <c r="AL164" s="56" t="str">
        <f t="shared" si="18"/>
        <v/>
      </c>
      <c r="AM164" s="56" t="str">
        <f t="shared" si="19"/>
        <v/>
      </c>
      <c r="AN164" s="56">
        <f t="shared" si="120"/>
        <v>305</v>
      </c>
      <c r="AO164" s="56" t="str">
        <f t="shared" si="121"/>
        <v>ROBOTS:SxxRyy\MH|ROBOTS_NOPLC:SxxRyy\MH</v>
      </c>
      <c r="AP164" s="56" t="str">
        <f t="shared" si="122"/>
        <v>PLC</v>
      </c>
      <c r="AQ164" s="56" t="str">
        <f t="shared" si="123"/>
        <v>EXIT</v>
      </c>
      <c r="AR164" s="39" t="s">
        <v>130</v>
      </c>
      <c r="AT164" s="44" t="str">
        <f t="shared" si="124"/>
        <v>BOOL</v>
      </c>
      <c r="AU164" s="23">
        <f t="shared" si="125"/>
        <v>0</v>
      </c>
      <c r="AV164" s="23" t="str">
        <f t="shared" si="126"/>
        <v>I</v>
      </c>
      <c r="AW164" s="23" t="str">
        <f t="shared" si="127"/>
        <v xml:space="preserve">I.: </v>
      </c>
      <c r="AX164" s="23" t="str">
        <f t="shared" si="128"/>
        <v>ENBT200:1:I.Data[84].14</v>
      </c>
      <c r="AY164" s="36" t="str">
        <f t="shared" si="129"/>
        <v xml:space="preserve">Controller: &lt;I0201N51.b79&gt; - </v>
      </c>
      <c r="BB164" s="42" t="s">
        <v>17</v>
      </c>
      <c r="BC164" t="s">
        <v>16</v>
      </c>
      <c r="BD164" t="str">
        <f t="shared" si="131"/>
        <v>AB_RACKx_SLOTa</v>
      </c>
      <c r="BR164">
        <v>305</v>
      </c>
      <c r="BS164" t="str">
        <f t="shared" si="132"/>
        <v>ROBOTS:SxxRyy\MH|ROBOTS_NOPLC:SxxRyy\MH</v>
      </c>
      <c r="BT164" t="str">
        <f>IF(Prep!$R$4="","X","")</f>
        <v/>
      </c>
      <c r="BV164" s="30" t="s">
        <v>632</v>
      </c>
      <c r="BW164" t="str">
        <f t="shared" si="100"/>
        <v>DO[79]</v>
      </c>
      <c r="BY164" s="42"/>
      <c r="CB164" s="42"/>
      <c r="CE164" s="30"/>
      <c r="CH164" s="42"/>
      <c r="CJ164" t="str">
        <f>Prep!$U$3&amp;":I.Data["&amp;Prep!$U$7+2&amp;"]."</f>
        <v>ENBT200:1:I.Data[84].</v>
      </c>
      <c r="CK164">
        <v>14</v>
      </c>
      <c r="CM164" t="s">
        <v>75</v>
      </c>
      <c r="CN164" s="30" t="str">
        <f>"I0"&amp;Header_Config03&amp;"N"&amp;TEXT(Prep!$U$6,"00")&amp;"."</f>
        <v>I0201N51.</v>
      </c>
      <c r="CO164" t="s">
        <v>468</v>
      </c>
      <c r="CP164" t="s">
        <v>12</v>
      </c>
      <c r="CQ164" s="40"/>
      <c r="CR164" s="30" t="s">
        <v>633</v>
      </c>
    </row>
    <row r="165" spans="2:96" x14ac:dyDescent="0.35">
      <c r="B165" s="4" t="str">
        <f t="shared" si="101"/>
        <v>FANUC_SxxRyy</v>
      </c>
      <c r="C165" s="4"/>
      <c r="D165" s="4" t="str">
        <f t="shared" si="102"/>
        <v>To_PLC_PartPresent4</v>
      </c>
      <c r="E165" s="4" t="str">
        <f t="shared" si="103"/>
        <v>ENBT200:1:I.Data[84].15</v>
      </c>
      <c r="F165" s="4" t="str">
        <f t="shared" si="104"/>
        <v>I</v>
      </c>
      <c r="G165" s="4" t="str">
        <f t="shared" si="105"/>
        <v/>
      </c>
      <c r="H165" s="4" t="str">
        <f t="shared" si="106"/>
        <v>Controller: &lt;I0201N51.b80&gt; - ROBOT PART PRESENT 4 DO80</v>
      </c>
      <c r="I165" s="4" t="str">
        <f t="shared" si="107"/>
        <v>AB_RACKx_SLOTa</v>
      </c>
      <c r="J165" s="4"/>
      <c r="K165" s="56" t="str">
        <f t="shared" si="108"/>
        <v>BOOL</v>
      </c>
      <c r="L165" s="56" t="str">
        <f t="shared" si="4"/>
        <v>ROBOTS\SxxRyy</v>
      </c>
      <c r="M165" s="56" t="str">
        <f t="shared" si="5"/>
        <v>STELLANTIS\Common\ToolPrototype\Robots</v>
      </c>
      <c r="N165" s="56" t="str">
        <f t="shared" si="6"/>
        <v>STELLANTIS_DN_FANUC_ROBOT_128_BIT_INTEGRATED_SAFETY_SxxRyy.v00</v>
      </c>
      <c r="O165" s="56" t="str">
        <f t="shared" si="109"/>
        <v/>
      </c>
      <c r="P165" s="56" t="str">
        <f t="shared" si="110"/>
        <v/>
      </c>
      <c r="Q165" s="56" t="str">
        <f t="shared" si="111"/>
        <v/>
      </c>
      <c r="R165" s="56" t="str">
        <f t="shared" si="112"/>
        <v/>
      </c>
      <c r="S165" s="56" t="str">
        <f t="shared" si="113"/>
        <v/>
      </c>
      <c r="T165" s="56" t="str">
        <f t="shared" si="114"/>
        <v/>
      </c>
      <c r="U165" s="56" t="str">
        <f t="shared" si="115"/>
        <v/>
      </c>
      <c r="V165" s="56" t="str">
        <f t="shared" si="116"/>
        <v/>
      </c>
      <c r="W165" s="56"/>
      <c r="X165" s="56"/>
      <c r="Y165" s="56"/>
      <c r="Z165" s="56" t="str">
        <f t="shared" si="117"/>
        <v/>
      </c>
      <c r="AA165" s="56" t="str">
        <f t="shared" si="118"/>
        <v/>
      </c>
      <c r="AB165" s="56" t="str">
        <f t="shared" si="9"/>
        <v>ToolPrototype</v>
      </c>
      <c r="AC165" s="56" t="str">
        <f t="shared" si="119"/>
        <v>Optional</v>
      </c>
      <c r="AD165" s="56" t="str">
        <f t="shared" si="10"/>
        <v>&lt;device&gt;
&lt;name&gt;SxxRyy&lt;/name&gt;
&lt;type&gt;FCA_DN_FANUC&lt;/type&gt;
&lt;deviceNetwork&gt;201&lt;/deviceNetwork&gt;
&lt;deviceNode&gt;56&lt;/deviceNode&gt;
&lt;/device&gt;</v>
      </c>
      <c r="AE165" s="56" t="str">
        <f t="shared" si="11"/>
        <v/>
      </c>
      <c r="AF165" s="56" t="str">
        <f t="shared" si="12"/>
        <v/>
      </c>
      <c r="AG165" s="56" t="str">
        <f t="shared" si="13"/>
        <v/>
      </c>
      <c r="AH165" s="56" t="str">
        <f t="shared" si="14"/>
        <v/>
      </c>
      <c r="AI165" s="56" t="str">
        <f t="shared" si="15"/>
        <v/>
      </c>
      <c r="AJ165" s="56" t="str">
        <f t="shared" si="16"/>
        <v/>
      </c>
      <c r="AK165" s="56" t="str">
        <f t="shared" si="17"/>
        <v/>
      </c>
      <c r="AL165" s="56" t="str">
        <f t="shared" si="18"/>
        <v/>
      </c>
      <c r="AM165" s="56" t="str">
        <f t="shared" si="19"/>
        <v/>
      </c>
      <c r="AN165" s="56">
        <f t="shared" si="120"/>
        <v>305</v>
      </c>
      <c r="AO165" s="56" t="str">
        <f t="shared" si="121"/>
        <v>ROBOTS:SxxRyy\MH|ROBOTS_NOPLC:SxxRyy\MH</v>
      </c>
      <c r="AP165" s="56" t="str">
        <f t="shared" si="122"/>
        <v>PLC</v>
      </c>
      <c r="AQ165" s="56" t="str">
        <f t="shared" si="123"/>
        <v>EXIT</v>
      </c>
      <c r="AR165" s="39" t="s">
        <v>130</v>
      </c>
      <c r="AT165" s="44" t="str">
        <f t="shared" si="124"/>
        <v>BOOL</v>
      </c>
      <c r="AU165" s="23">
        <f t="shared" si="125"/>
        <v>0</v>
      </c>
      <c r="AV165" s="23" t="str">
        <f t="shared" si="126"/>
        <v>I</v>
      </c>
      <c r="AW165" s="23" t="str">
        <f t="shared" si="127"/>
        <v xml:space="preserve">I.: </v>
      </c>
      <c r="AX165" s="23" t="str">
        <f t="shared" si="128"/>
        <v>ENBT200:1:I.Data[84].15</v>
      </c>
      <c r="AY165" s="36" t="str">
        <f t="shared" si="129"/>
        <v xml:space="preserve">Controller: &lt;I0201N51.b80&gt; - </v>
      </c>
      <c r="BB165" s="42" t="s">
        <v>17</v>
      </c>
      <c r="BC165" t="s">
        <v>16</v>
      </c>
      <c r="BD165" t="str">
        <f t="shared" si="131"/>
        <v>AB_RACKx_SLOTa</v>
      </c>
      <c r="BR165">
        <v>305</v>
      </c>
      <c r="BS165" t="str">
        <f t="shared" si="132"/>
        <v>ROBOTS:SxxRyy\MH|ROBOTS_NOPLC:SxxRyy\MH</v>
      </c>
      <c r="BT165" t="str">
        <f>IF(Prep!$R$5="","X","")</f>
        <v/>
      </c>
      <c r="BV165" s="30" t="s">
        <v>634</v>
      </c>
      <c r="BW165" t="str">
        <f t="shared" si="100"/>
        <v>DO[80]</v>
      </c>
      <c r="BY165" s="42"/>
      <c r="CB165" s="42"/>
      <c r="CE165" s="30"/>
      <c r="CH165" s="42"/>
      <c r="CJ165" t="str">
        <f>Prep!$U$3&amp;":I.Data["&amp;Prep!$U$7+2&amp;"]."</f>
        <v>ENBT200:1:I.Data[84].</v>
      </c>
      <c r="CK165">
        <v>15</v>
      </c>
      <c r="CM165" t="s">
        <v>75</v>
      </c>
      <c r="CN165" s="30" t="str">
        <f>"I0"&amp;Header_Config03&amp;"N"&amp;TEXT(Prep!$U$6,"00")&amp;"."</f>
        <v>I0201N51.</v>
      </c>
      <c r="CO165" t="s">
        <v>471</v>
      </c>
      <c r="CP165" t="s">
        <v>12</v>
      </c>
      <c r="CQ165" s="40"/>
      <c r="CR165" s="30" t="s">
        <v>635</v>
      </c>
    </row>
    <row r="166" spans="2:96" x14ac:dyDescent="0.35">
      <c r="B166" s="4" t="str">
        <f t="shared" si="101"/>
        <v>&lt;BLANK&gt;</v>
      </c>
      <c r="C166" s="4"/>
      <c r="D166" s="4" t="str">
        <f t="shared" si="102"/>
        <v>To_PLC_PartPresent5</v>
      </c>
      <c r="E166" s="4" t="str">
        <f t="shared" si="103"/>
        <v>ENBT200:1:I.Data[84].16</v>
      </c>
      <c r="F166" s="4" t="str">
        <f t="shared" si="104"/>
        <v>I</v>
      </c>
      <c r="G166" s="4" t="str">
        <f t="shared" si="105"/>
        <v/>
      </c>
      <c r="H166" s="4" t="str">
        <f t="shared" si="106"/>
        <v>Controller: &lt;I0201N51.b81&gt; - ROBOT PART PRESENT 5 DO81</v>
      </c>
      <c r="I166" s="4" t="str">
        <f t="shared" si="107"/>
        <v>AB_RACKx_SLOTa</v>
      </c>
      <c r="J166" s="4"/>
      <c r="K166" s="56" t="str">
        <f t="shared" si="108"/>
        <v>BOOL</v>
      </c>
      <c r="L166" s="56" t="str">
        <f t="shared" si="4"/>
        <v>ROBOTS\SxxRyy</v>
      </c>
      <c r="M166" s="56" t="str">
        <f t="shared" si="5"/>
        <v>STELLANTIS\Common\ToolPrototype\Robots</v>
      </c>
      <c r="N166" s="56" t="str">
        <f t="shared" si="6"/>
        <v>STELLANTIS_DN_FANUC_ROBOT_128_BIT_INTEGRATED_SAFETY_SxxRyy.v00</v>
      </c>
      <c r="O166" s="56" t="str">
        <f t="shared" si="109"/>
        <v/>
      </c>
      <c r="P166" s="56" t="str">
        <f t="shared" si="110"/>
        <v/>
      </c>
      <c r="Q166" s="56" t="str">
        <f t="shared" si="111"/>
        <v/>
      </c>
      <c r="R166" s="56" t="str">
        <f t="shared" si="112"/>
        <v/>
      </c>
      <c r="S166" s="56" t="str">
        <f t="shared" si="113"/>
        <v/>
      </c>
      <c r="T166" s="56" t="str">
        <f t="shared" si="114"/>
        <v/>
      </c>
      <c r="U166" s="56" t="str">
        <f t="shared" si="115"/>
        <v/>
      </c>
      <c r="V166" s="56" t="str">
        <f t="shared" si="116"/>
        <v/>
      </c>
      <c r="W166" s="56"/>
      <c r="X166" s="56"/>
      <c r="Y166" s="56"/>
      <c r="Z166" s="56" t="str">
        <f t="shared" si="117"/>
        <v/>
      </c>
      <c r="AA166" s="56" t="str">
        <f t="shared" si="118"/>
        <v/>
      </c>
      <c r="AB166" s="56" t="str">
        <f t="shared" si="9"/>
        <v>ToolPrototype</v>
      </c>
      <c r="AC166" s="56" t="str">
        <f t="shared" si="119"/>
        <v>Optional</v>
      </c>
      <c r="AD166" s="56" t="str">
        <f t="shared" si="10"/>
        <v>&lt;device&gt;
&lt;name&gt;SxxRyy&lt;/name&gt;
&lt;type&gt;FCA_DN_FANUC&lt;/type&gt;
&lt;deviceNetwork&gt;201&lt;/deviceNetwork&gt;
&lt;deviceNode&gt;56&lt;/deviceNode&gt;
&lt;/device&gt;</v>
      </c>
      <c r="AE166" s="56" t="str">
        <f t="shared" si="11"/>
        <v/>
      </c>
      <c r="AF166" s="56" t="str">
        <f t="shared" si="12"/>
        <v/>
      </c>
      <c r="AG166" s="56" t="str">
        <f t="shared" si="13"/>
        <v/>
      </c>
      <c r="AH166" s="56" t="str">
        <f t="shared" si="14"/>
        <v/>
      </c>
      <c r="AI166" s="56" t="str">
        <f t="shared" si="15"/>
        <v/>
      </c>
      <c r="AJ166" s="56" t="str">
        <f t="shared" si="16"/>
        <v/>
      </c>
      <c r="AK166" s="56" t="str">
        <f t="shared" si="17"/>
        <v/>
      </c>
      <c r="AL166" s="56" t="str">
        <f t="shared" si="18"/>
        <v/>
      </c>
      <c r="AM166" s="56" t="str">
        <f t="shared" si="19"/>
        <v/>
      </c>
      <c r="AN166" s="56">
        <f t="shared" si="120"/>
        <v>305</v>
      </c>
      <c r="AO166" s="56" t="str">
        <f t="shared" si="121"/>
        <v>ROBOTS:SxxRyy\MH|ROBOTS_NOPLC:SxxRyy\MH</v>
      </c>
      <c r="AP166" s="56" t="str">
        <f t="shared" si="122"/>
        <v>PLC</v>
      </c>
      <c r="AQ166" s="56" t="str">
        <f t="shared" si="123"/>
        <v>EXIT</v>
      </c>
      <c r="AR166" s="39" t="s">
        <v>130</v>
      </c>
      <c r="AT166" s="44" t="str">
        <f t="shared" si="124"/>
        <v>BOOL</v>
      </c>
      <c r="AU166" s="23">
        <f t="shared" si="125"/>
        <v>0</v>
      </c>
      <c r="AV166" s="23" t="str">
        <f t="shared" si="126"/>
        <v>I</v>
      </c>
      <c r="AW166" s="23" t="str">
        <f t="shared" si="127"/>
        <v xml:space="preserve">I.: </v>
      </c>
      <c r="AX166" s="23" t="str">
        <f t="shared" si="128"/>
        <v>ENBT200:1:I.Data[84].16</v>
      </c>
      <c r="AY166" s="36" t="str">
        <f t="shared" si="129"/>
        <v xml:space="preserve">Controller: &lt;I0201N51.b81&gt; - </v>
      </c>
      <c r="BB166" s="42" t="s">
        <v>17</v>
      </c>
      <c r="BC166" t="s">
        <v>16</v>
      </c>
      <c r="BD166" t="str">
        <f t="shared" si="131"/>
        <v>AB_RACKx_SLOTa</v>
      </c>
      <c r="BR166">
        <v>305</v>
      </c>
      <c r="BS166" t="str">
        <f t="shared" si="132"/>
        <v>ROBOTS:SxxRyy\MH|ROBOTS_NOPLC:SxxRyy\MH</v>
      </c>
      <c r="BT166" t="str">
        <f>IF(Prep!$R$6="","X","")</f>
        <v>X</v>
      </c>
      <c r="BV166" s="30" t="s">
        <v>636</v>
      </c>
      <c r="BW166" t="str">
        <f t="shared" si="100"/>
        <v>DO[81]</v>
      </c>
      <c r="BY166" s="42"/>
      <c r="CB166" s="42"/>
      <c r="CE166" s="30"/>
      <c r="CH166" s="42"/>
      <c r="CJ166" t="str">
        <f>Prep!$U$3&amp;":I.Data["&amp;Prep!$U$7+2&amp;"]."</f>
        <v>ENBT200:1:I.Data[84].</v>
      </c>
      <c r="CK166">
        <v>16</v>
      </c>
      <c r="CM166" t="s">
        <v>75</v>
      </c>
      <c r="CN166" s="30" t="str">
        <f>"I0"&amp;Header_Config03&amp;"N"&amp;TEXT(Prep!$U$6,"00")&amp;"."</f>
        <v>I0201N51.</v>
      </c>
      <c r="CO166" t="s">
        <v>637</v>
      </c>
      <c r="CP166" t="s">
        <v>12</v>
      </c>
      <c r="CQ166" s="40"/>
      <c r="CR166" s="30" t="s">
        <v>638</v>
      </c>
    </row>
    <row r="167" spans="2:96" x14ac:dyDescent="0.35">
      <c r="B167" s="4" t="str">
        <f t="shared" si="101"/>
        <v>FANUC_SxxRyy</v>
      </c>
      <c r="C167" s="4"/>
      <c r="D167" s="4" t="str">
        <f t="shared" si="102"/>
        <v>To_PLC_PartPresent6</v>
      </c>
      <c r="E167" s="4" t="str">
        <f t="shared" si="103"/>
        <v>ENBT200:1:I.Data[84].17</v>
      </c>
      <c r="F167" s="4" t="str">
        <f t="shared" si="104"/>
        <v>I</v>
      </c>
      <c r="G167" s="4" t="str">
        <f t="shared" si="105"/>
        <v/>
      </c>
      <c r="H167" s="4" t="str">
        <f t="shared" si="106"/>
        <v>Controller: &lt;I0201N51.b82&gt; - ROBOT PART PRESENT 6 DO82</v>
      </c>
      <c r="I167" s="4" t="str">
        <f t="shared" si="107"/>
        <v>AB_RACKx_SLOTa</v>
      </c>
      <c r="J167" s="4"/>
      <c r="K167" s="56" t="str">
        <f t="shared" si="108"/>
        <v>BOOL</v>
      </c>
      <c r="L167" s="56" t="str">
        <f t="shared" si="4"/>
        <v>ROBOTS\SxxRyy</v>
      </c>
      <c r="M167" s="56" t="str">
        <f t="shared" si="5"/>
        <v>STELLANTIS\Common\ToolPrototype\Robots</v>
      </c>
      <c r="N167" s="56" t="str">
        <f t="shared" si="6"/>
        <v>STELLANTIS_DN_FANUC_ROBOT_128_BIT_INTEGRATED_SAFETY_SxxRyy.v00</v>
      </c>
      <c r="O167" s="56" t="str">
        <f t="shared" si="109"/>
        <v/>
      </c>
      <c r="P167" s="56" t="str">
        <f t="shared" si="110"/>
        <v/>
      </c>
      <c r="Q167" s="56" t="str">
        <f t="shared" si="111"/>
        <v/>
      </c>
      <c r="R167" s="56" t="str">
        <f t="shared" si="112"/>
        <v/>
      </c>
      <c r="S167" s="56" t="str">
        <f t="shared" si="113"/>
        <v/>
      </c>
      <c r="T167" s="56" t="str">
        <f t="shared" si="114"/>
        <v/>
      </c>
      <c r="U167" s="56" t="str">
        <f t="shared" si="115"/>
        <v/>
      </c>
      <c r="V167" s="56" t="str">
        <f t="shared" si="116"/>
        <v/>
      </c>
      <c r="W167" s="56"/>
      <c r="X167" s="56"/>
      <c r="Y167" s="56"/>
      <c r="Z167" s="56" t="str">
        <f t="shared" si="117"/>
        <v/>
      </c>
      <c r="AA167" s="56" t="str">
        <f t="shared" si="118"/>
        <v/>
      </c>
      <c r="AB167" s="56" t="str">
        <f t="shared" si="9"/>
        <v>ToolPrototype</v>
      </c>
      <c r="AC167" s="56" t="str">
        <f t="shared" si="119"/>
        <v>Optional</v>
      </c>
      <c r="AD167" s="56" t="str">
        <f t="shared" si="10"/>
        <v>&lt;device&gt;
&lt;name&gt;SxxRyy&lt;/name&gt;
&lt;type&gt;FCA_DN_FANUC&lt;/type&gt;
&lt;deviceNetwork&gt;201&lt;/deviceNetwork&gt;
&lt;deviceNode&gt;56&lt;/deviceNode&gt;
&lt;/device&gt;</v>
      </c>
      <c r="AE167" s="56" t="str">
        <f t="shared" si="11"/>
        <v/>
      </c>
      <c r="AF167" s="56" t="str">
        <f t="shared" si="12"/>
        <v/>
      </c>
      <c r="AG167" s="56" t="str">
        <f t="shared" si="13"/>
        <v/>
      </c>
      <c r="AH167" s="56" t="str">
        <f t="shared" si="14"/>
        <v/>
      </c>
      <c r="AI167" s="56" t="str">
        <f t="shared" si="15"/>
        <v/>
      </c>
      <c r="AJ167" s="56" t="str">
        <f t="shared" si="16"/>
        <v/>
      </c>
      <c r="AK167" s="56" t="str">
        <f t="shared" si="17"/>
        <v/>
      </c>
      <c r="AL167" s="56" t="str">
        <f t="shared" si="18"/>
        <v/>
      </c>
      <c r="AM167" s="56" t="str">
        <f t="shared" si="19"/>
        <v/>
      </c>
      <c r="AN167" s="56">
        <f t="shared" si="120"/>
        <v>305</v>
      </c>
      <c r="AO167" s="56" t="str">
        <f t="shared" si="121"/>
        <v>ROBOTS:SxxRyy\MH|ROBOTS_NOPLC:SxxRyy\MH</v>
      </c>
      <c r="AP167" s="56" t="str">
        <f t="shared" si="122"/>
        <v>PLC</v>
      </c>
      <c r="AQ167" s="56" t="str">
        <f t="shared" si="123"/>
        <v>EXIT</v>
      </c>
      <c r="AR167" s="39" t="s">
        <v>130</v>
      </c>
      <c r="AT167" s="44" t="str">
        <f t="shared" si="124"/>
        <v>BOOL</v>
      </c>
      <c r="AU167" s="23">
        <f t="shared" si="125"/>
        <v>0</v>
      </c>
      <c r="AV167" s="23" t="str">
        <f t="shared" si="126"/>
        <v>I</v>
      </c>
      <c r="AW167" s="23" t="str">
        <f t="shared" si="127"/>
        <v xml:space="preserve">I.: </v>
      </c>
      <c r="AX167" s="23" t="str">
        <f t="shared" si="128"/>
        <v>ENBT200:1:I.Data[84].17</v>
      </c>
      <c r="AY167" s="36" t="str">
        <f t="shared" si="129"/>
        <v xml:space="preserve">Controller: &lt;I0201N51.b82&gt; - </v>
      </c>
      <c r="BB167" s="42" t="s">
        <v>17</v>
      </c>
      <c r="BC167" t="s">
        <v>16</v>
      </c>
      <c r="BD167" t="str">
        <f t="shared" si="131"/>
        <v>AB_RACKx_SLOTa</v>
      </c>
      <c r="BR167">
        <v>305</v>
      </c>
      <c r="BS167" t="str">
        <f t="shared" si="132"/>
        <v>ROBOTS:SxxRyy\MH|ROBOTS_NOPLC:SxxRyy\MH</v>
      </c>
      <c r="BT167" t="str">
        <f>IF(Prep!$R$7="","X","")</f>
        <v/>
      </c>
      <c r="BV167" s="30" t="s">
        <v>639</v>
      </c>
      <c r="BW167" t="str">
        <f t="shared" si="100"/>
        <v>DO[82]</v>
      </c>
      <c r="BY167" s="42"/>
      <c r="CB167" s="42"/>
      <c r="CE167" s="30"/>
      <c r="CH167" s="42"/>
      <c r="CJ167" t="str">
        <f>Prep!$U$3&amp;":I.Data["&amp;Prep!$U$7+2&amp;"]."</f>
        <v>ENBT200:1:I.Data[84].</v>
      </c>
      <c r="CK167">
        <v>17</v>
      </c>
      <c r="CM167" t="s">
        <v>75</v>
      </c>
      <c r="CN167" s="30" t="str">
        <f>"I0"&amp;Header_Config03&amp;"N"&amp;TEXT(Prep!$U$6,"00")&amp;"."</f>
        <v>I0201N51.</v>
      </c>
      <c r="CO167" t="s">
        <v>474</v>
      </c>
      <c r="CP167" t="s">
        <v>12</v>
      </c>
      <c r="CQ167" s="40"/>
      <c r="CR167" s="30" t="s">
        <v>640</v>
      </c>
    </row>
    <row r="168" spans="2:96" x14ac:dyDescent="0.35">
      <c r="B168" s="4" t="str">
        <f t="shared" si="101"/>
        <v>FANUC_SxxRyy</v>
      </c>
      <c r="C168" s="4"/>
      <c r="D168" s="4" t="str">
        <f t="shared" si="102"/>
        <v>To_PLC_PartPresent7</v>
      </c>
      <c r="E168" s="4" t="str">
        <f t="shared" si="103"/>
        <v>ENBT200:1:I.Data[84].18</v>
      </c>
      <c r="F168" s="4" t="str">
        <f t="shared" si="104"/>
        <v>I</v>
      </c>
      <c r="G168" s="4" t="str">
        <f t="shared" si="105"/>
        <v/>
      </c>
      <c r="H168" s="4" t="str">
        <f t="shared" si="106"/>
        <v>Controller: &lt;I0201N51.b83&gt; - ROBOT PART PRESENT 7 DO83</v>
      </c>
      <c r="I168" s="4" t="str">
        <f t="shared" si="107"/>
        <v>AB_RACKx_SLOTa</v>
      </c>
      <c r="J168" s="4"/>
      <c r="K168" s="56" t="str">
        <f t="shared" si="108"/>
        <v>BOOL</v>
      </c>
      <c r="L168" s="56" t="str">
        <f t="shared" si="4"/>
        <v>ROBOTS\SxxRyy</v>
      </c>
      <c r="M168" s="56" t="str">
        <f t="shared" si="5"/>
        <v>STELLANTIS\Common\ToolPrototype\Robots</v>
      </c>
      <c r="N168" s="56" t="str">
        <f t="shared" si="6"/>
        <v>STELLANTIS_DN_FANUC_ROBOT_128_BIT_INTEGRATED_SAFETY_SxxRyy.v00</v>
      </c>
      <c r="O168" s="56" t="str">
        <f t="shared" si="109"/>
        <v/>
      </c>
      <c r="P168" s="56" t="str">
        <f t="shared" si="110"/>
        <v/>
      </c>
      <c r="Q168" s="56" t="str">
        <f t="shared" si="111"/>
        <v/>
      </c>
      <c r="R168" s="56" t="str">
        <f t="shared" si="112"/>
        <v/>
      </c>
      <c r="S168" s="56" t="str">
        <f t="shared" si="113"/>
        <v/>
      </c>
      <c r="T168" s="56" t="str">
        <f t="shared" si="114"/>
        <v/>
      </c>
      <c r="U168" s="56" t="str">
        <f t="shared" si="115"/>
        <v/>
      </c>
      <c r="V168" s="56" t="str">
        <f t="shared" si="116"/>
        <v/>
      </c>
      <c r="W168" s="56"/>
      <c r="X168" s="56"/>
      <c r="Y168" s="56"/>
      <c r="Z168" s="56" t="str">
        <f t="shared" si="117"/>
        <v/>
      </c>
      <c r="AA168" s="56" t="str">
        <f t="shared" si="118"/>
        <v/>
      </c>
      <c r="AB168" s="56" t="str">
        <f t="shared" si="9"/>
        <v>ToolPrototype</v>
      </c>
      <c r="AC168" s="56" t="str">
        <f t="shared" si="119"/>
        <v>Optional</v>
      </c>
      <c r="AD168" s="56" t="str">
        <f t="shared" si="10"/>
        <v>&lt;device&gt;
&lt;name&gt;SxxRyy&lt;/name&gt;
&lt;type&gt;FCA_DN_FANUC&lt;/type&gt;
&lt;deviceNetwork&gt;201&lt;/deviceNetwork&gt;
&lt;deviceNode&gt;56&lt;/deviceNode&gt;
&lt;/device&gt;</v>
      </c>
      <c r="AE168" s="56" t="str">
        <f t="shared" si="11"/>
        <v/>
      </c>
      <c r="AF168" s="56" t="str">
        <f t="shared" si="12"/>
        <v/>
      </c>
      <c r="AG168" s="56" t="str">
        <f t="shared" si="13"/>
        <v/>
      </c>
      <c r="AH168" s="56" t="str">
        <f t="shared" si="14"/>
        <v/>
      </c>
      <c r="AI168" s="56" t="str">
        <f t="shared" si="15"/>
        <v/>
      </c>
      <c r="AJ168" s="56" t="str">
        <f t="shared" si="16"/>
        <v/>
      </c>
      <c r="AK168" s="56" t="str">
        <f t="shared" si="17"/>
        <v/>
      </c>
      <c r="AL168" s="56" t="str">
        <f t="shared" si="18"/>
        <v/>
      </c>
      <c r="AM168" s="56" t="str">
        <f t="shared" si="19"/>
        <v/>
      </c>
      <c r="AN168" s="56">
        <f t="shared" si="120"/>
        <v>305</v>
      </c>
      <c r="AO168" s="56" t="str">
        <f t="shared" si="121"/>
        <v>ROBOTS:SxxRyy\MH|ROBOTS_NOPLC:SxxRyy\MH</v>
      </c>
      <c r="AP168" s="56" t="str">
        <f t="shared" si="122"/>
        <v>PLC</v>
      </c>
      <c r="AQ168" s="56" t="str">
        <f t="shared" si="123"/>
        <v>EXIT</v>
      </c>
      <c r="AR168" s="39" t="s">
        <v>130</v>
      </c>
      <c r="AT168" s="44" t="str">
        <f t="shared" si="124"/>
        <v>BOOL</v>
      </c>
      <c r="AU168" s="23">
        <f t="shared" si="125"/>
        <v>0</v>
      </c>
      <c r="AV168" s="23" t="str">
        <f t="shared" si="126"/>
        <v>I</v>
      </c>
      <c r="AW168" s="23" t="str">
        <f t="shared" si="127"/>
        <v xml:space="preserve">I.: </v>
      </c>
      <c r="AX168" s="23" t="str">
        <f t="shared" si="128"/>
        <v>ENBT200:1:I.Data[84].18</v>
      </c>
      <c r="AY168" s="36" t="str">
        <f t="shared" si="129"/>
        <v xml:space="preserve">Controller: &lt;I0201N51.b83&gt; - </v>
      </c>
      <c r="BB168" s="42" t="s">
        <v>17</v>
      </c>
      <c r="BC168" t="s">
        <v>16</v>
      </c>
      <c r="BD168" t="str">
        <f t="shared" si="131"/>
        <v>AB_RACKx_SLOTa</v>
      </c>
      <c r="BR168">
        <v>305</v>
      </c>
      <c r="BS168" t="str">
        <f t="shared" si="132"/>
        <v>ROBOTS:SxxRyy\MH|ROBOTS_NOPLC:SxxRyy\MH</v>
      </c>
      <c r="BT168" t="str">
        <f>IF(Prep!$R$8="","X","")</f>
        <v/>
      </c>
      <c r="BV168" s="30" t="s">
        <v>641</v>
      </c>
      <c r="BW168" t="str">
        <f t="shared" si="100"/>
        <v>DO[83]</v>
      </c>
      <c r="BY168" s="42"/>
      <c r="CB168" s="42"/>
      <c r="CE168" s="30"/>
      <c r="CH168" s="42"/>
      <c r="CJ168" t="str">
        <f>Prep!$U$3&amp;":I.Data["&amp;Prep!$U$7+2&amp;"]."</f>
        <v>ENBT200:1:I.Data[84].</v>
      </c>
      <c r="CK168">
        <v>18</v>
      </c>
      <c r="CM168" t="s">
        <v>75</v>
      </c>
      <c r="CN168" s="30" t="str">
        <f>"I0"&amp;Header_Config03&amp;"N"&amp;TEXT(Prep!$U$6,"00")&amp;"."</f>
        <v>I0201N51.</v>
      </c>
      <c r="CO168" t="s">
        <v>477</v>
      </c>
      <c r="CP168" t="s">
        <v>12</v>
      </c>
      <c r="CQ168" s="40"/>
      <c r="CR168" s="30" t="s">
        <v>642</v>
      </c>
    </row>
    <row r="169" spans="2:96" x14ac:dyDescent="0.35">
      <c r="B169" s="4" t="str">
        <f t="shared" si="101"/>
        <v>FANUC_SxxRyy</v>
      </c>
      <c r="C169" s="4"/>
      <c r="D169" s="4" t="str">
        <f t="shared" si="102"/>
        <v>To_PLC_PartPresent8</v>
      </c>
      <c r="E169" s="4" t="str">
        <f t="shared" si="103"/>
        <v>ENBT200:1:I.Data[84].19</v>
      </c>
      <c r="F169" s="4" t="str">
        <f t="shared" si="104"/>
        <v>I</v>
      </c>
      <c r="G169" s="4" t="str">
        <f t="shared" si="105"/>
        <v/>
      </c>
      <c r="H169" s="4" t="str">
        <f t="shared" si="106"/>
        <v>Controller: &lt;I0201N51.b84&gt; - ROBOT PART PRESENT 8 DO84</v>
      </c>
      <c r="I169" s="4" t="str">
        <f t="shared" si="107"/>
        <v>AB_RACKx_SLOTa</v>
      </c>
      <c r="J169" s="4"/>
      <c r="K169" s="56" t="str">
        <f t="shared" si="108"/>
        <v>BOOL</v>
      </c>
      <c r="L169" s="56" t="str">
        <f t="shared" si="4"/>
        <v>ROBOTS\SxxRyy</v>
      </c>
      <c r="M169" s="56" t="str">
        <f t="shared" si="5"/>
        <v>STELLANTIS\Common\ToolPrototype\Robots</v>
      </c>
      <c r="N169" s="56" t="str">
        <f t="shared" si="6"/>
        <v>STELLANTIS_DN_FANUC_ROBOT_128_BIT_INTEGRATED_SAFETY_SxxRyy.v00</v>
      </c>
      <c r="O169" s="56" t="str">
        <f t="shared" si="109"/>
        <v/>
      </c>
      <c r="P169" s="56" t="str">
        <f t="shared" si="110"/>
        <v/>
      </c>
      <c r="Q169" s="56" t="str">
        <f t="shared" si="111"/>
        <v/>
      </c>
      <c r="R169" s="56" t="str">
        <f t="shared" si="112"/>
        <v/>
      </c>
      <c r="S169" s="56" t="str">
        <f t="shared" si="113"/>
        <v/>
      </c>
      <c r="T169" s="56" t="str">
        <f t="shared" si="114"/>
        <v/>
      </c>
      <c r="U169" s="56" t="str">
        <f t="shared" si="115"/>
        <v/>
      </c>
      <c r="V169" s="56" t="str">
        <f t="shared" si="116"/>
        <v/>
      </c>
      <c r="W169" s="56"/>
      <c r="X169" s="56"/>
      <c r="Y169" s="56"/>
      <c r="Z169" s="56" t="str">
        <f t="shared" si="117"/>
        <v/>
      </c>
      <c r="AA169" s="56" t="str">
        <f t="shared" si="118"/>
        <v/>
      </c>
      <c r="AB169" s="56" t="str">
        <f t="shared" si="9"/>
        <v>ToolPrototype</v>
      </c>
      <c r="AC169" s="56" t="str">
        <f t="shared" si="119"/>
        <v>Optional</v>
      </c>
      <c r="AD169" s="56" t="str">
        <f t="shared" si="10"/>
        <v>&lt;device&gt;
&lt;name&gt;SxxRyy&lt;/name&gt;
&lt;type&gt;FCA_DN_FANUC&lt;/type&gt;
&lt;deviceNetwork&gt;201&lt;/deviceNetwork&gt;
&lt;deviceNode&gt;56&lt;/deviceNode&gt;
&lt;/device&gt;</v>
      </c>
      <c r="AE169" s="56" t="str">
        <f t="shared" si="11"/>
        <v/>
      </c>
      <c r="AF169" s="56" t="str">
        <f t="shared" si="12"/>
        <v/>
      </c>
      <c r="AG169" s="56" t="str">
        <f t="shared" si="13"/>
        <v/>
      </c>
      <c r="AH169" s="56" t="str">
        <f t="shared" si="14"/>
        <v/>
      </c>
      <c r="AI169" s="56" t="str">
        <f t="shared" si="15"/>
        <v/>
      </c>
      <c r="AJ169" s="56" t="str">
        <f t="shared" si="16"/>
        <v/>
      </c>
      <c r="AK169" s="56" t="str">
        <f t="shared" si="17"/>
        <v/>
      </c>
      <c r="AL169" s="56" t="str">
        <f t="shared" si="18"/>
        <v/>
      </c>
      <c r="AM169" s="56" t="str">
        <f t="shared" si="19"/>
        <v/>
      </c>
      <c r="AN169" s="56">
        <f t="shared" si="120"/>
        <v>305</v>
      </c>
      <c r="AO169" s="56" t="str">
        <f t="shared" si="121"/>
        <v>ROBOTS:SxxRyy\MH|ROBOTS_NOPLC:SxxRyy\MH</v>
      </c>
      <c r="AP169" s="56" t="str">
        <f t="shared" si="122"/>
        <v>PLC</v>
      </c>
      <c r="AQ169" s="56" t="str">
        <f t="shared" si="123"/>
        <v>EXIT</v>
      </c>
      <c r="AR169" s="39" t="s">
        <v>130</v>
      </c>
      <c r="AT169" s="44" t="str">
        <f t="shared" si="124"/>
        <v>BOOL</v>
      </c>
      <c r="AU169" s="23">
        <f t="shared" si="125"/>
        <v>0</v>
      </c>
      <c r="AV169" s="23" t="str">
        <f t="shared" si="126"/>
        <v>I</v>
      </c>
      <c r="AW169" s="23" t="str">
        <f t="shared" si="127"/>
        <v xml:space="preserve">I.: </v>
      </c>
      <c r="AX169" s="23" t="str">
        <f t="shared" si="128"/>
        <v>ENBT200:1:I.Data[84].19</v>
      </c>
      <c r="AY169" s="36" t="str">
        <f t="shared" si="129"/>
        <v xml:space="preserve">Controller: &lt;I0201N51.b84&gt; - </v>
      </c>
      <c r="BB169" s="42" t="s">
        <v>17</v>
      </c>
      <c r="BC169" t="s">
        <v>16</v>
      </c>
      <c r="BD169" t="str">
        <f t="shared" si="131"/>
        <v>AB_RACKx_SLOTa</v>
      </c>
      <c r="BR169">
        <v>305</v>
      </c>
      <c r="BS169" t="str">
        <f t="shared" si="132"/>
        <v>ROBOTS:SxxRyy\MH|ROBOTS_NOPLC:SxxRyy\MH</v>
      </c>
      <c r="BT169" t="str">
        <f>IF(Prep!$R$9="","X","")</f>
        <v/>
      </c>
      <c r="BV169" s="30" t="s">
        <v>643</v>
      </c>
      <c r="BW169" t="str">
        <f t="shared" si="100"/>
        <v>DO[84]</v>
      </c>
      <c r="BY169" s="42"/>
      <c r="CB169" s="42"/>
      <c r="CE169" s="30"/>
      <c r="CH169" s="42"/>
      <c r="CJ169" t="str">
        <f>Prep!$U$3&amp;":I.Data["&amp;Prep!$U$7+2&amp;"]."</f>
        <v>ENBT200:1:I.Data[84].</v>
      </c>
      <c r="CK169">
        <v>19</v>
      </c>
      <c r="CM169" t="s">
        <v>75</v>
      </c>
      <c r="CN169" s="30" t="str">
        <f>"I0"&amp;Header_Config03&amp;"N"&amp;TEXT(Prep!$U$6,"00")&amp;"."</f>
        <v>I0201N51.</v>
      </c>
      <c r="CO169" t="s">
        <v>480</v>
      </c>
      <c r="CP169" t="s">
        <v>12</v>
      </c>
      <c r="CQ169" s="40"/>
      <c r="CR169" s="30" t="s">
        <v>644</v>
      </c>
    </row>
    <row r="170" spans="2:96" x14ac:dyDescent="0.35">
      <c r="B170" s="4" t="str">
        <f t="shared" si="101"/>
        <v>FANUC_SxxRyy</v>
      </c>
      <c r="C170" s="4"/>
      <c r="D170" s="4" t="str">
        <f t="shared" si="102"/>
        <v>To_PLC_PartPresent9</v>
      </c>
      <c r="E170" s="4" t="str">
        <f t="shared" si="103"/>
        <v>ENBT200:1:I.Data[84].20</v>
      </c>
      <c r="F170" s="4" t="str">
        <f t="shared" si="104"/>
        <v>I</v>
      </c>
      <c r="G170" s="4" t="str">
        <f t="shared" si="105"/>
        <v/>
      </c>
      <c r="H170" s="4" t="str">
        <f t="shared" si="106"/>
        <v>Controller: &lt;I0201N51.b85&gt; - ROBOT PART PRESENT 9 DO85</v>
      </c>
      <c r="I170" s="4" t="str">
        <f t="shared" si="107"/>
        <v>AB_RACKx_SLOTa</v>
      </c>
      <c r="J170" s="4"/>
      <c r="K170" s="56" t="str">
        <f t="shared" si="108"/>
        <v>BOOL</v>
      </c>
      <c r="L170" s="56" t="str">
        <f t="shared" si="4"/>
        <v>ROBOTS\SxxRyy</v>
      </c>
      <c r="M170" s="56" t="str">
        <f t="shared" si="5"/>
        <v>STELLANTIS\Common\ToolPrototype\Robots</v>
      </c>
      <c r="N170" s="56" t="str">
        <f t="shared" si="6"/>
        <v>STELLANTIS_DN_FANUC_ROBOT_128_BIT_INTEGRATED_SAFETY_SxxRyy.v00</v>
      </c>
      <c r="O170" s="56" t="str">
        <f t="shared" si="109"/>
        <v/>
      </c>
      <c r="P170" s="56" t="str">
        <f t="shared" si="110"/>
        <v/>
      </c>
      <c r="Q170" s="56" t="str">
        <f t="shared" si="111"/>
        <v/>
      </c>
      <c r="R170" s="56" t="str">
        <f t="shared" si="112"/>
        <v/>
      </c>
      <c r="S170" s="56" t="str">
        <f t="shared" si="113"/>
        <v/>
      </c>
      <c r="T170" s="56" t="str">
        <f t="shared" si="114"/>
        <v/>
      </c>
      <c r="U170" s="56" t="str">
        <f t="shared" si="115"/>
        <v/>
      </c>
      <c r="V170" s="56" t="str">
        <f t="shared" si="116"/>
        <v/>
      </c>
      <c r="W170" s="56"/>
      <c r="X170" s="56"/>
      <c r="Y170" s="56"/>
      <c r="Z170" s="56" t="str">
        <f t="shared" si="117"/>
        <v/>
      </c>
      <c r="AA170" s="56" t="str">
        <f t="shared" si="118"/>
        <v/>
      </c>
      <c r="AB170" s="56" t="str">
        <f t="shared" si="9"/>
        <v>ToolPrototype</v>
      </c>
      <c r="AC170" s="56" t="str">
        <f t="shared" si="119"/>
        <v>Optional</v>
      </c>
      <c r="AD170" s="56" t="str">
        <f t="shared" si="10"/>
        <v>&lt;device&gt;
&lt;name&gt;SxxRyy&lt;/name&gt;
&lt;type&gt;FCA_DN_FANUC&lt;/type&gt;
&lt;deviceNetwork&gt;201&lt;/deviceNetwork&gt;
&lt;deviceNode&gt;56&lt;/deviceNode&gt;
&lt;/device&gt;</v>
      </c>
      <c r="AE170" s="56" t="str">
        <f t="shared" si="11"/>
        <v/>
      </c>
      <c r="AF170" s="56" t="str">
        <f t="shared" si="12"/>
        <v/>
      </c>
      <c r="AG170" s="56" t="str">
        <f t="shared" si="13"/>
        <v/>
      </c>
      <c r="AH170" s="56" t="str">
        <f t="shared" si="14"/>
        <v/>
      </c>
      <c r="AI170" s="56" t="str">
        <f t="shared" si="15"/>
        <v/>
      </c>
      <c r="AJ170" s="56" t="str">
        <f t="shared" si="16"/>
        <v/>
      </c>
      <c r="AK170" s="56" t="str">
        <f t="shared" si="17"/>
        <v/>
      </c>
      <c r="AL170" s="56" t="str">
        <f t="shared" si="18"/>
        <v/>
      </c>
      <c r="AM170" s="56" t="str">
        <f t="shared" si="19"/>
        <v/>
      </c>
      <c r="AN170" s="56">
        <f t="shared" si="120"/>
        <v>305</v>
      </c>
      <c r="AO170" s="56" t="str">
        <f t="shared" si="121"/>
        <v>ROBOTS:SxxRyy\MH|ROBOTS_NOPLC:SxxRyy\MH</v>
      </c>
      <c r="AP170" s="56" t="str">
        <f t="shared" si="122"/>
        <v>PLC</v>
      </c>
      <c r="AQ170" s="56" t="str">
        <f t="shared" si="123"/>
        <v>EXIT</v>
      </c>
      <c r="AR170" s="39" t="s">
        <v>130</v>
      </c>
      <c r="AT170" s="44" t="str">
        <f t="shared" si="124"/>
        <v>BOOL</v>
      </c>
      <c r="AU170" s="23">
        <f t="shared" si="125"/>
        <v>0</v>
      </c>
      <c r="AV170" s="23" t="str">
        <f t="shared" si="126"/>
        <v>I</v>
      </c>
      <c r="AW170" s="23" t="str">
        <f t="shared" si="127"/>
        <v xml:space="preserve">I.: </v>
      </c>
      <c r="AX170" s="23" t="str">
        <f t="shared" si="128"/>
        <v>ENBT200:1:I.Data[84].20</v>
      </c>
      <c r="AY170" s="36" t="str">
        <f t="shared" si="129"/>
        <v xml:space="preserve">Controller: &lt;I0201N51.b85&gt; - </v>
      </c>
      <c r="BB170" s="42" t="s">
        <v>17</v>
      </c>
      <c r="BC170" t="s">
        <v>16</v>
      </c>
      <c r="BD170" t="str">
        <f t="shared" si="131"/>
        <v>AB_RACKx_SLOTa</v>
      </c>
      <c r="BR170">
        <v>305</v>
      </c>
      <c r="BS170" t="str">
        <f t="shared" si="132"/>
        <v>ROBOTS:SxxRyy\MH|ROBOTS_NOPLC:SxxRyy\MH</v>
      </c>
      <c r="BT170" t="str">
        <f>IF(Prep!$R$10="","X","")</f>
        <v/>
      </c>
      <c r="BV170" s="30" t="s">
        <v>645</v>
      </c>
      <c r="BW170" t="str">
        <f t="shared" si="100"/>
        <v>DO[85]</v>
      </c>
      <c r="BY170" s="42"/>
      <c r="CB170" s="42"/>
      <c r="CE170" s="30"/>
      <c r="CH170" s="42"/>
      <c r="CJ170" t="str">
        <f>Prep!$U$3&amp;":I.Data["&amp;Prep!$U$7+2&amp;"]."</f>
        <v>ENBT200:1:I.Data[84].</v>
      </c>
      <c r="CK170">
        <v>20</v>
      </c>
      <c r="CM170" t="s">
        <v>75</v>
      </c>
      <c r="CN170" s="30" t="str">
        <f>"I0"&amp;Header_Config03&amp;"N"&amp;TEXT(Prep!$U$6,"00")&amp;"."</f>
        <v>I0201N51.</v>
      </c>
      <c r="CO170" t="s">
        <v>483</v>
      </c>
      <c r="CP170" t="s">
        <v>12</v>
      </c>
      <c r="CQ170" s="40"/>
      <c r="CR170" s="30" t="s">
        <v>646</v>
      </c>
    </row>
    <row r="171" spans="2:96" x14ac:dyDescent="0.35">
      <c r="B171" s="4" t="str">
        <f t="shared" si="101"/>
        <v>FANUC_SxxRyy</v>
      </c>
      <c r="C171" s="4"/>
      <c r="D171" s="4" t="str">
        <f t="shared" si="102"/>
        <v>To_PLC_PartPresent10</v>
      </c>
      <c r="E171" s="4" t="str">
        <f t="shared" si="103"/>
        <v>ENBT200:1:I.Data[84].21</v>
      </c>
      <c r="F171" s="4" t="str">
        <f t="shared" si="104"/>
        <v>I</v>
      </c>
      <c r="G171" s="4" t="str">
        <f t="shared" si="105"/>
        <v/>
      </c>
      <c r="H171" s="4" t="str">
        <f t="shared" si="106"/>
        <v>Controller: &lt;I0201N51.b86&gt; - ROBOT PART PRESENT 10 DO86</v>
      </c>
      <c r="I171" s="4" t="str">
        <f t="shared" si="107"/>
        <v>AB_RACKx_SLOTa</v>
      </c>
      <c r="J171" s="4"/>
      <c r="K171" s="56" t="str">
        <f t="shared" si="108"/>
        <v>BOOL</v>
      </c>
      <c r="L171" s="56" t="str">
        <f t="shared" si="4"/>
        <v>ROBOTS\SxxRyy</v>
      </c>
      <c r="M171" s="56" t="str">
        <f t="shared" si="5"/>
        <v>STELLANTIS\Common\ToolPrototype\Robots</v>
      </c>
      <c r="N171" s="56" t="str">
        <f t="shared" si="6"/>
        <v>STELLANTIS_DN_FANUC_ROBOT_128_BIT_INTEGRATED_SAFETY_SxxRyy.v00</v>
      </c>
      <c r="O171" s="56" t="str">
        <f t="shared" si="109"/>
        <v/>
      </c>
      <c r="P171" s="56" t="str">
        <f t="shared" si="110"/>
        <v/>
      </c>
      <c r="Q171" s="56" t="str">
        <f t="shared" si="111"/>
        <v/>
      </c>
      <c r="R171" s="56" t="str">
        <f t="shared" si="112"/>
        <v/>
      </c>
      <c r="S171" s="56" t="str">
        <f t="shared" si="113"/>
        <v/>
      </c>
      <c r="T171" s="56" t="str">
        <f t="shared" si="114"/>
        <v/>
      </c>
      <c r="U171" s="56" t="str">
        <f t="shared" si="115"/>
        <v/>
      </c>
      <c r="V171" s="56" t="str">
        <f t="shared" si="116"/>
        <v/>
      </c>
      <c r="W171" s="56"/>
      <c r="X171" s="56"/>
      <c r="Y171" s="56"/>
      <c r="Z171" s="56" t="str">
        <f t="shared" si="117"/>
        <v/>
      </c>
      <c r="AA171" s="56" t="str">
        <f t="shared" si="118"/>
        <v/>
      </c>
      <c r="AB171" s="56" t="str">
        <f t="shared" si="9"/>
        <v>ToolPrototype</v>
      </c>
      <c r="AC171" s="56" t="str">
        <f t="shared" si="119"/>
        <v>Optional</v>
      </c>
      <c r="AD171" s="56" t="str">
        <f t="shared" si="10"/>
        <v>&lt;device&gt;
&lt;name&gt;SxxRyy&lt;/name&gt;
&lt;type&gt;FCA_DN_FANUC&lt;/type&gt;
&lt;deviceNetwork&gt;201&lt;/deviceNetwork&gt;
&lt;deviceNode&gt;56&lt;/deviceNode&gt;
&lt;/device&gt;</v>
      </c>
      <c r="AE171" s="56" t="str">
        <f t="shared" si="11"/>
        <v/>
      </c>
      <c r="AF171" s="56" t="str">
        <f t="shared" si="12"/>
        <v/>
      </c>
      <c r="AG171" s="56" t="str">
        <f t="shared" si="13"/>
        <v/>
      </c>
      <c r="AH171" s="56" t="str">
        <f t="shared" si="14"/>
        <v/>
      </c>
      <c r="AI171" s="56" t="str">
        <f t="shared" si="15"/>
        <v/>
      </c>
      <c r="AJ171" s="56" t="str">
        <f t="shared" si="16"/>
        <v/>
      </c>
      <c r="AK171" s="56" t="str">
        <f t="shared" si="17"/>
        <v/>
      </c>
      <c r="AL171" s="56" t="str">
        <f t="shared" si="18"/>
        <v/>
      </c>
      <c r="AM171" s="56" t="str">
        <f t="shared" si="19"/>
        <v/>
      </c>
      <c r="AN171" s="56">
        <f t="shared" si="120"/>
        <v>305</v>
      </c>
      <c r="AO171" s="56" t="str">
        <f t="shared" si="121"/>
        <v>ROBOTS:SxxRyy\MH|ROBOTS_NOPLC:SxxRyy\MH</v>
      </c>
      <c r="AP171" s="56" t="str">
        <f t="shared" si="122"/>
        <v>PLC</v>
      </c>
      <c r="AQ171" s="56" t="str">
        <f t="shared" si="123"/>
        <v>EXIT</v>
      </c>
      <c r="AR171" s="39" t="s">
        <v>130</v>
      </c>
      <c r="AT171" s="44" t="str">
        <f t="shared" si="124"/>
        <v>BOOL</v>
      </c>
      <c r="AU171" s="23">
        <f t="shared" si="125"/>
        <v>0</v>
      </c>
      <c r="AV171" s="23" t="str">
        <f t="shared" si="126"/>
        <v>I</v>
      </c>
      <c r="AW171" s="23" t="str">
        <f t="shared" si="127"/>
        <v xml:space="preserve">I.: </v>
      </c>
      <c r="AX171" s="23" t="str">
        <f t="shared" si="128"/>
        <v>ENBT200:1:I.Data[84].21</v>
      </c>
      <c r="AY171" s="36" t="str">
        <f t="shared" si="129"/>
        <v xml:space="preserve">Controller: &lt;I0201N51.b86&gt; - </v>
      </c>
      <c r="BB171" s="42" t="s">
        <v>17</v>
      </c>
      <c r="BC171" t="s">
        <v>16</v>
      </c>
      <c r="BD171" t="str">
        <f t="shared" si="131"/>
        <v>AB_RACKx_SLOTa</v>
      </c>
      <c r="BR171">
        <v>305</v>
      </c>
      <c r="BS171" t="str">
        <f t="shared" si="132"/>
        <v>ROBOTS:SxxRyy\MH|ROBOTS_NOPLC:SxxRyy\MH</v>
      </c>
      <c r="BT171" t="str">
        <f>IF(Prep!$R$11="","X","")</f>
        <v/>
      </c>
      <c r="BV171" s="30" t="s">
        <v>647</v>
      </c>
      <c r="BW171" t="str">
        <f t="shared" si="100"/>
        <v>DO[86]</v>
      </c>
      <c r="BY171" s="42"/>
      <c r="CB171" s="42"/>
      <c r="CE171" s="30"/>
      <c r="CH171" s="42"/>
      <c r="CJ171" t="str">
        <f>Prep!$U$3&amp;":I.Data["&amp;Prep!$U$7+2&amp;"]."</f>
        <v>ENBT200:1:I.Data[84].</v>
      </c>
      <c r="CK171">
        <v>21</v>
      </c>
      <c r="CM171" t="s">
        <v>75</v>
      </c>
      <c r="CN171" s="30" t="str">
        <f>"I0"&amp;Header_Config03&amp;"N"&amp;TEXT(Prep!$U$6,"00")&amp;"."</f>
        <v>I0201N51.</v>
      </c>
      <c r="CO171" t="s">
        <v>486</v>
      </c>
      <c r="CP171" t="s">
        <v>12</v>
      </c>
      <c r="CQ171" s="40"/>
      <c r="CR171" s="30" t="s">
        <v>648</v>
      </c>
    </row>
    <row r="172" spans="2:96" x14ac:dyDescent="0.35">
      <c r="B172" s="4" t="str">
        <f t="shared" si="101"/>
        <v>FANUC_SxxRyy</v>
      </c>
      <c r="C172" s="4"/>
      <c r="D172" s="4" t="str">
        <f t="shared" si="102"/>
        <v>To_PLC_PartPresent11</v>
      </c>
      <c r="E172" s="4" t="str">
        <f t="shared" si="103"/>
        <v>ENBT200:1:I.Data[84].22</v>
      </c>
      <c r="F172" s="4" t="str">
        <f t="shared" si="104"/>
        <v>I</v>
      </c>
      <c r="G172" s="4" t="str">
        <f t="shared" si="105"/>
        <v/>
      </c>
      <c r="H172" s="4" t="str">
        <f t="shared" si="106"/>
        <v>Controller: &lt;I0201N51.b87&gt; - ROBOT PART PRESENT 11 DO87</v>
      </c>
      <c r="I172" s="4" t="str">
        <f t="shared" si="107"/>
        <v>AB_RACKx_SLOTa</v>
      </c>
      <c r="J172" s="4"/>
      <c r="K172" s="56" t="str">
        <f t="shared" si="108"/>
        <v>BOOL</v>
      </c>
      <c r="L172" s="56" t="str">
        <f t="shared" si="4"/>
        <v>ROBOTS\SxxRyy</v>
      </c>
      <c r="M172" s="56" t="str">
        <f t="shared" si="5"/>
        <v>STELLANTIS\Common\ToolPrototype\Robots</v>
      </c>
      <c r="N172" s="56" t="str">
        <f t="shared" si="6"/>
        <v>STELLANTIS_DN_FANUC_ROBOT_128_BIT_INTEGRATED_SAFETY_SxxRyy.v00</v>
      </c>
      <c r="O172" s="56" t="str">
        <f t="shared" si="109"/>
        <v/>
      </c>
      <c r="P172" s="56" t="str">
        <f t="shared" si="110"/>
        <v/>
      </c>
      <c r="Q172" s="56" t="str">
        <f t="shared" si="111"/>
        <v/>
      </c>
      <c r="R172" s="56" t="str">
        <f t="shared" si="112"/>
        <v/>
      </c>
      <c r="S172" s="56" t="str">
        <f t="shared" si="113"/>
        <v/>
      </c>
      <c r="T172" s="56" t="str">
        <f t="shared" si="114"/>
        <v/>
      </c>
      <c r="U172" s="56" t="str">
        <f t="shared" si="115"/>
        <v/>
      </c>
      <c r="V172" s="56" t="str">
        <f t="shared" si="116"/>
        <v/>
      </c>
      <c r="W172" s="56"/>
      <c r="X172" s="56"/>
      <c r="Y172" s="56"/>
      <c r="Z172" s="56" t="str">
        <f t="shared" si="117"/>
        <v/>
      </c>
      <c r="AA172" s="56" t="str">
        <f t="shared" si="118"/>
        <v/>
      </c>
      <c r="AB172" s="56" t="str">
        <f t="shared" si="9"/>
        <v>ToolPrototype</v>
      </c>
      <c r="AC172" s="56" t="str">
        <f t="shared" si="119"/>
        <v>Optional</v>
      </c>
      <c r="AD172" s="56" t="str">
        <f t="shared" si="10"/>
        <v>&lt;device&gt;
&lt;name&gt;SxxRyy&lt;/name&gt;
&lt;type&gt;FCA_DN_FANUC&lt;/type&gt;
&lt;deviceNetwork&gt;201&lt;/deviceNetwork&gt;
&lt;deviceNode&gt;56&lt;/deviceNode&gt;
&lt;/device&gt;</v>
      </c>
      <c r="AE172" s="56" t="str">
        <f t="shared" si="11"/>
        <v/>
      </c>
      <c r="AF172" s="56" t="str">
        <f t="shared" si="12"/>
        <v/>
      </c>
      <c r="AG172" s="56" t="str">
        <f t="shared" si="13"/>
        <v/>
      </c>
      <c r="AH172" s="56" t="str">
        <f t="shared" si="14"/>
        <v/>
      </c>
      <c r="AI172" s="56" t="str">
        <f t="shared" si="15"/>
        <v/>
      </c>
      <c r="AJ172" s="56" t="str">
        <f t="shared" si="16"/>
        <v/>
      </c>
      <c r="AK172" s="56" t="str">
        <f t="shared" si="17"/>
        <v/>
      </c>
      <c r="AL172" s="56" t="str">
        <f t="shared" si="18"/>
        <v/>
      </c>
      <c r="AM172" s="56" t="str">
        <f t="shared" si="19"/>
        <v/>
      </c>
      <c r="AN172" s="56">
        <f t="shared" si="120"/>
        <v>305</v>
      </c>
      <c r="AO172" s="56" t="str">
        <f t="shared" si="121"/>
        <v>ROBOTS:SxxRyy\MH|ROBOTS_NOPLC:SxxRyy\MH</v>
      </c>
      <c r="AP172" s="56" t="str">
        <f t="shared" si="122"/>
        <v>PLC</v>
      </c>
      <c r="AQ172" s="56" t="str">
        <f t="shared" si="123"/>
        <v>EXIT</v>
      </c>
      <c r="AR172" s="39" t="s">
        <v>130</v>
      </c>
      <c r="AT172" s="44" t="str">
        <f t="shared" si="124"/>
        <v>BOOL</v>
      </c>
      <c r="AU172" s="23">
        <f t="shared" si="125"/>
        <v>0</v>
      </c>
      <c r="AV172" s="23" t="str">
        <f t="shared" si="126"/>
        <v>I</v>
      </c>
      <c r="AW172" s="23" t="str">
        <f t="shared" si="127"/>
        <v xml:space="preserve">I.: </v>
      </c>
      <c r="AX172" s="23" t="str">
        <f t="shared" si="128"/>
        <v>ENBT200:1:I.Data[84].22</v>
      </c>
      <c r="AY172" s="36" t="str">
        <f t="shared" si="129"/>
        <v xml:space="preserve">Controller: &lt;I0201N51.b87&gt; - </v>
      </c>
      <c r="BB172" s="42" t="s">
        <v>17</v>
      </c>
      <c r="BC172" t="s">
        <v>16</v>
      </c>
      <c r="BD172" t="str">
        <f t="shared" si="131"/>
        <v>AB_RACKx_SLOTa</v>
      </c>
      <c r="BR172">
        <v>305</v>
      </c>
      <c r="BS172" t="str">
        <f t="shared" si="132"/>
        <v>ROBOTS:SxxRyy\MH|ROBOTS_NOPLC:SxxRyy\MH</v>
      </c>
      <c r="BT172" t="str">
        <f>IF(Prep!$R$12="","X","")</f>
        <v/>
      </c>
      <c r="BV172" s="30" t="s">
        <v>649</v>
      </c>
      <c r="BW172" t="str">
        <f t="shared" si="100"/>
        <v>DO[87]</v>
      </c>
      <c r="BY172" s="42"/>
      <c r="CB172" s="42"/>
      <c r="CE172" s="30"/>
      <c r="CH172" s="42"/>
      <c r="CJ172" t="str">
        <f>Prep!$U$3&amp;":I.Data["&amp;Prep!$U$7+2&amp;"]."</f>
        <v>ENBT200:1:I.Data[84].</v>
      </c>
      <c r="CK172">
        <v>22</v>
      </c>
      <c r="CM172" t="s">
        <v>75</v>
      </c>
      <c r="CN172" s="30" t="str">
        <f>"I0"&amp;Header_Config03&amp;"N"&amp;TEXT(Prep!$U$6,"00")&amp;"."</f>
        <v>I0201N51.</v>
      </c>
      <c r="CO172" t="s">
        <v>489</v>
      </c>
      <c r="CP172" t="s">
        <v>12</v>
      </c>
      <c r="CQ172" s="40"/>
      <c r="CR172" s="30" t="s">
        <v>650</v>
      </c>
    </row>
    <row r="173" spans="2:96" x14ac:dyDescent="0.35">
      <c r="B173" s="4" t="str">
        <f t="shared" si="101"/>
        <v>FANUC_SxxRyy</v>
      </c>
      <c r="C173" s="4"/>
      <c r="D173" s="4" t="str">
        <f t="shared" si="102"/>
        <v>To_PLC_PartPresent12</v>
      </c>
      <c r="E173" s="4" t="str">
        <f t="shared" si="103"/>
        <v>ENBT200:1:I.Data[84].23</v>
      </c>
      <c r="F173" s="4" t="str">
        <f t="shared" si="104"/>
        <v>I</v>
      </c>
      <c r="G173" s="4" t="str">
        <f t="shared" si="105"/>
        <v/>
      </c>
      <c r="H173" s="4" t="str">
        <f t="shared" si="106"/>
        <v>Controller: &lt;I0201N51.b88&gt; - ROBOT PART PRESENT 12 DO88</v>
      </c>
      <c r="I173" s="4" t="str">
        <f t="shared" si="107"/>
        <v>AB_RACKx_SLOTa</v>
      </c>
      <c r="J173" s="4"/>
      <c r="K173" s="56" t="str">
        <f t="shared" si="108"/>
        <v>BOOL</v>
      </c>
      <c r="L173" s="56" t="str">
        <f t="shared" si="4"/>
        <v>ROBOTS\SxxRyy</v>
      </c>
      <c r="M173" s="56" t="str">
        <f t="shared" si="5"/>
        <v>STELLANTIS\Common\ToolPrototype\Robots</v>
      </c>
      <c r="N173" s="56" t="str">
        <f t="shared" si="6"/>
        <v>STELLANTIS_DN_FANUC_ROBOT_128_BIT_INTEGRATED_SAFETY_SxxRyy.v00</v>
      </c>
      <c r="O173" s="56" t="str">
        <f t="shared" si="109"/>
        <v/>
      </c>
      <c r="P173" s="56" t="str">
        <f t="shared" si="110"/>
        <v/>
      </c>
      <c r="Q173" s="56" t="str">
        <f t="shared" si="111"/>
        <v/>
      </c>
      <c r="R173" s="56" t="str">
        <f t="shared" si="112"/>
        <v/>
      </c>
      <c r="S173" s="56" t="str">
        <f t="shared" si="113"/>
        <v/>
      </c>
      <c r="T173" s="56" t="str">
        <f t="shared" si="114"/>
        <v/>
      </c>
      <c r="U173" s="56" t="str">
        <f t="shared" si="115"/>
        <v/>
      </c>
      <c r="V173" s="56" t="str">
        <f t="shared" si="116"/>
        <v/>
      </c>
      <c r="W173" s="56"/>
      <c r="X173" s="56"/>
      <c r="Y173" s="56"/>
      <c r="Z173" s="56" t="str">
        <f t="shared" si="117"/>
        <v/>
      </c>
      <c r="AA173" s="56" t="str">
        <f t="shared" si="118"/>
        <v/>
      </c>
      <c r="AB173" s="56" t="str">
        <f t="shared" si="9"/>
        <v>ToolPrototype</v>
      </c>
      <c r="AC173" s="56" t="str">
        <f t="shared" si="119"/>
        <v>Optional</v>
      </c>
      <c r="AD173" s="56" t="str">
        <f t="shared" si="10"/>
        <v>&lt;device&gt;
&lt;name&gt;SxxRyy&lt;/name&gt;
&lt;type&gt;FCA_DN_FANUC&lt;/type&gt;
&lt;deviceNetwork&gt;201&lt;/deviceNetwork&gt;
&lt;deviceNode&gt;56&lt;/deviceNode&gt;
&lt;/device&gt;</v>
      </c>
      <c r="AE173" s="56" t="str">
        <f t="shared" si="11"/>
        <v/>
      </c>
      <c r="AF173" s="56" t="str">
        <f t="shared" si="12"/>
        <v/>
      </c>
      <c r="AG173" s="56" t="str">
        <f t="shared" si="13"/>
        <v/>
      </c>
      <c r="AH173" s="56" t="str">
        <f t="shared" si="14"/>
        <v/>
      </c>
      <c r="AI173" s="56" t="str">
        <f t="shared" si="15"/>
        <v/>
      </c>
      <c r="AJ173" s="56" t="str">
        <f t="shared" si="16"/>
        <v/>
      </c>
      <c r="AK173" s="56" t="str">
        <f t="shared" si="17"/>
        <v/>
      </c>
      <c r="AL173" s="56" t="str">
        <f t="shared" si="18"/>
        <v/>
      </c>
      <c r="AM173" s="56" t="str">
        <f t="shared" si="19"/>
        <v/>
      </c>
      <c r="AN173" s="56">
        <f t="shared" si="120"/>
        <v>305</v>
      </c>
      <c r="AO173" s="56" t="str">
        <f t="shared" si="121"/>
        <v>ROBOTS:SxxRyy\MH|ROBOTS_NOPLC:SxxRyy\MH</v>
      </c>
      <c r="AP173" s="56" t="str">
        <f t="shared" si="122"/>
        <v>PLC</v>
      </c>
      <c r="AQ173" s="56" t="str">
        <f t="shared" si="123"/>
        <v>EXIT</v>
      </c>
      <c r="AR173" s="39" t="s">
        <v>130</v>
      </c>
      <c r="AT173" s="44" t="str">
        <f t="shared" si="124"/>
        <v>BOOL</v>
      </c>
      <c r="AU173" s="23">
        <f t="shared" si="125"/>
        <v>0</v>
      </c>
      <c r="AV173" s="23" t="str">
        <f t="shared" si="126"/>
        <v>I</v>
      </c>
      <c r="AW173" s="23" t="str">
        <f t="shared" si="127"/>
        <v xml:space="preserve">I.: </v>
      </c>
      <c r="AX173" s="23" t="str">
        <f t="shared" si="128"/>
        <v>ENBT200:1:I.Data[84].23</v>
      </c>
      <c r="AY173" s="36" t="str">
        <f t="shared" si="129"/>
        <v xml:space="preserve">Controller: &lt;I0201N51.b88&gt; - </v>
      </c>
      <c r="BB173" s="42" t="s">
        <v>17</v>
      </c>
      <c r="BC173" t="s">
        <v>16</v>
      </c>
      <c r="BD173" t="str">
        <f t="shared" si="131"/>
        <v>AB_RACKx_SLOTa</v>
      </c>
      <c r="BR173">
        <v>305</v>
      </c>
      <c r="BS173" t="str">
        <f t="shared" si="132"/>
        <v>ROBOTS:SxxRyy\MH|ROBOTS_NOPLC:SxxRyy\MH</v>
      </c>
      <c r="BT173" t="str">
        <f>IF(Prep!$R$13="","X","")</f>
        <v/>
      </c>
      <c r="BV173" s="30" t="s">
        <v>651</v>
      </c>
      <c r="BW173" t="str">
        <f t="shared" si="100"/>
        <v>DO[88]</v>
      </c>
      <c r="BY173" s="42"/>
      <c r="CB173" s="42"/>
      <c r="CE173" s="30"/>
      <c r="CH173" s="42"/>
      <c r="CJ173" t="str">
        <f>Prep!$U$3&amp;":I.Data["&amp;Prep!$U$7+2&amp;"]."</f>
        <v>ENBT200:1:I.Data[84].</v>
      </c>
      <c r="CK173">
        <v>23</v>
      </c>
      <c r="CM173" t="s">
        <v>75</v>
      </c>
      <c r="CN173" s="30" t="str">
        <f>"I0"&amp;Header_Config03&amp;"N"&amp;TEXT(Prep!$U$6,"00")&amp;"."</f>
        <v>I0201N51.</v>
      </c>
      <c r="CO173" t="s">
        <v>492</v>
      </c>
      <c r="CP173" t="s">
        <v>12</v>
      </c>
      <c r="CQ173" s="40"/>
      <c r="CR173" s="30" t="s">
        <v>652</v>
      </c>
    </row>
    <row r="174" spans="2:96" x14ac:dyDescent="0.35">
      <c r="B174" s="4" t="str">
        <f t="shared" si="101"/>
        <v>FANUC_SxxRyy</v>
      </c>
      <c r="C174" s="4"/>
      <c r="D174" s="4" t="str">
        <f t="shared" si="102"/>
        <v>To_PLC_PickOverrideReq</v>
      </c>
      <c r="E174" s="4" t="str">
        <f t="shared" si="103"/>
        <v>ENBT200:1:I.Data[84].24</v>
      </c>
      <c r="F174" s="4" t="str">
        <f t="shared" si="104"/>
        <v>I</v>
      </c>
      <c r="G174" s="4" t="str">
        <f t="shared" si="105"/>
        <v/>
      </c>
      <c r="H174" s="4" t="str">
        <f t="shared" si="106"/>
        <v>Controller: &lt;I0201N51.b89&gt; - PICK OVER-RIDE REQUEST DO89</v>
      </c>
      <c r="I174" s="4" t="str">
        <f t="shared" si="107"/>
        <v>AB_RACKx_SLOTa</v>
      </c>
      <c r="J174" s="4"/>
      <c r="K174" s="56" t="str">
        <f t="shared" si="108"/>
        <v>BOOL</v>
      </c>
      <c r="L174" s="56" t="str">
        <f t="shared" si="4"/>
        <v>ROBOTS\SxxRyy</v>
      </c>
      <c r="M174" s="56" t="str">
        <f t="shared" si="5"/>
        <v>STELLANTIS\Common\ToolPrototype\Robots</v>
      </c>
      <c r="N174" s="56" t="str">
        <f t="shared" si="6"/>
        <v>STELLANTIS_DN_FANUC_ROBOT_128_BIT_INTEGRATED_SAFETY_SxxRyy.v00</v>
      </c>
      <c r="O174" s="56" t="str">
        <f t="shared" si="109"/>
        <v/>
      </c>
      <c r="P174" s="56" t="str">
        <f t="shared" si="110"/>
        <v/>
      </c>
      <c r="Q174" s="56" t="str">
        <f t="shared" si="111"/>
        <v/>
      </c>
      <c r="R174" s="56" t="str">
        <f t="shared" si="112"/>
        <v/>
      </c>
      <c r="S174" s="56" t="str">
        <f t="shared" si="113"/>
        <v/>
      </c>
      <c r="T174" s="56" t="str">
        <f t="shared" si="114"/>
        <v/>
      </c>
      <c r="U174" s="56" t="str">
        <f t="shared" si="115"/>
        <v/>
      </c>
      <c r="V174" s="56" t="str">
        <f t="shared" si="116"/>
        <v/>
      </c>
      <c r="W174" s="56"/>
      <c r="X174" s="56"/>
      <c r="Y174" s="56"/>
      <c r="Z174" s="56" t="str">
        <f t="shared" si="117"/>
        <v/>
      </c>
      <c r="AA174" s="56" t="str">
        <f t="shared" si="118"/>
        <v/>
      </c>
      <c r="AB174" s="56" t="str">
        <f t="shared" si="9"/>
        <v>ToolPrototype</v>
      </c>
      <c r="AC174" s="56" t="str">
        <f t="shared" si="119"/>
        <v>Optional</v>
      </c>
      <c r="AD174" s="56" t="str">
        <f t="shared" si="10"/>
        <v>&lt;device&gt;
&lt;name&gt;SxxRyy&lt;/name&gt;
&lt;type&gt;FCA_DN_FANUC&lt;/type&gt;
&lt;deviceNetwork&gt;201&lt;/deviceNetwork&gt;
&lt;deviceNode&gt;56&lt;/deviceNode&gt;
&lt;/device&gt;</v>
      </c>
      <c r="AE174" s="56" t="str">
        <f t="shared" si="11"/>
        <v/>
      </c>
      <c r="AF174" s="56" t="str">
        <f t="shared" si="12"/>
        <v/>
      </c>
      <c r="AG174" s="56" t="str">
        <f t="shared" si="13"/>
        <v/>
      </c>
      <c r="AH174" s="56" t="str">
        <f t="shared" si="14"/>
        <v/>
      </c>
      <c r="AI174" s="56" t="str">
        <f t="shared" si="15"/>
        <v/>
      </c>
      <c r="AJ174" s="56" t="str">
        <f t="shared" si="16"/>
        <v/>
      </c>
      <c r="AK174" s="56" t="str">
        <f t="shared" si="17"/>
        <v/>
      </c>
      <c r="AL174" s="56" t="str">
        <f t="shared" si="18"/>
        <v/>
      </c>
      <c r="AM174" s="56" t="str">
        <f t="shared" si="19"/>
        <v/>
      </c>
      <c r="AN174" s="56" t="str">
        <f t="shared" si="120"/>
        <v/>
      </c>
      <c r="AO174" s="56" t="str">
        <f t="shared" si="121"/>
        <v/>
      </c>
      <c r="AP174" s="56" t="str">
        <f t="shared" si="122"/>
        <v>PLC</v>
      </c>
      <c r="AQ174" s="56" t="str">
        <f t="shared" si="123"/>
        <v>EXIT</v>
      </c>
      <c r="AR174" s="39" t="s">
        <v>130</v>
      </c>
      <c r="AT174" s="44" t="str">
        <f t="shared" si="124"/>
        <v>BOOL</v>
      </c>
      <c r="AU174" s="23">
        <f t="shared" si="125"/>
        <v>0</v>
      </c>
      <c r="AV174" s="23" t="str">
        <f t="shared" si="126"/>
        <v>I</v>
      </c>
      <c r="AW174" s="23" t="str">
        <f t="shared" si="127"/>
        <v xml:space="preserve">I.: </v>
      </c>
      <c r="AX174" s="23" t="str">
        <f t="shared" si="128"/>
        <v>ENBT200:1:I.Data[84].24</v>
      </c>
      <c r="AY174" s="36" t="str">
        <f t="shared" si="129"/>
        <v xml:space="preserve">Controller: &lt;I0201N51.b89&gt; - </v>
      </c>
      <c r="BB174" s="42" t="s">
        <v>17</v>
      </c>
      <c r="BC174" t="s">
        <v>16</v>
      </c>
      <c r="BD174" t="str">
        <f t="shared" si="131"/>
        <v>AB_RACKx_SLOTa</v>
      </c>
      <c r="BT174" t="str">
        <f>IF(Prep!$J$4="Y","","X")</f>
        <v/>
      </c>
      <c r="BV174" s="30" t="s">
        <v>653</v>
      </c>
      <c r="BW174" t="str">
        <f t="shared" si="100"/>
        <v>DO[89]</v>
      </c>
      <c r="BY174" s="42"/>
      <c r="CB174" s="42"/>
      <c r="CE174" s="30"/>
      <c r="CH174" s="42"/>
      <c r="CJ174" t="str">
        <f>Prep!$U$3&amp;":I.Data["&amp;Prep!$U$7+2&amp;"]."</f>
        <v>ENBT200:1:I.Data[84].</v>
      </c>
      <c r="CK174">
        <v>24</v>
      </c>
      <c r="CM174" t="s">
        <v>75</v>
      </c>
      <c r="CN174" s="30" t="str">
        <f>"I0"&amp;Header_Config03&amp;"N"&amp;TEXT(Prep!$U$6,"00")&amp;"."</f>
        <v>I0201N51.</v>
      </c>
      <c r="CO174" t="s">
        <v>495</v>
      </c>
      <c r="CP174" t="s">
        <v>12</v>
      </c>
      <c r="CQ174" s="40"/>
      <c r="CR174" s="30" t="s">
        <v>654</v>
      </c>
    </row>
    <row r="175" spans="2:96" x14ac:dyDescent="0.35">
      <c r="B175" s="4" t="str">
        <f t="shared" si="101"/>
        <v>FANUC_SxxRyy</v>
      </c>
      <c r="C175" s="4"/>
      <c r="D175" s="4" t="str">
        <f t="shared" si="102"/>
        <v>To_PLC_CollisGuardEnbld</v>
      </c>
      <c r="E175" s="4" t="str">
        <f t="shared" si="103"/>
        <v>ENBT200:1:I.Data[84].25</v>
      </c>
      <c r="F175" s="4" t="str">
        <f t="shared" si="104"/>
        <v>I</v>
      </c>
      <c r="G175" s="4" t="str">
        <f t="shared" si="105"/>
        <v/>
      </c>
      <c r="H175" s="4" t="str">
        <f t="shared" si="106"/>
        <v>Controller: &lt;I0201N51.b90&gt; - COLLISION MODE ENABLED DO90</v>
      </c>
      <c r="I175" s="4" t="str">
        <f t="shared" si="107"/>
        <v>AB_RACKx_SLOTa</v>
      </c>
      <c r="J175" s="4"/>
      <c r="K175" s="56" t="str">
        <f t="shared" si="108"/>
        <v>BOOL</v>
      </c>
      <c r="L175" s="56" t="str">
        <f t="shared" si="4"/>
        <v>ROBOTS\SxxRyy</v>
      </c>
      <c r="M175" s="56" t="str">
        <f t="shared" si="5"/>
        <v>STELLANTIS\Common\ToolPrototype\Robots</v>
      </c>
      <c r="N175" s="56" t="str">
        <f t="shared" si="6"/>
        <v>STELLANTIS_DN_FANUC_ROBOT_128_BIT_INTEGRATED_SAFETY_SxxRyy.v00</v>
      </c>
      <c r="O175" s="56" t="str">
        <f t="shared" si="109"/>
        <v/>
      </c>
      <c r="P175" s="56" t="str">
        <f t="shared" si="110"/>
        <v/>
      </c>
      <c r="Q175" s="56" t="str">
        <f t="shared" si="111"/>
        <v/>
      </c>
      <c r="R175" s="56" t="str">
        <f t="shared" si="112"/>
        <v/>
      </c>
      <c r="S175" s="56" t="str">
        <f t="shared" si="113"/>
        <v/>
      </c>
      <c r="T175" s="56" t="str">
        <f t="shared" si="114"/>
        <v/>
      </c>
      <c r="U175" s="56" t="str">
        <f t="shared" si="115"/>
        <v/>
      </c>
      <c r="V175" s="56" t="str">
        <f t="shared" si="116"/>
        <v/>
      </c>
      <c r="W175" s="56"/>
      <c r="X175" s="56"/>
      <c r="Y175" s="56"/>
      <c r="Z175" s="56" t="str">
        <f t="shared" si="117"/>
        <v/>
      </c>
      <c r="AA175" s="56" t="str">
        <f t="shared" si="118"/>
        <v/>
      </c>
      <c r="AB175" s="56" t="str">
        <f t="shared" si="9"/>
        <v>ToolPrototype</v>
      </c>
      <c r="AC175" s="56" t="str">
        <f t="shared" si="119"/>
        <v/>
      </c>
      <c r="AD175" s="56" t="str">
        <f t="shared" si="10"/>
        <v>&lt;device&gt;
&lt;name&gt;SxxRyy&lt;/name&gt;
&lt;type&gt;FCA_DN_FANUC&lt;/type&gt;
&lt;deviceNetwork&gt;201&lt;/deviceNetwork&gt;
&lt;deviceNode&gt;56&lt;/deviceNode&gt;
&lt;/device&gt;</v>
      </c>
      <c r="AE175" s="56" t="str">
        <f t="shared" si="11"/>
        <v/>
      </c>
      <c r="AF175" s="56" t="str">
        <f t="shared" si="12"/>
        <v/>
      </c>
      <c r="AG175" s="56" t="str">
        <f t="shared" si="13"/>
        <v/>
      </c>
      <c r="AH175" s="56" t="str">
        <f t="shared" si="14"/>
        <v/>
      </c>
      <c r="AI175" s="56" t="str">
        <f t="shared" si="15"/>
        <v/>
      </c>
      <c r="AJ175" s="56" t="str">
        <f t="shared" si="16"/>
        <v/>
      </c>
      <c r="AK175" s="56" t="str">
        <f t="shared" si="17"/>
        <v/>
      </c>
      <c r="AL175" s="56" t="str">
        <f t="shared" si="18"/>
        <v/>
      </c>
      <c r="AM175" s="56" t="str">
        <f t="shared" si="19"/>
        <v/>
      </c>
      <c r="AN175" s="56" t="str">
        <f t="shared" si="120"/>
        <v/>
      </c>
      <c r="AO175" s="56" t="str">
        <f t="shared" si="121"/>
        <v/>
      </c>
      <c r="AP175" s="56" t="str">
        <f t="shared" si="122"/>
        <v>PLC</v>
      </c>
      <c r="AQ175" s="56" t="str">
        <f t="shared" si="123"/>
        <v>EXIT</v>
      </c>
      <c r="AR175" s="39" t="s">
        <v>130</v>
      </c>
      <c r="AT175" s="44" t="str">
        <f t="shared" si="124"/>
        <v>BOOL</v>
      </c>
      <c r="AU175" s="23">
        <f t="shared" si="125"/>
        <v>0</v>
      </c>
      <c r="AV175" s="23" t="str">
        <f t="shared" si="126"/>
        <v>I</v>
      </c>
      <c r="AW175" s="23" t="str">
        <f t="shared" si="127"/>
        <v xml:space="preserve">I.: </v>
      </c>
      <c r="AX175" s="23" t="str">
        <f t="shared" si="128"/>
        <v>ENBT200:1:I.Data[84].25</v>
      </c>
      <c r="AY175" s="36" t="str">
        <f t="shared" si="129"/>
        <v xml:space="preserve">Controller: &lt;I0201N51.b90&gt; - </v>
      </c>
      <c r="BB175" s="42" t="s">
        <v>17</v>
      </c>
      <c r="BC175" t="s">
        <v>16</v>
      </c>
      <c r="BD175" t="str">
        <f t="shared" si="131"/>
        <v>AB_RACKx_SLOTa</v>
      </c>
      <c r="BV175" s="30" t="s">
        <v>655</v>
      </c>
      <c r="BW175" t="str">
        <f t="shared" si="100"/>
        <v>DO[90]</v>
      </c>
      <c r="BY175" s="42"/>
      <c r="CB175" s="42"/>
      <c r="CE175" s="30"/>
      <c r="CH175" s="42"/>
      <c r="CJ175" t="str">
        <f>Prep!$U$3&amp;":I.Data["&amp;Prep!$U$7+2&amp;"]."</f>
        <v>ENBT200:1:I.Data[84].</v>
      </c>
      <c r="CK175">
        <v>25</v>
      </c>
      <c r="CM175" t="s">
        <v>75</v>
      </c>
      <c r="CN175" s="30" t="str">
        <f>"I0"&amp;Header_Config03&amp;"N"&amp;TEXT(Prep!$U$6,"00")&amp;"."</f>
        <v>I0201N51.</v>
      </c>
      <c r="CO175" t="s">
        <v>498</v>
      </c>
      <c r="CP175" t="s">
        <v>12</v>
      </c>
      <c r="CQ175" s="40"/>
      <c r="CR175" s="30" t="s">
        <v>656</v>
      </c>
    </row>
    <row r="176" spans="2:96" x14ac:dyDescent="0.35">
      <c r="B176" s="4" t="str">
        <f t="shared" si="101"/>
        <v>FANUC_SxxRyy</v>
      </c>
      <c r="C176" s="4"/>
      <c r="D176" s="4" t="str">
        <f t="shared" si="102"/>
        <v>To_PLC_AbortReq</v>
      </c>
      <c r="E176" s="4" t="str">
        <f t="shared" si="103"/>
        <v>ENBT200:1:I.Data[84].29</v>
      </c>
      <c r="F176" s="4" t="str">
        <f t="shared" si="104"/>
        <v>I</v>
      </c>
      <c r="G176" s="4" t="str">
        <f t="shared" si="105"/>
        <v/>
      </c>
      <c r="H176" s="4" t="str">
        <f t="shared" si="106"/>
        <v>Controller: &lt;I0201N51.b94&gt; - ABORT REQUEST DO94</v>
      </c>
      <c r="I176" s="4" t="str">
        <f t="shared" si="107"/>
        <v>AB_RACKx_SLOTa</v>
      </c>
      <c r="J176" s="4"/>
      <c r="K176" s="56" t="str">
        <f t="shared" si="108"/>
        <v>BOOL</v>
      </c>
      <c r="L176" s="56" t="str">
        <f t="shared" si="4"/>
        <v>ROBOTS\SxxRyy</v>
      </c>
      <c r="M176" s="56" t="str">
        <f t="shared" si="5"/>
        <v>STELLANTIS\Common\ToolPrototype\Robots</v>
      </c>
      <c r="N176" s="56" t="str">
        <f t="shared" si="6"/>
        <v>STELLANTIS_DN_FANUC_ROBOT_128_BIT_INTEGRATED_SAFETY_SxxRyy.v00</v>
      </c>
      <c r="O176" s="56" t="str">
        <f t="shared" si="109"/>
        <v/>
      </c>
      <c r="P176" s="56" t="str">
        <f t="shared" si="110"/>
        <v/>
      </c>
      <c r="Q176" s="56" t="str">
        <f t="shared" si="111"/>
        <v/>
      </c>
      <c r="R176" s="56" t="str">
        <f t="shared" si="112"/>
        <v/>
      </c>
      <c r="S176" s="56" t="str">
        <f t="shared" si="113"/>
        <v/>
      </c>
      <c r="T176" s="56" t="str">
        <f t="shared" si="114"/>
        <v/>
      </c>
      <c r="U176" s="56" t="str">
        <f t="shared" si="115"/>
        <v/>
      </c>
      <c r="V176" s="56" t="str">
        <f t="shared" si="116"/>
        <v/>
      </c>
      <c r="W176" s="56"/>
      <c r="X176" s="56"/>
      <c r="Y176" s="56"/>
      <c r="Z176" s="56" t="str">
        <f t="shared" si="117"/>
        <v/>
      </c>
      <c r="AA176" s="56" t="str">
        <f t="shared" si="118"/>
        <v/>
      </c>
      <c r="AB176" s="56" t="str">
        <f t="shared" si="9"/>
        <v>ToolPrototype</v>
      </c>
      <c r="AC176" s="56" t="str">
        <f t="shared" si="119"/>
        <v>Optional</v>
      </c>
      <c r="AD176" s="56" t="str">
        <f t="shared" si="10"/>
        <v>&lt;device&gt;
&lt;name&gt;SxxRyy&lt;/name&gt;
&lt;type&gt;FCA_DN_FANUC&lt;/type&gt;
&lt;deviceNetwork&gt;201&lt;/deviceNetwork&gt;
&lt;deviceNode&gt;56&lt;/deviceNode&gt;
&lt;/device&gt;</v>
      </c>
      <c r="AE176" s="56" t="str">
        <f t="shared" si="11"/>
        <v/>
      </c>
      <c r="AF176" s="56" t="str">
        <f t="shared" si="12"/>
        <v/>
      </c>
      <c r="AG176" s="56" t="str">
        <f t="shared" si="13"/>
        <v/>
      </c>
      <c r="AH176" s="56" t="str">
        <f t="shared" si="14"/>
        <v/>
      </c>
      <c r="AI176" s="56" t="str">
        <f t="shared" si="15"/>
        <v/>
      </c>
      <c r="AJ176" s="56" t="str">
        <f t="shared" si="16"/>
        <v/>
      </c>
      <c r="AK176" s="56" t="str">
        <f t="shared" si="17"/>
        <v/>
      </c>
      <c r="AL176" s="56" t="str">
        <f t="shared" si="18"/>
        <v/>
      </c>
      <c r="AM176" s="56" t="str">
        <f t="shared" si="19"/>
        <v/>
      </c>
      <c r="AN176" s="56" t="str">
        <f t="shared" si="120"/>
        <v/>
      </c>
      <c r="AO176" s="56" t="str">
        <f t="shared" si="121"/>
        <v/>
      </c>
      <c r="AP176" s="56" t="str">
        <f t="shared" si="122"/>
        <v>PLC</v>
      </c>
      <c r="AQ176" s="56" t="str">
        <f t="shared" si="123"/>
        <v>EXIT</v>
      </c>
      <c r="AR176" s="39" t="s">
        <v>130</v>
      </c>
      <c r="AT176" s="44" t="str">
        <f t="shared" si="124"/>
        <v>BOOL</v>
      </c>
      <c r="AU176" s="23">
        <f t="shared" si="125"/>
        <v>0</v>
      </c>
      <c r="AV176" s="23" t="str">
        <f t="shared" si="126"/>
        <v>I</v>
      </c>
      <c r="AW176" s="23" t="str">
        <f t="shared" si="127"/>
        <v xml:space="preserve">I.: </v>
      </c>
      <c r="AX176" s="23" t="str">
        <f t="shared" si="128"/>
        <v>ENBT200:1:I.Data[84].29</v>
      </c>
      <c r="AY176" s="36" t="str">
        <f t="shared" si="129"/>
        <v xml:space="preserve">Controller: &lt;I0201N51.b94&gt; - </v>
      </c>
      <c r="BB176" s="42" t="s">
        <v>17</v>
      </c>
      <c r="BC176" t="s">
        <v>16</v>
      </c>
      <c r="BD176" t="str">
        <f t="shared" si="131"/>
        <v>AB_RACKx_SLOTa</v>
      </c>
      <c r="BT176" t="str">
        <f>IF(Prep!$J$4="Y","","X")</f>
        <v/>
      </c>
      <c r="BV176" s="30" t="s">
        <v>509</v>
      </c>
      <c r="BW176" t="str">
        <f t="shared" si="100"/>
        <v>DO[94]</v>
      </c>
      <c r="BY176" s="42"/>
      <c r="CB176" s="42"/>
      <c r="CE176" s="30"/>
      <c r="CH176" s="42"/>
      <c r="CJ176" t="str">
        <f>Prep!$U$3&amp;":I.Data["&amp;Prep!$U$7+2&amp;"]."</f>
        <v>ENBT200:1:I.Data[84].</v>
      </c>
      <c r="CK176">
        <v>29</v>
      </c>
      <c r="CM176" t="s">
        <v>75</v>
      </c>
      <c r="CN176" s="30" t="str">
        <f>"I0"&amp;Header_Config03&amp;"N"&amp;TEXT(Prep!$U$6,"00")&amp;"."</f>
        <v>I0201N51.</v>
      </c>
      <c r="CO176" t="s">
        <v>510</v>
      </c>
      <c r="CP176" t="s">
        <v>12</v>
      </c>
      <c r="CQ176" s="40"/>
      <c r="CR176" s="30" t="s">
        <v>657</v>
      </c>
    </row>
    <row r="177" spans="2:96" x14ac:dyDescent="0.35">
      <c r="B177" s="4" t="str">
        <f t="shared" si="101"/>
        <v>&lt;BLANK&gt;</v>
      </c>
      <c r="C177" s="4"/>
      <c r="D177" s="4" t="str">
        <f t="shared" si="102"/>
        <v>To_PLC_Disp1DispenRdy</v>
      </c>
      <c r="E177" s="4" t="str">
        <f t="shared" si="103"/>
        <v>ENBT200:1:I.Data[84].30</v>
      </c>
      <c r="F177" s="4" t="str">
        <f t="shared" si="104"/>
        <v>I</v>
      </c>
      <c r="G177" s="4" t="str">
        <f t="shared" si="105"/>
        <v/>
      </c>
      <c r="H177" s="4" t="str">
        <f t="shared" si="106"/>
        <v>Controller: &lt;I0201N51.b95&gt; - DISPENSE 1 READY DO95</v>
      </c>
      <c r="I177" s="4" t="str">
        <f t="shared" si="107"/>
        <v>AB_RACKx_SLOTa</v>
      </c>
      <c r="J177" s="4"/>
      <c r="K177" s="56" t="str">
        <f t="shared" si="108"/>
        <v>BOOL</v>
      </c>
      <c r="L177" s="56" t="str">
        <f t="shared" si="4"/>
        <v>ROBOTS\SxxRyy</v>
      </c>
      <c r="M177" s="56" t="str">
        <f t="shared" si="5"/>
        <v>STELLANTIS\Common\ToolPrototype\Robots</v>
      </c>
      <c r="N177" s="56" t="str">
        <f t="shared" si="6"/>
        <v>STELLANTIS_DN_FANUC_ROBOT_128_BIT_INTEGRATED_SAFETY_SxxRyy.v00</v>
      </c>
      <c r="O177" s="56" t="str">
        <f t="shared" si="109"/>
        <v/>
      </c>
      <c r="P177" s="56" t="str">
        <f t="shared" si="110"/>
        <v/>
      </c>
      <c r="Q177" s="56" t="str">
        <f t="shared" si="111"/>
        <v/>
      </c>
      <c r="R177" s="56" t="str">
        <f t="shared" si="112"/>
        <v/>
      </c>
      <c r="S177" s="56" t="str">
        <f t="shared" si="113"/>
        <v/>
      </c>
      <c r="T177" s="56" t="str">
        <f t="shared" si="114"/>
        <v/>
      </c>
      <c r="U177" s="56" t="str">
        <f t="shared" si="115"/>
        <v/>
      </c>
      <c r="V177" s="56" t="str">
        <f t="shared" si="116"/>
        <v/>
      </c>
      <c r="W177" s="56"/>
      <c r="X177" s="56"/>
      <c r="Y177" s="56"/>
      <c r="Z177" s="56" t="str">
        <f t="shared" si="117"/>
        <v/>
      </c>
      <c r="AA177" s="56" t="str">
        <f t="shared" si="118"/>
        <v/>
      </c>
      <c r="AB177" s="56" t="str">
        <f t="shared" si="9"/>
        <v>ToolPrototype</v>
      </c>
      <c r="AC177" s="56" t="str">
        <f t="shared" si="119"/>
        <v>Optional</v>
      </c>
      <c r="AD177" s="56" t="str">
        <f t="shared" si="10"/>
        <v>&lt;device&gt;
&lt;name&gt;SxxRyy&lt;/name&gt;
&lt;type&gt;FCA_DN_FANUC&lt;/type&gt;
&lt;deviceNetwork&gt;201&lt;/deviceNetwork&gt;
&lt;deviceNode&gt;56&lt;/deviceNode&gt;
&lt;/device&gt;</v>
      </c>
      <c r="AE177" s="56" t="str">
        <f t="shared" si="11"/>
        <v/>
      </c>
      <c r="AF177" s="56" t="str">
        <f t="shared" si="12"/>
        <v/>
      </c>
      <c r="AG177" s="56" t="str">
        <f t="shared" si="13"/>
        <v/>
      </c>
      <c r="AH177" s="56" t="str">
        <f t="shared" si="14"/>
        <v/>
      </c>
      <c r="AI177" s="56" t="str">
        <f t="shared" si="15"/>
        <v/>
      </c>
      <c r="AJ177" s="56" t="str">
        <f t="shared" si="16"/>
        <v/>
      </c>
      <c r="AK177" s="56" t="str">
        <f t="shared" si="17"/>
        <v/>
      </c>
      <c r="AL177" s="56" t="str">
        <f t="shared" si="18"/>
        <v/>
      </c>
      <c r="AM177" s="56" t="str">
        <f t="shared" si="19"/>
        <v/>
      </c>
      <c r="AN177" s="56" t="str">
        <f t="shared" si="120"/>
        <v/>
      </c>
      <c r="AO177" s="56" t="str">
        <f t="shared" si="121"/>
        <v/>
      </c>
      <c r="AP177" s="56" t="str">
        <f t="shared" si="122"/>
        <v>PLC</v>
      </c>
      <c r="AQ177" s="56" t="str">
        <f t="shared" si="123"/>
        <v>EXIT</v>
      </c>
      <c r="AR177" s="39" t="s">
        <v>130</v>
      </c>
      <c r="AT177" s="44" t="str">
        <f t="shared" si="124"/>
        <v>BOOL</v>
      </c>
      <c r="AU177" s="23">
        <f t="shared" si="125"/>
        <v>0</v>
      </c>
      <c r="AV177" s="23" t="str">
        <f t="shared" si="126"/>
        <v>I</v>
      </c>
      <c r="AW177" s="23" t="str">
        <f t="shared" si="127"/>
        <v xml:space="preserve">I.: </v>
      </c>
      <c r="AX177" s="23" t="str">
        <f t="shared" si="128"/>
        <v>ENBT200:1:I.Data[84].30</v>
      </c>
      <c r="AY177" s="36" t="str">
        <f t="shared" si="129"/>
        <v xml:space="preserve">Controller: &lt;I0201N51.b95&gt; - </v>
      </c>
      <c r="BB177" s="42" t="s">
        <v>17</v>
      </c>
      <c r="BC177" t="s">
        <v>16</v>
      </c>
      <c r="BD177" t="str">
        <f t="shared" si="131"/>
        <v>AB_RACKx_SLOTa</v>
      </c>
      <c r="BT177" t="str">
        <f>Prep!$G$6</f>
        <v>X</v>
      </c>
      <c r="BV177" s="30" t="s">
        <v>658</v>
      </c>
      <c r="BW177" t="str">
        <f t="shared" si="100"/>
        <v>DO[95]</v>
      </c>
      <c r="BY177" s="42"/>
      <c r="CB177" s="42"/>
      <c r="CE177" s="30"/>
      <c r="CH177" s="42"/>
      <c r="CJ177" t="str">
        <f>Prep!$U$3&amp;":I.Data["&amp;Prep!$U$7+2&amp;"]."</f>
        <v>ENBT200:1:I.Data[84].</v>
      </c>
      <c r="CK177">
        <v>30</v>
      </c>
      <c r="CM177" t="s">
        <v>75</v>
      </c>
      <c r="CN177" s="30" t="str">
        <f>"I0"&amp;Header_Config03&amp;"N"&amp;TEXT(Prep!$U$6,"00")&amp;"."</f>
        <v>I0201N51.</v>
      </c>
      <c r="CO177" t="s">
        <v>659</v>
      </c>
      <c r="CP177" t="s">
        <v>12</v>
      </c>
      <c r="CQ177" s="40"/>
      <c r="CR177" s="30" t="s">
        <v>660</v>
      </c>
    </row>
    <row r="178" spans="2:96" x14ac:dyDescent="0.35">
      <c r="B178" s="4" t="str">
        <f t="shared" si="101"/>
        <v>&lt;BLANK&gt;</v>
      </c>
      <c r="C178" s="4"/>
      <c r="D178" s="4" t="str">
        <f t="shared" si="102"/>
        <v>To_PLC_WaterON</v>
      </c>
      <c r="E178" s="4" t="str">
        <f t="shared" si="103"/>
        <v>ENBT200:1:I.Data[85].2</v>
      </c>
      <c r="F178" s="4" t="str">
        <f t="shared" si="104"/>
        <v>I</v>
      </c>
      <c r="G178" s="4" t="str">
        <f t="shared" si="105"/>
        <v/>
      </c>
      <c r="H178" s="4" t="str">
        <f t="shared" si="106"/>
        <v>Controller: &lt;I0201N51.b99&gt; - WATER ON DO99</v>
      </c>
      <c r="I178" s="4" t="str">
        <f t="shared" si="107"/>
        <v>AB_RACKx_SLOTa</v>
      </c>
      <c r="J178" s="4"/>
      <c r="K178" s="56" t="str">
        <f t="shared" si="108"/>
        <v>BOOL</v>
      </c>
      <c r="L178" s="56" t="str">
        <f t="shared" si="4"/>
        <v>ROBOTS\SxxRyy</v>
      </c>
      <c r="M178" s="56" t="str">
        <f t="shared" si="5"/>
        <v>STELLANTIS\Common\ToolPrototype\Robots</v>
      </c>
      <c r="N178" s="56" t="str">
        <f t="shared" si="6"/>
        <v>STELLANTIS_DN_FANUC_ROBOT_128_BIT_INTEGRATED_SAFETY_SxxRyy.v00</v>
      </c>
      <c r="O178" s="56" t="str">
        <f t="shared" si="109"/>
        <v/>
      </c>
      <c r="P178" s="56" t="str">
        <f t="shared" si="110"/>
        <v/>
      </c>
      <c r="Q178" s="56" t="str">
        <f t="shared" si="111"/>
        <v/>
      </c>
      <c r="R178" s="56" t="str">
        <f t="shared" si="112"/>
        <v/>
      </c>
      <c r="S178" s="56" t="str">
        <f t="shared" si="113"/>
        <v/>
      </c>
      <c r="T178" s="56" t="str">
        <f t="shared" si="114"/>
        <v/>
      </c>
      <c r="U178" s="56" t="str">
        <f t="shared" si="115"/>
        <v/>
      </c>
      <c r="V178" s="56" t="str">
        <f t="shared" si="116"/>
        <v/>
      </c>
      <c r="W178" s="56"/>
      <c r="X178" s="56"/>
      <c r="Y178" s="56"/>
      <c r="Z178" s="56" t="str">
        <f t="shared" si="117"/>
        <v/>
      </c>
      <c r="AA178" s="56" t="str">
        <f t="shared" si="118"/>
        <v/>
      </c>
      <c r="AB178" s="56" t="str">
        <f t="shared" si="9"/>
        <v>ToolPrototype</v>
      </c>
      <c r="AC178" s="56" t="str">
        <f t="shared" si="119"/>
        <v>Optional</v>
      </c>
      <c r="AD178" s="56" t="str">
        <f t="shared" si="10"/>
        <v>&lt;device&gt;
&lt;name&gt;SxxRyy&lt;/name&gt;
&lt;type&gt;FCA_DN_FANUC&lt;/type&gt;
&lt;deviceNetwork&gt;201&lt;/deviceNetwork&gt;
&lt;deviceNode&gt;56&lt;/deviceNode&gt;
&lt;/device&gt;</v>
      </c>
      <c r="AE178" s="56" t="str">
        <f t="shared" si="11"/>
        <v/>
      </c>
      <c r="AF178" s="56" t="str">
        <f t="shared" si="12"/>
        <v/>
      </c>
      <c r="AG178" s="56" t="str">
        <f t="shared" si="13"/>
        <v/>
      </c>
      <c r="AH178" s="56" t="str">
        <f t="shared" si="14"/>
        <v/>
      </c>
      <c r="AI178" s="56" t="str">
        <f t="shared" si="15"/>
        <v/>
      </c>
      <c r="AJ178" s="56" t="str">
        <f t="shared" si="16"/>
        <v/>
      </c>
      <c r="AK178" s="56" t="str">
        <f t="shared" si="17"/>
        <v/>
      </c>
      <c r="AL178" s="56" t="str">
        <f t="shared" si="18"/>
        <v/>
      </c>
      <c r="AM178" s="56" t="str">
        <f t="shared" si="19"/>
        <v/>
      </c>
      <c r="AN178" s="56" t="str">
        <f t="shared" si="120"/>
        <v/>
      </c>
      <c r="AO178" s="56" t="str">
        <f t="shared" si="121"/>
        <v/>
      </c>
      <c r="AP178" s="56" t="str">
        <f t="shared" si="122"/>
        <v>PLC</v>
      </c>
      <c r="AQ178" s="56" t="str">
        <f t="shared" si="123"/>
        <v>EXIT</v>
      </c>
      <c r="AR178" s="39" t="s">
        <v>130</v>
      </c>
      <c r="AT178" s="44" t="str">
        <f t="shared" si="124"/>
        <v>BOOL</v>
      </c>
      <c r="AU178" s="23">
        <f t="shared" si="125"/>
        <v>0</v>
      </c>
      <c r="AV178" s="23" t="str">
        <f t="shared" si="126"/>
        <v>I</v>
      </c>
      <c r="AW178" s="23" t="str">
        <f t="shared" si="127"/>
        <v xml:space="preserve">I.: </v>
      </c>
      <c r="AX178" s="23" t="str">
        <f t="shared" si="128"/>
        <v>ENBT200:1:I.Data[85].2</v>
      </c>
      <c r="AY178" s="36" t="str">
        <f t="shared" si="129"/>
        <v xml:space="preserve">Controller: &lt;I0201N51.b99&gt; - </v>
      </c>
      <c r="BB178" s="42" t="s">
        <v>17</v>
      </c>
      <c r="BC178" t="s">
        <v>16</v>
      </c>
      <c r="BD178" t="str">
        <f t="shared" si="131"/>
        <v>AB_RACKx_SLOTa</v>
      </c>
      <c r="BT178" t="str">
        <f>Prep!$G$4</f>
        <v>X</v>
      </c>
      <c r="BV178" s="30" t="s">
        <v>661</v>
      </c>
      <c r="BW178" t="str">
        <f t="shared" si="100"/>
        <v>DO[99]</v>
      </c>
      <c r="BY178" s="42"/>
      <c r="CB178" s="42"/>
      <c r="CE178" s="30"/>
      <c r="CH178" s="42"/>
      <c r="CJ178" t="str">
        <f>Prep!$U$3&amp;":I.Data["&amp;Prep!$U$7+3&amp;"]."</f>
        <v>ENBT200:1:I.Data[85].</v>
      </c>
      <c r="CK178">
        <v>2</v>
      </c>
      <c r="CM178" t="s">
        <v>75</v>
      </c>
      <c r="CN178" s="30" t="str">
        <f>"I0"&amp;Header_Config03&amp;"N"&amp;TEXT(Prep!$U$6,"00")&amp;"."</f>
        <v>I0201N51.</v>
      </c>
      <c r="CO178" t="s">
        <v>662</v>
      </c>
      <c r="CP178" t="s">
        <v>12</v>
      </c>
      <c r="CQ178" s="40"/>
      <c r="CR178" s="30" t="s">
        <v>663</v>
      </c>
    </row>
    <row r="179" spans="2:96" x14ac:dyDescent="0.35">
      <c r="B179" s="4" t="str">
        <f t="shared" si="101"/>
        <v>&lt;BLANK&gt;</v>
      </c>
      <c r="C179" s="4"/>
      <c r="D179" s="4" t="str">
        <f t="shared" si="102"/>
        <v>To_PLC_TipDressReq1</v>
      </c>
      <c r="E179" s="4" t="str">
        <f t="shared" si="103"/>
        <v>ENBT200:1:I.Data[85].3</v>
      </c>
      <c r="F179" s="4" t="str">
        <f t="shared" si="104"/>
        <v>I</v>
      </c>
      <c r="G179" s="4" t="str">
        <f t="shared" si="105"/>
        <v/>
      </c>
      <c r="H179" s="4" t="str">
        <f t="shared" si="106"/>
        <v>Controller: &lt;I0201N51.b100&gt; - TIP DRESS 1 REQUEST DO100</v>
      </c>
      <c r="I179" s="4" t="str">
        <f t="shared" si="107"/>
        <v>AB_RACKx_SLOTa</v>
      </c>
      <c r="J179" s="4"/>
      <c r="K179" s="56" t="str">
        <f t="shared" si="108"/>
        <v>BOOL</v>
      </c>
      <c r="L179" s="56" t="str">
        <f t="shared" si="4"/>
        <v>ROBOTS\SxxRyy</v>
      </c>
      <c r="M179" s="56" t="str">
        <f t="shared" si="5"/>
        <v>STELLANTIS\Common\ToolPrototype\Robots</v>
      </c>
      <c r="N179" s="56" t="str">
        <f t="shared" si="6"/>
        <v>STELLANTIS_DN_FANUC_ROBOT_128_BIT_INTEGRATED_SAFETY_SxxRyy.v00</v>
      </c>
      <c r="O179" s="56" t="str">
        <f t="shared" si="109"/>
        <v/>
      </c>
      <c r="P179" s="56" t="str">
        <f t="shared" si="110"/>
        <v/>
      </c>
      <c r="Q179" s="56" t="str">
        <f t="shared" si="111"/>
        <v/>
      </c>
      <c r="R179" s="56" t="str">
        <f t="shared" si="112"/>
        <v/>
      </c>
      <c r="S179" s="56" t="str">
        <f t="shared" si="113"/>
        <v/>
      </c>
      <c r="T179" s="56" t="str">
        <f t="shared" si="114"/>
        <v/>
      </c>
      <c r="U179" s="56" t="str">
        <f t="shared" si="115"/>
        <v/>
      </c>
      <c r="V179" s="56" t="str">
        <f t="shared" si="116"/>
        <v/>
      </c>
      <c r="W179" s="56"/>
      <c r="X179" s="56"/>
      <c r="Y179" s="56"/>
      <c r="Z179" s="56" t="str">
        <f t="shared" si="117"/>
        <v/>
      </c>
      <c r="AA179" s="56" t="str">
        <f t="shared" si="118"/>
        <v/>
      </c>
      <c r="AB179" s="56" t="str">
        <f t="shared" si="9"/>
        <v>ToolPrototype</v>
      </c>
      <c r="AC179" s="56" t="str">
        <f t="shared" si="119"/>
        <v>Optional</v>
      </c>
      <c r="AD179" s="56" t="str">
        <f t="shared" si="10"/>
        <v>&lt;device&gt;
&lt;name&gt;SxxRyy&lt;/name&gt;
&lt;type&gt;FCA_DN_FANUC&lt;/type&gt;
&lt;deviceNetwork&gt;201&lt;/deviceNetwork&gt;
&lt;deviceNode&gt;56&lt;/deviceNode&gt;
&lt;/device&gt;</v>
      </c>
      <c r="AE179" s="56" t="str">
        <f t="shared" si="11"/>
        <v/>
      </c>
      <c r="AF179" s="56" t="str">
        <f t="shared" si="12"/>
        <v/>
      </c>
      <c r="AG179" s="56" t="str">
        <f t="shared" si="13"/>
        <v/>
      </c>
      <c r="AH179" s="56" t="str">
        <f t="shared" si="14"/>
        <v/>
      </c>
      <c r="AI179" s="56" t="str">
        <f t="shared" si="15"/>
        <v/>
      </c>
      <c r="AJ179" s="56" t="str">
        <f t="shared" si="16"/>
        <v/>
      </c>
      <c r="AK179" s="56" t="str">
        <f t="shared" si="17"/>
        <v/>
      </c>
      <c r="AL179" s="56" t="str">
        <f t="shared" si="18"/>
        <v/>
      </c>
      <c r="AM179" s="56" t="str">
        <f t="shared" si="19"/>
        <v/>
      </c>
      <c r="AN179" s="56" t="str">
        <f t="shared" si="120"/>
        <v/>
      </c>
      <c r="AO179" s="56" t="str">
        <f t="shared" si="121"/>
        <v/>
      </c>
      <c r="AP179" s="56" t="str">
        <f t="shared" si="122"/>
        <v>PLC</v>
      </c>
      <c r="AQ179" s="56" t="str">
        <f t="shared" si="123"/>
        <v>EXIT</v>
      </c>
      <c r="AR179" s="39" t="s">
        <v>130</v>
      </c>
      <c r="AT179" s="44" t="str">
        <f t="shared" si="124"/>
        <v>BOOL</v>
      </c>
      <c r="AU179" s="23">
        <f t="shared" si="125"/>
        <v>0</v>
      </c>
      <c r="AV179" s="23" t="str">
        <f t="shared" si="126"/>
        <v>I</v>
      </c>
      <c r="AW179" s="23" t="str">
        <f t="shared" si="127"/>
        <v xml:space="preserve">I.: </v>
      </c>
      <c r="AX179" s="23" t="str">
        <f t="shared" si="128"/>
        <v>ENBT200:1:I.Data[85].3</v>
      </c>
      <c r="AY179" s="36" t="str">
        <f t="shared" si="129"/>
        <v xml:space="preserve">Controller: &lt;I0201N51.b100&gt; - </v>
      </c>
      <c r="BB179" s="42" t="s">
        <v>17</v>
      </c>
      <c r="BC179" t="s">
        <v>16</v>
      </c>
      <c r="BD179" t="str">
        <f t="shared" si="131"/>
        <v>AB_RACKx_SLOTa</v>
      </c>
      <c r="BT179" t="str">
        <f>Prep!$G$4</f>
        <v>X</v>
      </c>
      <c r="BV179" s="30" t="s">
        <v>664</v>
      </c>
      <c r="BW179" t="str">
        <f t="shared" si="100"/>
        <v>DO[100]</v>
      </c>
      <c r="BY179" s="42"/>
      <c r="CB179" s="42"/>
      <c r="CE179" s="30"/>
      <c r="CH179" s="42"/>
      <c r="CJ179" t="str">
        <f>Prep!$U$3&amp;":I.Data["&amp;Prep!$U$7+3&amp;"]."</f>
        <v>ENBT200:1:I.Data[85].</v>
      </c>
      <c r="CK179">
        <v>3</v>
      </c>
      <c r="CM179" t="s">
        <v>75</v>
      </c>
      <c r="CN179" s="30" t="str">
        <f>"I0"&amp;Header_Config03&amp;"N"&amp;TEXT(Prep!$U$6,"00")&amp;"."</f>
        <v>I0201N51.</v>
      </c>
      <c r="CO179" t="s">
        <v>665</v>
      </c>
      <c r="CP179" t="s">
        <v>12</v>
      </c>
      <c r="CQ179" s="40"/>
      <c r="CR179" s="30" t="s">
        <v>666</v>
      </c>
    </row>
    <row r="180" spans="2:96" x14ac:dyDescent="0.35">
      <c r="B180" s="4" t="str">
        <f t="shared" si="101"/>
        <v>&lt;BLANK&gt;</v>
      </c>
      <c r="C180" s="4"/>
      <c r="D180" s="4" t="str">
        <f t="shared" si="102"/>
        <v>To_PLC_StepperReset1Ack</v>
      </c>
      <c r="E180" s="4" t="str">
        <f t="shared" si="103"/>
        <v>ENBT200:1:I.Data[85].5</v>
      </c>
      <c r="F180" s="4" t="str">
        <f t="shared" si="104"/>
        <v>I</v>
      </c>
      <c r="G180" s="4" t="str">
        <f t="shared" si="105"/>
        <v/>
      </c>
      <c r="H180" s="4" t="str">
        <f t="shared" si="106"/>
        <v>Controller: &lt;I0201N51.b102&gt; - STEPPER RESET 1 ACK DO102</v>
      </c>
      <c r="I180" s="4" t="str">
        <f t="shared" si="107"/>
        <v>AB_RACKx_SLOTa</v>
      </c>
      <c r="J180" s="4"/>
      <c r="K180" s="56" t="str">
        <f t="shared" si="108"/>
        <v>BOOL</v>
      </c>
      <c r="L180" s="56" t="str">
        <f t="shared" si="4"/>
        <v>ROBOTS\SxxRyy</v>
      </c>
      <c r="M180" s="56" t="str">
        <f t="shared" si="5"/>
        <v>STELLANTIS\Common\ToolPrototype\Robots</v>
      </c>
      <c r="N180" s="56" t="str">
        <f t="shared" si="6"/>
        <v>STELLANTIS_DN_FANUC_ROBOT_128_BIT_INTEGRATED_SAFETY_SxxRyy.v00</v>
      </c>
      <c r="O180" s="56" t="str">
        <f t="shared" si="109"/>
        <v/>
      </c>
      <c r="P180" s="56" t="str">
        <f t="shared" si="110"/>
        <v/>
      </c>
      <c r="Q180" s="56" t="str">
        <f t="shared" si="111"/>
        <v/>
      </c>
      <c r="R180" s="56" t="str">
        <f t="shared" si="112"/>
        <v/>
      </c>
      <c r="S180" s="56" t="str">
        <f t="shared" si="113"/>
        <v/>
      </c>
      <c r="T180" s="56" t="str">
        <f t="shared" si="114"/>
        <v/>
      </c>
      <c r="U180" s="56" t="str">
        <f t="shared" si="115"/>
        <v/>
      </c>
      <c r="V180" s="56" t="str">
        <f t="shared" si="116"/>
        <v/>
      </c>
      <c r="W180" s="56"/>
      <c r="X180" s="56"/>
      <c r="Y180" s="56"/>
      <c r="Z180" s="56" t="str">
        <f t="shared" si="117"/>
        <v/>
      </c>
      <c r="AA180" s="56" t="str">
        <f t="shared" si="118"/>
        <v/>
      </c>
      <c r="AB180" s="56" t="str">
        <f t="shared" si="9"/>
        <v>ToolPrototype</v>
      </c>
      <c r="AC180" s="56" t="str">
        <f t="shared" si="119"/>
        <v>Optional</v>
      </c>
      <c r="AD180" s="56" t="str">
        <f t="shared" si="10"/>
        <v>&lt;device&gt;
&lt;name&gt;SxxRyy&lt;/name&gt;
&lt;type&gt;FCA_DN_FANUC&lt;/type&gt;
&lt;deviceNetwork&gt;201&lt;/deviceNetwork&gt;
&lt;deviceNode&gt;56&lt;/deviceNode&gt;
&lt;/device&gt;</v>
      </c>
      <c r="AE180" s="56" t="str">
        <f t="shared" si="11"/>
        <v/>
      </c>
      <c r="AF180" s="56" t="str">
        <f t="shared" si="12"/>
        <v/>
      </c>
      <c r="AG180" s="56" t="str">
        <f t="shared" si="13"/>
        <v/>
      </c>
      <c r="AH180" s="56" t="str">
        <f t="shared" si="14"/>
        <v/>
      </c>
      <c r="AI180" s="56" t="str">
        <f t="shared" si="15"/>
        <v/>
      </c>
      <c r="AJ180" s="56" t="str">
        <f t="shared" si="16"/>
        <v/>
      </c>
      <c r="AK180" s="56" t="str">
        <f t="shared" si="17"/>
        <v/>
      </c>
      <c r="AL180" s="56" t="str">
        <f t="shared" si="18"/>
        <v/>
      </c>
      <c r="AM180" s="56" t="str">
        <f t="shared" si="19"/>
        <v/>
      </c>
      <c r="AN180" s="56" t="str">
        <f t="shared" si="120"/>
        <v/>
      </c>
      <c r="AO180" s="56" t="str">
        <f t="shared" si="121"/>
        <v/>
      </c>
      <c r="AP180" s="56" t="str">
        <f t="shared" si="122"/>
        <v>PLC</v>
      </c>
      <c r="AQ180" s="56" t="str">
        <f t="shared" si="123"/>
        <v>EXIT</v>
      </c>
      <c r="AR180" s="39" t="s">
        <v>130</v>
      </c>
      <c r="AT180" s="44" t="str">
        <f t="shared" si="124"/>
        <v>BOOL</v>
      </c>
      <c r="AU180" s="23">
        <f t="shared" si="125"/>
        <v>0</v>
      </c>
      <c r="AV180" s="23" t="str">
        <f t="shared" si="126"/>
        <v>I</v>
      </c>
      <c r="AW180" s="23" t="str">
        <f t="shared" si="127"/>
        <v xml:space="preserve">I.: </v>
      </c>
      <c r="AX180" s="23" t="str">
        <f t="shared" si="128"/>
        <v>ENBT200:1:I.Data[85].5</v>
      </c>
      <c r="AY180" s="36" t="str">
        <f t="shared" si="129"/>
        <v xml:space="preserve">Controller: &lt;I0201N51.b102&gt; - </v>
      </c>
      <c r="BB180" s="42" t="s">
        <v>17</v>
      </c>
      <c r="BC180" t="s">
        <v>16</v>
      </c>
      <c r="BD180" t="str">
        <f t="shared" si="131"/>
        <v>AB_RACKx_SLOTa</v>
      </c>
      <c r="BT180" t="str">
        <f>Prep!$G$4</f>
        <v>X</v>
      </c>
      <c r="BV180" s="30" t="s">
        <v>667</v>
      </c>
      <c r="BW180" t="str">
        <f t="shared" si="100"/>
        <v>DO[102]</v>
      </c>
      <c r="BY180" s="42"/>
      <c r="CB180" s="42"/>
      <c r="CE180" s="30"/>
      <c r="CH180" s="42"/>
      <c r="CJ180" t="str">
        <f>Prep!$U$3&amp;":I.Data["&amp;Prep!$U$7+3&amp;"]."</f>
        <v>ENBT200:1:I.Data[85].</v>
      </c>
      <c r="CK180">
        <v>5</v>
      </c>
      <c r="CM180" t="s">
        <v>75</v>
      </c>
      <c r="CN180" s="30" t="str">
        <f>"I0"&amp;Header_Config03&amp;"N"&amp;TEXT(Prep!$U$6,"00")&amp;"."</f>
        <v>I0201N51.</v>
      </c>
      <c r="CO180" t="s">
        <v>668</v>
      </c>
      <c r="CP180" t="s">
        <v>12</v>
      </c>
      <c r="CQ180" s="40"/>
      <c r="CR180" s="30" t="s">
        <v>669</v>
      </c>
    </row>
    <row r="181" spans="2:96" x14ac:dyDescent="0.35">
      <c r="B181" s="4" t="str">
        <f t="shared" si="101"/>
        <v>&lt;BLANK&gt;</v>
      </c>
      <c r="C181" s="4"/>
      <c r="D181" s="4" t="str">
        <f t="shared" si="102"/>
        <v>To_PLC_StepperReset2Ack</v>
      </c>
      <c r="E181" s="4" t="str">
        <f t="shared" si="103"/>
        <v>ENBT200:1:I.Data[85].6</v>
      </c>
      <c r="F181" s="4" t="str">
        <f t="shared" si="104"/>
        <v>I</v>
      </c>
      <c r="G181" s="4" t="str">
        <f t="shared" si="105"/>
        <v/>
      </c>
      <c r="H181" s="4" t="str">
        <f t="shared" si="106"/>
        <v>Controller: &lt;I0201N51.b103&gt; - STEPPER RESET 2 ACK DO103</v>
      </c>
      <c r="I181" s="4" t="str">
        <f t="shared" si="107"/>
        <v>AB_RACKx_SLOTa</v>
      </c>
      <c r="J181" s="4"/>
      <c r="K181" s="56" t="str">
        <f t="shared" si="108"/>
        <v>BOOL</v>
      </c>
      <c r="L181" s="56" t="str">
        <f t="shared" si="4"/>
        <v>ROBOTS\SxxRyy</v>
      </c>
      <c r="M181" s="56" t="str">
        <f t="shared" si="5"/>
        <v>STELLANTIS\Common\ToolPrototype\Robots</v>
      </c>
      <c r="N181" s="56" t="str">
        <f t="shared" si="6"/>
        <v>STELLANTIS_DN_FANUC_ROBOT_128_BIT_INTEGRATED_SAFETY_SxxRyy.v00</v>
      </c>
      <c r="O181" s="56" t="str">
        <f t="shared" si="109"/>
        <v/>
      </c>
      <c r="P181" s="56" t="str">
        <f t="shared" si="110"/>
        <v/>
      </c>
      <c r="Q181" s="56" t="str">
        <f t="shared" si="111"/>
        <v/>
      </c>
      <c r="R181" s="56" t="str">
        <f t="shared" si="112"/>
        <v/>
      </c>
      <c r="S181" s="56" t="str">
        <f t="shared" si="113"/>
        <v/>
      </c>
      <c r="T181" s="56" t="str">
        <f t="shared" si="114"/>
        <v/>
      </c>
      <c r="U181" s="56" t="str">
        <f t="shared" si="115"/>
        <v/>
      </c>
      <c r="V181" s="56" t="str">
        <f t="shared" si="116"/>
        <v/>
      </c>
      <c r="W181" s="56"/>
      <c r="X181" s="56"/>
      <c r="Y181" s="56"/>
      <c r="Z181" s="56" t="str">
        <f t="shared" si="117"/>
        <v/>
      </c>
      <c r="AA181" s="56" t="str">
        <f t="shared" si="118"/>
        <v/>
      </c>
      <c r="AB181" s="56" t="str">
        <f t="shared" si="9"/>
        <v>ToolPrototype</v>
      </c>
      <c r="AC181" s="56" t="str">
        <f t="shared" si="119"/>
        <v>Optional</v>
      </c>
      <c r="AD181" s="56" t="str">
        <f t="shared" si="10"/>
        <v>&lt;device&gt;
&lt;name&gt;SxxRyy&lt;/name&gt;
&lt;type&gt;FCA_DN_FANUC&lt;/type&gt;
&lt;deviceNetwork&gt;201&lt;/deviceNetwork&gt;
&lt;deviceNode&gt;56&lt;/deviceNode&gt;
&lt;/device&gt;</v>
      </c>
      <c r="AE181" s="56" t="str">
        <f t="shared" si="11"/>
        <v/>
      </c>
      <c r="AF181" s="56" t="str">
        <f t="shared" si="12"/>
        <v/>
      </c>
      <c r="AG181" s="56" t="str">
        <f t="shared" si="13"/>
        <v/>
      </c>
      <c r="AH181" s="56" t="str">
        <f t="shared" si="14"/>
        <v/>
      </c>
      <c r="AI181" s="56" t="str">
        <f t="shared" si="15"/>
        <v/>
      </c>
      <c r="AJ181" s="56" t="str">
        <f t="shared" si="16"/>
        <v/>
      </c>
      <c r="AK181" s="56" t="str">
        <f t="shared" si="17"/>
        <v/>
      </c>
      <c r="AL181" s="56" t="str">
        <f t="shared" si="18"/>
        <v/>
      </c>
      <c r="AM181" s="56" t="str">
        <f t="shared" si="19"/>
        <v/>
      </c>
      <c r="AN181" s="56" t="str">
        <f t="shared" si="120"/>
        <v/>
      </c>
      <c r="AO181" s="56" t="str">
        <f t="shared" si="121"/>
        <v/>
      </c>
      <c r="AP181" s="56" t="str">
        <f t="shared" si="122"/>
        <v>PLC</v>
      </c>
      <c r="AQ181" s="56" t="str">
        <f t="shared" si="123"/>
        <v>EXIT</v>
      </c>
      <c r="AR181" s="39" t="s">
        <v>130</v>
      </c>
      <c r="AT181" s="44" t="str">
        <f t="shared" si="124"/>
        <v>BOOL</v>
      </c>
      <c r="AU181" s="23">
        <f t="shared" si="125"/>
        <v>0</v>
      </c>
      <c r="AV181" s="23" t="str">
        <f t="shared" si="126"/>
        <v>I</v>
      </c>
      <c r="AW181" s="23" t="str">
        <f t="shared" si="127"/>
        <v xml:space="preserve">I.: </v>
      </c>
      <c r="AX181" s="23" t="str">
        <f t="shared" si="128"/>
        <v>ENBT200:1:I.Data[85].6</v>
      </c>
      <c r="AY181" s="36" t="str">
        <f t="shared" si="129"/>
        <v xml:space="preserve">Controller: &lt;I0201N51.b103&gt; - </v>
      </c>
      <c r="BB181" s="42" t="s">
        <v>17</v>
      </c>
      <c r="BC181" t="s">
        <v>16</v>
      </c>
      <c r="BD181" t="str">
        <f t="shared" si="131"/>
        <v>AB_RACKx_SLOTa</v>
      </c>
      <c r="BT181" t="str">
        <f>Prep!$G$4</f>
        <v>X</v>
      </c>
      <c r="BV181" s="30" t="s">
        <v>670</v>
      </c>
      <c r="BW181" t="str">
        <f t="shared" si="100"/>
        <v>DO[103]</v>
      </c>
      <c r="BY181" s="42"/>
      <c r="CB181" s="42"/>
      <c r="CE181" s="30"/>
      <c r="CH181" s="42"/>
      <c r="CJ181" t="str">
        <f>Prep!$U$3&amp;":I.Data["&amp;Prep!$U$7+3&amp;"]."</f>
        <v>ENBT200:1:I.Data[85].</v>
      </c>
      <c r="CK181">
        <v>6</v>
      </c>
      <c r="CM181" t="s">
        <v>75</v>
      </c>
      <c r="CN181" s="30" t="str">
        <f>"I0"&amp;Header_Config03&amp;"N"&amp;TEXT(Prep!$U$6,"00")&amp;"."</f>
        <v>I0201N51.</v>
      </c>
      <c r="CO181" t="s">
        <v>671</v>
      </c>
      <c r="CP181" t="s">
        <v>12</v>
      </c>
      <c r="CQ181" s="40"/>
      <c r="CR181" s="30" t="s">
        <v>672</v>
      </c>
    </row>
    <row r="182" spans="2:96" x14ac:dyDescent="0.35">
      <c r="B182" s="4" t="str">
        <f t="shared" si="101"/>
        <v>FANUC_SxxRyy</v>
      </c>
      <c r="C182" s="4"/>
      <c r="D182" s="4" t="str">
        <f t="shared" si="102"/>
        <v>To_PLC_StepMode</v>
      </c>
      <c r="E182" s="4" t="str">
        <f t="shared" si="103"/>
        <v>ENBT200:1:I.Data[85].7</v>
      </c>
      <c r="F182" s="4" t="str">
        <f t="shared" si="104"/>
        <v>I</v>
      </c>
      <c r="G182" s="4" t="str">
        <f t="shared" si="105"/>
        <v/>
      </c>
      <c r="H182" s="4" t="str">
        <f t="shared" si="106"/>
        <v>Controller: &lt;I0201N51.b104&gt; - IN STEP MODE DO104</v>
      </c>
      <c r="I182" s="4" t="str">
        <f t="shared" si="107"/>
        <v>AB_RACKx_SLOTa</v>
      </c>
      <c r="J182" s="4"/>
      <c r="K182" s="56" t="str">
        <f t="shared" si="108"/>
        <v>BOOL</v>
      </c>
      <c r="L182" s="56" t="str">
        <f t="shared" si="4"/>
        <v>ROBOTS\SxxRyy</v>
      </c>
      <c r="M182" s="56" t="str">
        <f t="shared" si="5"/>
        <v>STELLANTIS\Common\ToolPrototype\Robots</v>
      </c>
      <c r="N182" s="56" t="str">
        <f t="shared" si="6"/>
        <v>STELLANTIS_DN_FANUC_ROBOT_128_BIT_INTEGRATED_SAFETY_SxxRyy.v00</v>
      </c>
      <c r="O182" s="56" t="str">
        <f t="shared" si="109"/>
        <v/>
      </c>
      <c r="P182" s="56" t="str">
        <f t="shared" si="110"/>
        <v/>
      </c>
      <c r="Q182" s="56" t="str">
        <f t="shared" si="111"/>
        <v/>
      </c>
      <c r="R182" s="56" t="str">
        <f t="shared" si="112"/>
        <v/>
      </c>
      <c r="S182" s="56" t="str">
        <f t="shared" si="113"/>
        <v/>
      </c>
      <c r="T182" s="56" t="str">
        <f t="shared" si="114"/>
        <v/>
      </c>
      <c r="U182" s="56" t="str">
        <f t="shared" si="115"/>
        <v/>
      </c>
      <c r="V182" s="56" t="str">
        <f t="shared" si="116"/>
        <v/>
      </c>
      <c r="W182" s="56"/>
      <c r="X182" s="56"/>
      <c r="Y182" s="56"/>
      <c r="Z182" s="56" t="str">
        <f t="shared" si="117"/>
        <v/>
      </c>
      <c r="AA182" s="56" t="str">
        <f t="shared" si="118"/>
        <v/>
      </c>
      <c r="AB182" s="56" t="str">
        <f t="shared" si="9"/>
        <v>ToolPrototype</v>
      </c>
      <c r="AC182" s="56" t="str">
        <f t="shared" si="119"/>
        <v/>
      </c>
      <c r="AD182" s="56" t="str">
        <f t="shared" si="10"/>
        <v>&lt;device&gt;
&lt;name&gt;SxxRyy&lt;/name&gt;
&lt;type&gt;FCA_DN_FANUC&lt;/type&gt;
&lt;deviceNetwork&gt;201&lt;/deviceNetwork&gt;
&lt;deviceNode&gt;56&lt;/deviceNode&gt;
&lt;/device&gt;</v>
      </c>
      <c r="AE182" s="56" t="str">
        <f t="shared" si="11"/>
        <v/>
      </c>
      <c r="AF182" s="56" t="str">
        <f t="shared" si="12"/>
        <v/>
      </c>
      <c r="AG182" s="56" t="str">
        <f t="shared" si="13"/>
        <v/>
      </c>
      <c r="AH182" s="56" t="str">
        <f t="shared" si="14"/>
        <v/>
      </c>
      <c r="AI182" s="56" t="str">
        <f t="shared" si="15"/>
        <v/>
      </c>
      <c r="AJ182" s="56" t="str">
        <f t="shared" si="16"/>
        <v/>
      </c>
      <c r="AK182" s="56" t="str">
        <f t="shared" si="17"/>
        <v/>
      </c>
      <c r="AL182" s="56" t="str">
        <f t="shared" si="18"/>
        <v/>
      </c>
      <c r="AM182" s="56" t="str">
        <f t="shared" si="19"/>
        <v/>
      </c>
      <c r="AN182" s="56" t="str">
        <f t="shared" si="120"/>
        <v/>
      </c>
      <c r="AO182" s="56" t="str">
        <f t="shared" si="121"/>
        <v/>
      </c>
      <c r="AP182" s="56" t="str">
        <f t="shared" si="122"/>
        <v>PLC</v>
      </c>
      <c r="AQ182" s="56" t="str">
        <f t="shared" si="123"/>
        <v>EXIT</v>
      </c>
      <c r="AR182" s="39" t="s">
        <v>130</v>
      </c>
      <c r="AT182" s="44" t="str">
        <f t="shared" si="124"/>
        <v>BOOL</v>
      </c>
      <c r="AU182" s="23">
        <f t="shared" si="125"/>
        <v>0</v>
      </c>
      <c r="AV182" s="23" t="str">
        <f t="shared" si="126"/>
        <v>I</v>
      </c>
      <c r="AW182" s="23" t="str">
        <f t="shared" si="127"/>
        <v xml:space="preserve">I.: </v>
      </c>
      <c r="AX182" s="23" t="str">
        <f t="shared" si="128"/>
        <v>ENBT200:1:I.Data[85].7</v>
      </c>
      <c r="AY182" s="36" t="str">
        <f t="shared" si="129"/>
        <v xml:space="preserve">Controller: &lt;I0201N51.b104&gt; - </v>
      </c>
      <c r="BB182" s="42" t="s">
        <v>17</v>
      </c>
      <c r="BC182" t="s">
        <v>16</v>
      </c>
      <c r="BD182" t="str">
        <f t="shared" si="131"/>
        <v>AB_RACKx_SLOTa</v>
      </c>
      <c r="BV182" s="30" t="s">
        <v>673</v>
      </c>
      <c r="BW182" t="str">
        <f t="shared" si="100"/>
        <v>DO[104]</v>
      </c>
      <c r="BY182" s="42"/>
      <c r="CB182" s="42"/>
      <c r="CE182" s="30"/>
      <c r="CH182" s="42"/>
      <c r="CJ182" t="str">
        <f>Prep!$U$3&amp;":I.Data["&amp;Prep!$U$7+3&amp;"]."</f>
        <v>ENBT200:1:I.Data[85].</v>
      </c>
      <c r="CK182">
        <v>7</v>
      </c>
      <c r="CM182" t="s">
        <v>75</v>
      </c>
      <c r="CN182" s="30" t="str">
        <f>"I0"&amp;Header_Config03&amp;"N"&amp;TEXT(Prep!$U$6,"00")&amp;"."</f>
        <v>I0201N51.</v>
      </c>
      <c r="CO182" t="s">
        <v>674</v>
      </c>
      <c r="CP182" t="s">
        <v>12</v>
      </c>
      <c r="CQ182" s="40"/>
      <c r="CR182" s="30" t="s">
        <v>675</v>
      </c>
    </row>
    <row r="183" spans="2:96" x14ac:dyDescent="0.35">
      <c r="B183" s="4" t="str">
        <f t="shared" si="101"/>
        <v>FANUC_SxxRyy</v>
      </c>
      <c r="C183" s="4"/>
      <c r="D183" s="4" t="str">
        <f t="shared" si="102"/>
        <v>To_PLC_BatteryLow</v>
      </c>
      <c r="E183" s="4" t="str">
        <f t="shared" si="103"/>
        <v>ENBT200:1:I.Data[85].11</v>
      </c>
      <c r="F183" s="4" t="str">
        <f t="shared" si="104"/>
        <v>I</v>
      </c>
      <c r="G183" s="4" t="str">
        <f t="shared" si="105"/>
        <v/>
      </c>
      <c r="H183" s="4" t="str">
        <f t="shared" si="106"/>
        <v>Controller: &lt;I0201N51.b108&gt; - BATTERY LOW DO108</v>
      </c>
      <c r="I183" s="4" t="str">
        <f t="shared" si="107"/>
        <v>AB_RACKx_SLOTa</v>
      </c>
      <c r="J183" s="4"/>
      <c r="K183" s="56" t="str">
        <f t="shared" si="108"/>
        <v>BOOL</v>
      </c>
      <c r="L183" s="56" t="str">
        <f t="shared" si="4"/>
        <v>ROBOTS\SxxRyy</v>
      </c>
      <c r="M183" s="56" t="str">
        <f t="shared" si="5"/>
        <v>STELLANTIS\Common\ToolPrototype\Robots</v>
      </c>
      <c r="N183" s="56" t="str">
        <f t="shared" si="6"/>
        <v>STELLANTIS_DN_FANUC_ROBOT_128_BIT_INTEGRATED_SAFETY_SxxRyy.v00</v>
      </c>
      <c r="O183" s="56" t="str">
        <f t="shared" si="109"/>
        <v/>
      </c>
      <c r="P183" s="56" t="str">
        <f t="shared" si="110"/>
        <v/>
      </c>
      <c r="Q183" s="56" t="str">
        <f t="shared" si="111"/>
        <v/>
      </c>
      <c r="R183" s="56" t="str">
        <f t="shared" si="112"/>
        <v/>
      </c>
      <c r="S183" s="56" t="str">
        <f t="shared" si="113"/>
        <v/>
      </c>
      <c r="T183" s="56" t="str">
        <f t="shared" si="114"/>
        <v/>
      </c>
      <c r="U183" s="56" t="str">
        <f t="shared" si="115"/>
        <v/>
      </c>
      <c r="V183" s="56" t="str">
        <f t="shared" si="116"/>
        <v/>
      </c>
      <c r="W183" s="56"/>
      <c r="X183" s="56"/>
      <c r="Y183" s="56"/>
      <c r="Z183" s="56" t="str">
        <f t="shared" si="117"/>
        <v/>
      </c>
      <c r="AA183" s="56" t="str">
        <f t="shared" si="118"/>
        <v/>
      </c>
      <c r="AB183" s="56" t="str">
        <f t="shared" si="9"/>
        <v>ToolPrototype</v>
      </c>
      <c r="AC183" s="56" t="str">
        <f t="shared" si="119"/>
        <v/>
      </c>
      <c r="AD183" s="56" t="str">
        <f t="shared" si="10"/>
        <v>&lt;device&gt;
&lt;name&gt;SxxRyy&lt;/name&gt;
&lt;type&gt;FCA_DN_FANUC&lt;/type&gt;
&lt;deviceNetwork&gt;201&lt;/deviceNetwork&gt;
&lt;deviceNode&gt;56&lt;/deviceNode&gt;
&lt;/device&gt;</v>
      </c>
      <c r="AE183" s="56" t="str">
        <f t="shared" si="11"/>
        <v/>
      </c>
      <c r="AF183" s="56" t="str">
        <f t="shared" si="12"/>
        <v/>
      </c>
      <c r="AG183" s="56" t="str">
        <f t="shared" si="13"/>
        <v/>
      </c>
      <c r="AH183" s="56" t="str">
        <f t="shared" si="14"/>
        <v/>
      </c>
      <c r="AI183" s="56" t="str">
        <f t="shared" si="15"/>
        <v/>
      </c>
      <c r="AJ183" s="56" t="str">
        <f t="shared" si="16"/>
        <v/>
      </c>
      <c r="AK183" s="56" t="str">
        <f t="shared" si="17"/>
        <v/>
      </c>
      <c r="AL183" s="56" t="str">
        <f t="shared" si="18"/>
        <v/>
      </c>
      <c r="AM183" s="56" t="str">
        <f t="shared" si="19"/>
        <v/>
      </c>
      <c r="AN183" s="56" t="str">
        <f t="shared" si="120"/>
        <v/>
      </c>
      <c r="AO183" s="56" t="str">
        <f t="shared" si="121"/>
        <v/>
      </c>
      <c r="AP183" s="56" t="str">
        <f t="shared" si="122"/>
        <v>PLC</v>
      </c>
      <c r="AQ183" s="56" t="str">
        <f t="shared" si="123"/>
        <v>EXIT</v>
      </c>
      <c r="AR183" s="39" t="s">
        <v>130</v>
      </c>
      <c r="AT183" s="44" t="str">
        <f t="shared" si="124"/>
        <v>BOOL</v>
      </c>
      <c r="AU183" s="23">
        <f t="shared" si="125"/>
        <v>0</v>
      </c>
      <c r="AV183" s="23" t="str">
        <f t="shared" si="126"/>
        <v>I</v>
      </c>
      <c r="AW183" s="23" t="str">
        <f t="shared" si="127"/>
        <v xml:space="preserve">I.: </v>
      </c>
      <c r="AX183" s="23" t="str">
        <f t="shared" si="128"/>
        <v>ENBT200:1:I.Data[85].11</v>
      </c>
      <c r="AY183" s="36" t="str">
        <f t="shared" si="129"/>
        <v xml:space="preserve">Controller: &lt;I0201N51.b108&gt; - </v>
      </c>
      <c r="BB183" s="42" t="s">
        <v>17</v>
      </c>
      <c r="BC183" t="s">
        <v>16</v>
      </c>
      <c r="BD183" t="str">
        <f t="shared" si="131"/>
        <v>AB_RACKx_SLOTa</v>
      </c>
      <c r="BV183" s="30" t="s">
        <v>676</v>
      </c>
      <c r="BW183" t="str">
        <f t="shared" si="100"/>
        <v>DO[108]</v>
      </c>
      <c r="BY183" s="42"/>
      <c r="CB183" s="42"/>
      <c r="CE183" s="30"/>
      <c r="CH183" s="42"/>
      <c r="CJ183" t="str">
        <f>Prep!$U$3&amp;":I.Data["&amp;Prep!$U$7+3&amp;"]."</f>
        <v>ENBT200:1:I.Data[85].</v>
      </c>
      <c r="CK183">
        <v>11</v>
      </c>
      <c r="CM183" t="s">
        <v>75</v>
      </c>
      <c r="CN183" s="30" t="str">
        <f>"I0"&amp;Header_Config03&amp;"N"&amp;TEXT(Prep!$U$6,"00")&amp;"."</f>
        <v>I0201N51.</v>
      </c>
      <c r="CO183" t="s">
        <v>677</v>
      </c>
      <c r="CP183" t="s">
        <v>12</v>
      </c>
      <c r="CQ183" s="40"/>
      <c r="CR183" s="30" t="s">
        <v>678</v>
      </c>
    </row>
    <row r="184" spans="2:96" x14ac:dyDescent="0.35">
      <c r="B184" s="4" t="str">
        <f t="shared" si="101"/>
        <v>FANUC_SxxRyy</v>
      </c>
      <c r="C184" s="4"/>
      <c r="D184" s="4" t="str">
        <f t="shared" si="102"/>
        <v>To_PLC_ReposTooling1</v>
      </c>
      <c r="E184" s="4" t="str">
        <f t="shared" si="103"/>
        <v>ENBT200:1:I.Data[85].12</v>
      </c>
      <c r="F184" s="4" t="str">
        <f t="shared" si="104"/>
        <v>I</v>
      </c>
      <c r="G184" s="4" t="str">
        <f t="shared" si="105"/>
        <v/>
      </c>
      <c r="H184" s="4" t="str">
        <f t="shared" si="106"/>
        <v>Controller: &lt;I0201N51.b109&gt; - REPOSITION TOOLING 1 DO109</v>
      </c>
      <c r="I184" s="4" t="str">
        <f t="shared" si="107"/>
        <v>AB_RACKx_SLOTa</v>
      </c>
      <c r="J184" s="4"/>
      <c r="K184" s="56" t="str">
        <f t="shared" si="108"/>
        <v>BOOL</v>
      </c>
      <c r="L184" s="56" t="str">
        <f t="shared" si="4"/>
        <v>ROBOTS\SxxRyy</v>
      </c>
      <c r="M184" s="56" t="str">
        <f t="shared" si="5"/>
        <v>STELLANTIS\Common\ToolPrototype\Robots</v>
      </c>
      <c r="N184" s="56" t="str">
        <f t="shared" si="6"/>
        <v>STELLANTIS_DN_FANUC_ROBOT_128_BIT_INTEGRATED_SAFETY_SxxRyy.v00</v>
      </c>
      <c r="O184" s="56" t="str">
        <f t="shared" si="109"/>
        <v/>
      </c>
      <c r="P184" s="56" t="str">
        <f t="shared" si="110"/>
        <v/>
      </c>
      <c r="Q184" s="56" t="str">
        <f t="shared" si="111"/>
        <v/>
      </c>
      <c r="R184" s="56" t="str">
        <f t="shared" si="112"/>
        <v/>
      </c>
      <c r="S184" s="56" t="str">
        <f t="shared" si="113"/>
        <v/>
      </c>
      <c r="T184" s="56" t="str">
        <f t="shared" si="114"/>
        <v/>
      </c>
      <c r="U184" s="56" t="str">
        <f t="shared" si="115"/>
        <v/>
      </c>
      <c r="V184" s="56" t="str">
        <f t="shared" si="116"/>
        <v/>
      </c>
      <c r="W184" s="56"/>
      <c r="X184" s="56"/>
      <c r="Y184" s="56"/>
      <c r="Z184" s="56" t="str">
        <f t="shared" si="117"/>
        <v/>
      </c>
      <c r="AA184" s="56" t="str">
        <f t="shared" si="118"/>
        <v/>
      </c>
      <c r="AB184" s="56" t="str">
        <f t="shared" si="9"/>
        <v>ToolPrototype</v>
      </c>
      <c r="AC184" s="56" t="str">
        <f t="shared" si="119"/>
        <v/>
      </c>
      <c r="AD184" s="56" t="str">
        <f t="shared" si="10"/>
        <v>&lt;device&gt;
&lt;name&gt;SxxRyy&lt;/name&gt;
&lt;type&gt;FCA_DN_FANUC&lt;/type&gt;
&lt;deviceNetwork&gt;201&lt;/deviceNetwork&gt;
&lt;deviceNode&gt;56&lt;/deviceNode&gt;
&lt;/device&gt;</v>
      </c>
      <c r="AE184" s="56" t="str">
        <f t="shared" si="11"/>
        <v/>
      </c>
      <c r="AF184" s="56" t="str">
        <f t="shared" si="12"/>
        <v/>
      </c>
      <c r="AG184" s="56" t="str">
        <f t="shared" si="13"/>
        <v/>
      </c>
      <c r="AH184" s="56" t="str">
        <f t="shared" si="14"/>
        <v/>
      </c>
      <c r="AI184" s="56" t="str">
        <f t="shared" si="15"/>
        <v/>
      </c>
      <c r="AJ184" s="56" t="str">
        <f t="shared" si="16"/>
        <v/>
      </c>
      <c r="AK184" s="56" t="str">
        <f t="shared" si="17"/>
        <v/>
      </c>
      <c r="AL184" s="56" t="str">
        <f t="shared" si="18"/>
        <v/>
      </c>
      <c r="AM184" s="56" t="str">
        <f t="shared" si="19"/>
        <v/>
      </c>
      <c r="AN184" s="56" t="str">
        <f t="shared" si="120"/>
        <v/>
      </c>
      <c r="AO184" s="56" t="str">
        <f t="shared" si="121"/>
        <v/>
      </c>
      <c r="AP184" s="56" t="str">
        <f t="shared" si="122"/>
        <v>PLC</v>
      </c>
      <c r="AQ184" s="56" t="str">
        <f t="shared" si="123"/>
        <v>EXIT</v>
      </c>
      <c r="AR184" s="39" t="s">
        <v>130</v>
      </c>
      <c r="AT184" s="44" t="str">
        <f t="shared" si="124"/>
        <v>BOOL</v>
      </c>
      <c r="AU184" s="23">
        <f t="shared" si="125"/>
        <v>0</v>
      </c>
      <c r="AV184" s="23" t="str">
        <f t="shared" si="126"/>
        <v>I</v>
      </c>
      <c r="AW184" s="23" t="str">
        <f t="shared" si="127"/>
        <v xml:space="preserve">I.: </v>
      </c>
      <c r="AX184" s="23" t="str">
        <f t="shared" si="128"/>
        <v>ENBT200:1:I.Data[85].12</v>
      </c>
      <c r="AY184" s="36" t="str">
        <f t="shared" si="129"/>
        <v xml:space="preserve">Controller: &lt;I0201N51.b109&gt; - </v>
      </c>
      <c r="BB184" s="42" t="s">
        <v>17</v>
      </c>
      <c r="BC184" t="s">
        <v>16</v>
      </c>
      <c r="BD184" t="str">
        <f t="shared" si="131"/>
        <v>AB_RACKx_SLOTa</v>
      </c>
      <c r="BV184" s="30" t="s">
        <v>679</v>
      </c>
      <c r="BW184" t="str">
        <f t="shared" si="100"/>
        <v>DO[109]</v>
      </c>
      <c r="BX184" t="s">
        <v>387</v>
      </c>
      <c r="BY184" s="42"/>
      <c r="CB184" s="42"/>
      <c r="CE184" s="30"/>
      <c r="CH184" s="42"/>
      <c r="CJ184" t="str">
        <f>Prep!$U$3&amp;":I.Data["&amp;Prep!$U$7+3&amp;"]."</f>
        <v>ENBT200:1:I.Data[85].</v>
      </c>
      <c r="CK184">
        <v>12</v>
      </c>
      <c r="CM184" t="s">
        <v>75</v>
      </c>
      <c r="CN184" s="30" t="str">
        <f>"I0"&amp;Header_Config03&amp;"N"&amp;TEXT(Prep!$U$6,"00")&amp;"."</f>
        <v>I0201N51.</v>
      </c>
      <c r="CO184" t="s">
        <v>680</v>
      </c>
      <c r="CP184" t="s">
        <v>12</v>
      </c>
      <c r="CQ184" s="40"/>
      <c r="CR184" s="30" t="s">
        <v>681</v>
      </c>
    </row>
    <row r="185" spans="2:96" x14ac:dyDescent="0.35">
      <c r="B185" s="4" t="str">
        <f t="shared" si="101"/>
        <v>FANUC_SxxRyy</v>
      </c>
      <c r="C185" s="4"/>
      <c r="D185" s="4" t="str">
        <f t="shared" si="102"/>
        <v>To_PLC_ReposTooling2</v>
      </c>
      <c r="E185" s="4" t="str">
        <f t="shared" si="103"/>
        <v>ENBT200:1:I.Data[85].13</v>
      </c>
      <c r="F185" s="4" t="str">
        <f t="shared" si="104"/>
        <v>I</v>
      </c>
      <c r="G185" s="4" t="str">
        <f t="shared" si="105"/>
        <v/>
      </c>
      <c r="H185" s="4" t="str">
        <f t="shared" si="106"/>
        <v>Controller: &lt;I0201N51.b110&gt; - REPOSITION TOOLING 2 DO110</v>
      </c>
      <c r="I185" s="4" t="str">
        <f t="shared" si="107"/>
        <v>AB_RACKx_SLOTa</v>
      </c>
      <c r="J185" s="4"/>
      <c r="K185" s="56" t="str">
        <f t="shared" si="108"/>
        <v>BOOL</v>
      </c>
      <c r="L185" s="56" t="str">
        <f t="shared" si="4"/>
        <v>ROBOTS\SxxRyy</v>
      </c>
      <c r="M185" s="56" t="str">
        <f t="shared" si="5"/>
        <v>STELLANTIS\Common\ToolPrototype\Robots</v>
      </c>
      <c r="N185" s="56" t="str">
        <f t="shared" si="6"/>
        <v>STELLANTIS_DN_FANUC_ROBOT_128_BIT_INTEGRATED_SAFETY_SxxRyy.v00</v>
      </c>
      <c r="O185" s="56" t="str">
        <f t="shared" si="109"/>
        <v/>
      </c>
      <c r="P185" s="56" t="str">
        <f t="shared" si="110"/>
        <v/>
      </c>
      <c r="Q185" s="56" t="str">
        <f t="shared" si="111"/>
        <v/>
      </c>
      <c r="R185" s="56" t="str">
        <f t="shared" si="112"/>
        <v/>
      </c>
      <c r="S185" s="56" t="str">
        <f t="shared" si="113"/>
        <v/>
      </c>
      <c r="T185" s="56" t="str">
        <f t="shared" si="114"/>
        <v/>
      </c>
      <c r="U185" s="56" t="str">
        <f t="shared" si="115"/>
        <v/>
      </c>
      <c r="V185" s="56" t="str">
        <f t="shared" si="116"/>
        <v/>
      </c>
      <c r="W185" s="56"/>
      <c r="X185" s="56"/>
      <c r="Y185" s="56"/>
      <c r="Z185" s="56" t="str">
        <f t="shared" si="117"/>
        <v/>
      </c>
      <c r="AA185" s="56" t="str">
        <f t="shared" si="118"/>
        <v/>
      </c>
      <c r="AB185" s="56" t="str">
        <f t="shared" si="9"/>
        <v>ToolPrototype</v>
      </c>
      <c r="AC185" s="56" t="str">
        <f t="shared" si="119"/>
        <v/>
      </c>
      <c r="AD185" s="56" t="str">
        <f t="shared" si="10"/>
        <v>&lt;device&gt;
&lt;name&gt;SxxRyy&lt;/name&gt;
&lt;type&gt;FCA_DN_FANUC&lt;/type&gt;
&lt;deviceNetwork&gt;201&lt;/deviceNetwork&gt;
&lt;deviceNode&gt;56&lt;/deviceNode&gt;
&lt;/device&gt;</v>
      </c>
      <c r="AE185" s="56" t="str">
        <f t="shared" si="11"/>
        <v/>
      </c>
      <c r="AF185" s="56" t="str">
        <f t="shared" si="12"/>
        <v/>
      </c>
      <c r="AG185" s="56" t="str">
        <f t="shared" si="13"/>
        <v/>
      </c>
      <c r="AH185" s="56" t="str">
        <f t="shared" si="14"/>
        <v/>
      </c>
      <c r="AI185" s="56" t="str">
        <f t="shared" si="15"/>
        <v/>
      </c>
      <c r="AJ185" s="56" t="str">
        <f t="shared" si="16"/>
        <v/>
      </c>
      <c r="AK185" s="56" t="str">
        <f t="shared" si="17"/>
        <v/>
      </c>
      <c r="AL185" s="56" t="str">
        <f t="shared" si="18"/>
        <v/>
      </c>
      <c r="AM185" s="56" t="str">
        <f t="shared" si="19"/>
        <v/>
      </c>
      <c r="AN185" s="56" t="str">
        <f t="shared" si="120"/>
        <v/>
      </c>
      <c r="AO185" s="56" t="str">
        <f t="shared" si="121"/>
        <v/>
      </c>
      <c r="AP185" s="56" t="str">
        <f t="shared" si="122"/>
        <v>PLC</v>
      </c>
      <c r="AQ185" s="56" t="str">
        <f t="shared" si="123"/>
        <v>EXIT</v>
      </c>
      <c r="AR185" s="39" t="s">
        <v>130</v>
      </c>
      <c r="AT185" s="44" t="str">
        <f t="shared" si="124"/>
        <v>BOOL</v>
      </c>
      <c r="AU185" s="23">
        <f t="shared" si="125"/>
        <v>0</v>
      </c>
      <c r="AV185" s="23" t="str">
        <f t="shared" si="126"/>
        <v>I</v>
      </c>
      <c r="AW185" s="23" t="str">
        <f t="shared" si="127"/>
        <v xml:space="preserve">I.: </v>
      </c>
      <c r="AX185" s="23" t="str">
        <f t="shared" si="128"/>
        <v>ENBT200:1:I.Data[85].13</v>
      </c>
      <c r="AY185" s="36" t="str">
        <f t="shared" si="129"/>
        <v xml:space="preserve">Controller: &lt;I0201N51.b110&gt; - </v>
      </c>
      <c r="BB185" s="42" t="s">
        <v>17</v>
      </c>
      <c r="BC185" t="s">
        <v>16</v>
      </c>
      <c r="BD185" t="str">
        <f t="shared" si="131"/>
        <v>AB_RACKx_SLOTa</v>
      </c>
      <c r="BV185" s="30" t="s">
        <v>682</v>
      </c>
      <c r="BW185" t="str">
        <f t="shared" si="100"/>
        <v>DO[110]</v>
      </c>
      <c r="BX185" t="s">
        <v>387</v>
      </c>
      <c r="BY185" s="42"/>
      <c r="CB185" s="42"/>
      <c r="CE185" s="30"/>
      <c r="CH185" s="42"/>
      <c r="CJ185" t="str">
        <f>Prep!$U$3&amp;":I.Data["&amp;Prep!$U$7+3&amp;"]."</f>
        <v>ENBT200:1:I.Data[85].</v>
      </c>
      <c r="CK185">
        <v>13</v>
      </c>
      <c r="CM185" t="s">
        <v>75</v>
      </c>
      <c r="CN185" s="30" t="str">
        <f>"I0"&amp;Header_Config03&amp;"N"&amp;TEXT(Prep!$U$6,"00")&amp;"."</f>
        <v>I0201N51.</v>
      </c>
      <c r="CO185" t="s">
        <v>683</v>
      </c>
      <c r="CP185" t="s">
        <v>12</v>
      </c>
      <c r="CQ185" s="40"/>
      <c r="CR185" s="30" t="s">
        <v>684</v>
      </c>
    </row>
    <row r="186" spans="2:96" x14ac:dyDescent="0.35">
      <c r="B186" s="4" t="str">
        <f t="shared" si="101"/>
        <v>FANUC_SxxRyy</v>
      </c>
      <c r="C186" s="4"/>
      <c r="D186" s="4" t="str">
        <f t="shared" si="102"/>
        <v>To_PLC_ReposTooling3</v>
      </c>
      <c r="E186" s="4" t="str">
        <f t="shared" si="103"/>
        <v>ENBT200:1:I.Data[85].14</v>
      </c>
      <c r="F186" s="4" t="str">
        <f t="shared" si="104"/>
        <v>I</v>
      </c>
      <c r="G186" s="4" t="str">
        <f t="shared" si="105"/>
        <v/>
      </c>
      <c r="H186" s="4" t="str">
        <f t="shared" si="106"/>
        <v>Controller: &lt;I0201N51.b111&gt; - REPOSITION TOOLING 4 DO111</v>
      </c>
      <c r="I186" s="4" t="str">
        <f t="shared" si="107"/>
        <v>AB_RACKx_SLOTa</v>
      </c>
      <c r="J186" s="4"/>
      <c r="K186" s="56" t="str">
        <f t="shared" si="108"/>
        <v>BOOL</v>
      </c>
      <c r="L186" s="56" t="str">
        <f t="shared" si="4"/>
        <v>ROBOTS\SxxRyy</v>
      </c>
      <c r="M186" s="56" t="str">
        <f t="shared" si="5"/>
        <v>STELLANTIS\Common\ToolPrototype\Robots</v>
      </c>
      <c r="N186" s="56" t="str">
        <f t="shared" si="6"/>
        <v>STELLANTIS_DN_FANUC_ROBOT_128_BIT_INTEGRATED_SAFETY_SxxRyy.v00</v>
      </c>
      <c r="O186" s="56" t="str">
        <f t="shared" si="109"/>
        <v/>
      </c>
      <c r="P186" s="56" t="str">
        <f t="shared" si="110"/>
        <v/>
      </c>
      <c r="Q186" s="56" t="str">
        <f t="shared" si="111"/>
        <v/>
      </c>
      <c r="R186" s="56" t="str">
        <f t="shared" si="112"/>
        <v/>
      </c>
      <c r="S186" s="56" t="str">
        <f t="shared" si="113"/>
        <v/>
      </c>
      <c r="T186" s="56" t="str">
        <f t="shared" si="114"/>
        <v/>
      </c>
      <c r="U186" s="56" t="str">
        <f t="shared" si="115"/>
        <v/>
      </c>
      <c r="V186" s="56" t="str">
        <f t="shared" si="116"/>
        <v/>
      </c>
      <c r="W186" s="56"/>
      <c r="X186" s="56"/>
      <c r="Y186" s="56"/>
      <c r="Z186" s="56" t="str">
        <f t="shared" si="117"/>
        <v/>
      </c>
      <c r="AA186" s="56" t="str">
        <f t="shared" si="118"/>
        <v/>
      </c>
      <c r="AB186" s="56" t="str">
        <f t="shared" si="9"/>
        <v>ToolPrototype</v>
      </c>
      <c r="AC186" s="56" t="str">
        <f t="shared" si="119"/>
        <v/>
      </c>
      <c r="AD186" s="56" t="str">
        <f t="shared" si="10"/>
        <v>&lt;device&gt;
&lt;name&gt;SxxRyy&lt;/name&gt;
&lt;type&gt;FCA_DN_FANUC&lt;/type&gt;
&lt;deviceNetwork&gt;201&lt;/deviceNetwork&gt;
&lt;deviceNode&gt;56&lt;/deviceNode&gt;
&lt;/device&gt;</v>
      </c>
      <c r="AE186" s="56" t="str">
        <f t="shared" si="11"/>
        <v/>
      </c>
      <c r="AF186" s="56" t="str">
        <f t="shared" si="12"/>
        <v/>
      </c>
      <c r="AG186" s="56" t="str">
        <f t="shared" si="13"/>
        <v/>
      </c>
      <c r="AH186" s="56" t="str">
        <f t="shared" si="14"/>
        <v/>
      </c>
      <c r="AI186" s="56" t="str">
        <f t="shared" si="15"/>
        <v/>
      </c>
      <c r="AJ186" s="56" t="str">
        <f t="shared" si="16"/>
        <v/>
      </c>
      <c r="AK186" s="56" t="str">
        <f t="shared" si="17"/>
        <v/>
      </c>
      <c r="AL186" s="56" t="str">
        <f t="shared" si="18"/>
        <v/>
      </c>
      <c r="AM186" s="56" t="str">
        <f t="shared" si="19"/>
        <v/>
      </c>
      <c r="AN186" s="56" t="str">
        <f t="shared" si="120"/>
        <v/>
      </c>
      <c r="AO186" s="56" t="str">
        <f t="shared" si="121"/>
        <v/>
      </c>
      <c r="AP186" s="56" t="str">
        <f t="shared" si="122"/>
        <v>PLC</v>
      </c>
      <c r="AQ186" s="56" t="str">
        <f t="shared" si="123"/>
        <v>EXIT</v>
      </c>
      <c r="AR186" s="39" t="s">
        <v>130</v>
      </c>
      <c r="AT186" s="44" t="str">
        <f t="shared" si="124"/>
        <v>BOOL</v>
      </c>
      <c r="AU186" s="23">
        <f t="shared" si="125"/>
        <v>0</v>
      </c>
      <c r="AV186" s="23" t="str">
        <f t="shared" si="126"/>
        <v>I</v>
      </c>
      <c r="AW186" s="23" t="str">
        <f t="shared" si="127"/>
        <v xml:space="preserve">I.: </v>
      </c>
      <c r="AX186" s="23" t="str">
        <f t="shared" si="128"/>
        <v>ENBT200:1:I.Data[85].14</v>
      </c>
      <c r="AY186" s="36" t="str">
        <f t="shared" si="129"/>
        <v xml:space="preserve">Controller: &lt;I0201N51.b111&gt; - </v>
      </c>
      <c r="BB186" s="42" t="s">
        <v>17</v>
      </c>
      <c r="BC186" t="s">
        <v>16</v>
      </c>
      <c r="BD186" t="str">
        <f t="shared" si="131"/>
        <v>AB_RACKx_SLOTa</v>
      </c>
      <c r="BV186" s="30" t="s">
        <v>685</v>
      </c>
      <c r="BW186" t="str">
        <f t="shared" si="100"/>
        <v>DO[111]</v>
      </c>
      <c r="BX186" t="s">
        <v>387</v>
      </c>
      <c r="BY186" s="42"/>
      <c r="CB186" s="42"/>
      <c r="CE186" s="30"/>
      <c r="CH186" s="42"/>
      <c r="CJ186" t="str">
        <f>Prep!$U$3&amp;":I.Data["&amp;Prep!$U$7+3&amp;"]."</f>
        <v>ENBT200:1:I.Data[85].</v>
      </c>
      <c r="CK186">
        <v>14</v>
      </c>
      <c r="CM186" t="s">
        <v>75</v>
      </c>
      <c r="CN186" s="30" t="str">
        <f>"I0"&amp;Header_Config03&amp;"N"&amp;TEXT(Prep!$U$6,"00")&amp;"."</f>
        <v>I0201N51.</v>
      </c>
      <c r="CO186" t="s">
        <v>686</v>
      </c>
      <c r="CP186" t="s">
        <v>12</v>
      </c>
      <c r="CQ186" s="40"/>
      <c r="CR186" s="30" t="s">
        <v>687</v>
      </c>
    </row>
    <row r="187" spans="2:96" x14ac:dyDescent="0.35">
      <c r="B187" s="4" t="str">
        <f t="shared" si="101"/>
        <v>FANUC_SxxRyy</v>
      </c>
      <c r="C187" s="4"/>
      <c r="D187" s="4" t="str">
        <f t="shared" si="102"/>
        <v>To_PLC_TeachPendantEnbd</v>
      </c>
      <c r="E187" s="4" t="str">
        <f t="shared" si="103"/>
        <v>ENBT200:1:I.Data[85].16</v>
      </c>
      <c r="F187" s="4" t="str">
        <f t="shared" si="104"/>
        <v>I</v>
      </c>
      <c r="G187" s="4" t="str">
        <f t="shared" si="105"/>
        <v/>
      </c>
      <c r="H187" s="4" t="str">
        <f t="shared" si="106"/>
        <v>Controller: &lt;I0201N51.b113&gt; - TEACH PENDANT ENABLED DO113</v>
      </c>
      <c r="I187" s="4" t="str">
        <f t="shared" si="107"/>
        <v>AB_RACKx_SLOTa</v>
      </c>
      <c r="J187" s="4"/>
      <c r="K187" s="56" t="str">
        <f t="shared" si="108"/>
        <v>BOOL</v>
      </c>
      <c r="L187" s="56" t="str">
        <f t="shared" si="4"/>
        <v>ROBOTS\SxxRyy</v>
      </c>
      <c r="M187" s="56" t="str">
        <f t="shared" si="5"/>
        <v>STELLANTIS\Common\ToolPrototype\Robots</v>
      </c>
      <c r="N187" s="56" t="str">
        <f t="shared" si="6"/>
        <v>STELLANTIS_DN_FANUC_ROBOT_128_BIT_INTEGRATED_SAFETY_SxxRyy.v00</v>
      </c>
      <c r="O187" s="56" t="str">
        <f t="shared" si="109"/>
        <v/>
      </c>
      <c r="P187" s="56" t="str">
        <f t="shared" si="110"/>
        <v/>
      </c>
      <c r="Q187" s="56" t="str">
        <f t="shared" si="111"/>
        <v/>
      </c>
      <c r="R187" s="56" t="str">
        <f t="shared" si="112"/>
        <v/>
      </c>
      <c r="S187" s="56" t="str">
        <f t="shared" si="113"/>
        <v/>
      </c>
      <c r="T187" s="56" t="str">
        <f t="shared" si="114"/>
        <v/>
      </c>
      <c r="U187" s="56" t="str">
        <f t="shared" si="115"/>
        <v/>
      </c>
      <c r="V187" s="56" t="str">
        <f t="shared" si="116"/>
        <v/>
      </c>
      <c r="W187" s="56"/>
      <c r="X187" s="56"/>
      <c r="Y187" s="56"/>
      <c r="Z187" s="56" t="str">
        <f t="shared" si="117"/>
        <v/>
      </c>
      <c r="AA187" s="56" t="str">
        <f t="shared" si="118"/>
        <v/>
      </c>
      <c r="AB187" s="56" t="str">
        <f t="shared" si="9"/>
        <v>ToolPrototype</v>
      </c>
      <c r="AC187" s="56" t="str">
        <f t="shared" si="119"/>
        <v/>
      </c>
      <c r="AD187" s="56" t="str">
        <f t="shared" si="10"/>
        <v>&lt;device&gt;
&lt;name&gt;SxxRyy&lt;/name&gt;
&lt;type&gt;FCA_DN_FANUC&lt;/type&gt;
&lt;deviceNetwork&gt;201&lt;/deviceNetwork&gt;
&lt;deviceNode&gt;56&lt;/deviceNode&gt;
&lt;/device&gt;</v>
      </c>
      <c r="AE187" s="56" t="str">
        <f t="shared" si="11"/>
        <v/>
      </c>
      <c r="AF187" s="56" t="str">
        <f t="shared" si="12"/>
        <v/>
      </c>
      <c r="AG187" s="56" t="str">
        <f t="shared" si="13"/>
        <v/>
      </c>
      <c r="AH187" s="56" t="str">
        <f t="shared" si="14"/>
        <v/>
      </c>
      <c r="AI187" s="56" t="str">
        <f t="shared" si="15"/>
        <v/>
      </c>
      <c r="AJ187" s="56" t="str">
        <f t="shared" si="16"/>
        <v/>
      </c>
      <c r="AK187" s="56" t="str">
        <f t="shared" si="17"/>
        <v/>
      </c>
      <c r="AL187" s="56" t="str">
        <f t="shared" si="18"/>
        <v/>
      </c>
      <c r="AM187" s="56" t="str">
        <f t="shared" si="19"/>
        <v/>
      </c>
      <c r="AN187" s="56" t="str">
        <f t="shared" si="120"/>
        <v/>
      </c>
      <c r="AO187" s="56" t="str">
        <f t="shared" si="121"/>
        <v/>
      </c>
      <c r="AP187" s="56" t="str">
        <f t="shared" si="122"/>
        <v>PLC</v>
      </c>
      <c r="AQ187" s="56" t="str">
        <f t="shared" si="123"/>
        <v>EXIT</v>
      </c>
      <c r="AR187" s="39" t="s">
        <v>130</v>
      </c>
      <c r="AT187" s="44" t="str">
        <f t="shared" si="124"/>
        <v>BOOL</v>
      </c>
      <c r="AU187" s="23">
        <f t="shared" si="125"/>
        <v>0</v>
      </c>
      <c r="AV187" s="23" t="str">
        <f t="shared" si="126"/>
        <v>I</v>
      </c>
      <c r="AW187" s="23" t="str">
        <f t="shared" si="127"/>
        <v xml:space="preserve">I.: </v>
      </c>
      <c r="AX187" s="23" t="str">
        <f t="shared" si="128"/>
        <v>ENBT200:1:I.Data[85].16</v>
      </c>
      <c r="AY187" s="36" t="str">
        <f t="shared" si="129"/>
        <v xml:space="preserve">Controller: &lt;I0201N51.b113&gt; - </v>
      </c>
      <c r="BB187" s="42" t="s">
        <v>17</v>
      </c>
      <c r="BC187" t="s">
        <v>16</v>
      </c>
      <c r="BD187" t="str">
        <f t="shared" si="131"/>
        <v>AB_RACKx_SLOTa</v>
      </c>
      <c r="BV187" s="30" t="s">
        <v>688</v>
      </c>
      <c r="BW187" t="str">
        <f t="shared" si="100"/>
        <v>DO[113]</v>
      </c>
      <c r="BY187" s="42"/>
      <c r="CB187" s="42"/>
      <c r="CE187" s="30"/>
      <c r="CH187" s="42"/>
      <c r="CJ187" t="str">
        <f>Prep!$U$3&amp;":I.Data["&amp;Prep!$U$7+3&amp;"]."</f>
        <v>ENBT200:1:I.Data[85].</v>
      </c>
      <c r="CK187">
        <v>16</v>
      </c>
      <c r="CM187" t="s">
        <v>75</v>
      </c>
      <c r="CN187" s="30" t="str">
        <f>"I0"&amp;Header_Config03&amp;"N"&amp;TEXT(Prep!$U$6,"00")&amp;"."</f>
        <v>I0201N51.</v>
      </c>
      <c r="CO187" t="s">
        <v>519</v>
      </c>
      <c r="CP187" t="s">
        <v>12</v>
      </c>
      <c r="CQ187" s="40"/>
      <c r="CR187" s="30" t="s">
        <v>689</v>
      </c>
    </row>
    <row r="188" spans="2:96" x14ac:dyDescent="0.35">
      <c r="B188" s="4" t="str">
        <f t="shared" si="101"/>
        <v>&lt;BLANK&gt;</v>
      </c>
      <c r="C188" s="4"/>
      <c r="D188" s="4" t="str">
        <f t="shared" si="102"/>
        <v>To_PLC_StartExtApp1Proc</v>
      </c>
      <c r="E188" s="4" t="str">
        <f t="shared" si="103"/>
        <v>ENBT200:1:I.Data[85].17</v>
      </c>
      <c r="F188" s="4" t="str">
        <f t="shared" si="104"/>
        <v>I</v>
      </c>
      <c r="G188" s="4" t="str">
        <f t="shared" si="105"/>
        <v/>
      </c>
      <c r="H188" s="4" t="str">
        <f t="shared" si="106"/>
        <v>Controller: &lt;I0201N51.b114&gt; - START EXTERNAL APPLICATION 1 PROCESS DO114</v>
      </c>
      <c r="I188" s="4" t="str">
        <f t="shared" si="107"/>
        <v>AB_RACKx_SLOTa</v>
      </c>
      <c r="J188" s="4"/>
      <c r="K188" s="56" t="str">
        <f t="shared" si="108"/>
        <v>BOOL</v>
      </c>
      <c r="L188" s="56" t="str">
        <f t="shared" si="4"/>
        <v>ROBOTS\SxxRyy</v>
      </c>
      <c r="M188" s="56" t="str">
        <f t="shared" si="5"/>
        <v>STELLANTIS\Common\ToolPrototype\Robots</v>
      </c>
      <c r="N188" s="56" t="str">
        <f t="shared" si="6"/>
        <v>STELLANTIS_DN_FANUC_ROBOT_128_BIT_INTEGRATED_SAFETY_SxxRyy.v00</v>
      </c>
      <c r="O188" s="56" t="str">
        <f t="shared" si="109"/>
        <v/>
      </c>
      <c r="P188" s="56" t="str">
        <f t="shared" si="110"/>
        <v/>
      </c>
      <c r="Q188" s="56" t="str">
        <f t="shared" si="111"/>
        <v/>
      </c>
      <c r="R188" s="56" t="str">
        <f t="shared" si="112"/>
        <v/>
      </c>
      <c r="S188" s="56" t="str">
        <f t="shared" si="113"/>
        <v/>
      </c>
      <c r="T188" s="56" t="str">
        <f t="shared" si="114"/>
        <v/>
      </c>
      <c r="U188" s="56" t="str">
        <f t="shared" si="115"/>
        <v/>
      </c>
      <c r="V188" s="56" t="str">
        <f t="shared" si="116"/>
        <v/>
      </c>
      <c r="W188" s="56"/>
      <c r="X188" s="56"/>
      <c r="Y188" s="56"/>
      <c r="Z188" s="56" t="str">
        <f t="shared" si="117"/>
        <v/>
      </c>
      <c r="AA188" s="56" t="str">
        <f t="shared" si="118"/>
        <v/>
      </c>
      <c r="AB188" s="56" t="str">
        <f t="shared" si="9"/>
        <v>ToolPrototype</v>
      </c>
      <c r="AC188" s="56" t="str">
        <f t="shared" si="119"/>
        <v>Optional</v>
      </c>
      <c r="AD188" s="56" t="str">
        <f t="shared" si="10"/>
        <v>&lt;device&gt;
&lt;name&gt;SxxRyy&lt;/name&gt;
&lt;type&gt;FCA_DN_FANUC&lt;/type&gt;
&lt;deviceNetwork&gt;201&lt;/deviceNetwork&gt;
&lt;deviceNode&gt;56&lt;/deviceNode&gt;
&lt;/device&gt;</v>
      </c>
      <c r="AE188" s="56" t="str">
        <f t="shared" si="11"/>
        <v/>
      </c>
      <c r="AF188" s="56" t="str">
        <f t="shared" si="12"/>
        <v/>
      </c>
      <c r="AG188" s="56" t="str">
        <f t="shared" si="13"/>
        <v/>
      </c>
      <c r="AH188" s="56" t="str">
        <f t="shared" si="14"/>
        <v/>
      </c>
      <c r="AI188" s="56" t="str">
        <f t="shared" si="15"/>
        <v/>
      </c>
      <c r="AJ188" s="56" t="str">
        <f t="shared" si="16"/>
        <v/>
      </c>
      <c r="AK188" s="56" t="str">
        <f t="shared" si="17"/>
        <v/>
      </c>
      <c r="AL188" s="56" t="str">
        <f t="shared" si="18"/>
        <v/>
      </c>
      <c r="AM188" s="56" t="str">
        <f t="shared" si="19"/>
        <v/>
      </c>
      <c r="AN188" s="56" t="str">
        <f t="shared" si="120"/>
        <v/>
      </c>
      <c r="AO188" s="56" t="str">
        <f t="shared" si="121"/>
        <v/>
      </c>
      <c r="AP188" s="56" t="str">
        <f t="shared" si="122"/>
        <v>PLC</v>
      </c>
      <c r="AQ188" s="56" t="str">
        <f t="shared" si="123"/>
        <v>EXIT</v>
      </c>
      <c r="AR188" s="39" t="s">
        <v>130</v>
      </c>
      <c r="AT188" s="44" t="str">
        <f t="shared" si="124"/>
        <v>BOOL</v>
      </c>
      <c r="AU188" s="23">
        <f t="shared" si="125"/>
        <v>0</v>
      </c>
      <c r="AV188" s="23" t="str">
        <f t="shared" si="126"/>
        <v>I</v>
      </c>
      <c r="AW188" s="23" t="str">
        <f t="shared" si="127"/>
        <v xml:space="preserve">I.: </v>
      </c>
      <c r="AX188" s="23" t="str">
        <f t="shared" si="128"/>
        <v>ENBT200:1:I.Data[85].17</v>
      </c>
      <c r="AY188" s="36" t="str">
        <f t="shared" si="129"/>
        <v xml:space="preserve">Controller: &lt;I0201N51.b114&gt; - </v>
      </c>
      <c r="BB188" s="42" t="s">
        <v>17</v>
      </c>
      <c r="BC188" t="s">
        <v>16</v>
      </c>
      <c r="BD188" t="str">
        <f t="shared" si="131"/>
        <v>AB_RACKx_SLOTa</v>
      </c>
      <c r="BT188" t="s">
        <v>297</v>
      </c>
      <c r="BV188" s="30" t="s">
        <v>690</v>
      </c>
      <c r="BW188" t="str">
        <f t="shared" si="100"/>
        <v>DO[114]</v>
      </c>
      <c r="BY188" s="42"/>
      <c r="CB188" s="42"/>
      <c r="CE188" s="30"/>
      <c r="CH188" s="42"/>
      <c r="CJ188" t="str">
        <f>Prep!$U$3&amp;":I.Data["&amp;Prep!$U$7+3&amp;"]."</f>
        <v>ENBT200:1:I.Data[85].</v>
      </c>
      <c r="CK188">
        <v>17</v>
      </c>
      <c r="CM188" t="s">
        <v>75</v>
      </c>
      <c r="CN188" s="30" t="str">
        <f>"I0"&amp;Header_Config03&amp;"N"&amp;TEXT(Prep!$U$6,"00")&amp;"."</f>
        <v>I0201N51.</v>
      </c>
      <c r="CO188" t="s">
        <v>522</v>
      </c>
      <c r="CP188" t="s">
        <v>12</v>
      </c>
      <c r="CQ188" s="40"/>
      <c r="CR188" s="30" t="s">
        <v>691</v>
      </c>
    </row>
    <row r="189" spans="2:96" x14ac:dyDescent="0.35">
      <c r="B189" s="4" t="str">
        <f t="shared" si="101"/>
        <v>&lt;BLANK&gt;</v>
      </c>
      <c r="C189" s="4"/>
      <c r="D189" s="4" t="str">
        <f t="shared" si="102"/>
        <v>To_PLC_StartExtApp2Proc</v>
      </c>
      <c r="E189" s="4" t="str">
        <f t="shared" si="103"/>
        <v>ENBT200:1:I.Data[85].18</v>
      </c>
      <c r="F189" s="4" t="str">
        <f t="shared" si="104"/>
        <v>I</v>
      </c>
      <c r="G189" s="4" t="str">
        <f t="shared" si="105"/>
        <v/>
      </c>
      <c r="H189" s="4" t="str">
        <f t="shared" si="106"/>
        <v>Controller: &lt;I0201N51.b115&gt; - START EXTERNAL APPLICATION 2 PROCESS DO115</v>
      </c>
      <c r="I189" s="4" t="str">
        <f t="shared" si="107"/>
        <v>AB_RACKx_SLOTa</v>
      </c>
      <c r="J189" s="4"/>
      <c r="K189" s="56" t="str">
        <f t="shared" si="108"/>
        <v>BOOL</v>
      </c>
      <c r="L189" s="56" t="str">
        <f t="shared" si="4"/>
        <v>ROBOTS\SxxRyy</v>
      </c>
      <c r="M189" s="56" t="str">
        <f t="shared" si="5"/>
        <v>STELLANTIS\Common\ToolPrototype\Robots</v>
      </c>
      <c r="N189" s="56" t="str">
        <f t="shared" si="6"/>
        <v>STELLANTIS_DN_FANUC_ROBOT_128_BIT_INTEGRATED_SAFETY_SxxRyy.v00</v>
      </c>
      <c r="O189" s="56" t="str">
        <f t="shared" si="109"/>
        <v/>
      </c>
      <c r="P189" s="56" t="str">
        <f t="shared" si="110"/>
        <v/>
      </c>
      <c r="Q189" s="56" t="str">
        <f t="shared" si="111"/>
        <v/>
      </c>
      <c r="R189" s="56" t="str">
        <f t="shared" si="112"/>
        <v/>
      </c>
      <c r="S189" s="56" t="str">
        <f t="shared" si="113"/>
        <v/>
      </c>
      <c r="T189" s="56" t="str">
        <f t="shared" si="114"/>
        <v/>
      </c>
      <c r="U189" s="56" t="str">
        <f t="shared" si="115"/>
        <v/>
      </c>
      <c r="V189" s="56" t="str">
        <f t="shared" si="116"/>
        <v/>
      </c>
      <c r="W189" s="56"/>
      <c r="X189" s="56"/>
      <c r="Y189" s="56"/>
      <c r="Z189" s="56" t="str">
        <f t="shared" si="117"/>
        <v/>
      </c>
      <c r="AA189" s="56" t="str">
        <f t="shared" si="118"/>
        <v/>
      </c>
      <c r="AB189" s="56" t="str">
        <f t="shared" si="9"/>
        <v>ToolPrototype</v>
      </c>
      <c r="AC189" s="56" t="str">
        <f t="shared" si="119"/>
        <v>Optional</v>
      </c>
      <c r="AD189" s="56" t="str">
        <f t="shared" si="10"/>
        <v>&lt;device&gt;
&lt;name&gt;SxxRyy&lt;/name&gt;
&lt;type&gt;FCA_DN_FANUC&lt;/type&gt;
&lt;deviceNetwork&gt;201&lt;/deviceNetwork&gt;
&lt;deviceNode&gt;56&lt;/deviceNode&gt;
&lt;/device&gt;</v>
      </c>
      <c r="AE189" s="56" t="str">
        <f t="shared" si="11"/>
        <v/>
      </c>
      <c r="AF189" s="56" t="str">
        <f t="shared" si="12"/>
        <v/>
      </c>
      <c r="AG189" s="56" t="str">
        <f t="shared" si="13"/>
        <v/>
      </c>
      <c r="AH189" s="56" t="str">
        <f t="shared" si="14"/>
        <v/>
      </c>
      <c r="AI189" s="56" t="str">
        <f t="shared" si="15"/>
        <v/>
      </c>
      <c r="AJ189" s="56" t="str">
        <f t="shared" si="16"/>
        <v/>
      </c>
      <c r="AK189" s="56" t="str">
        <f t="shared" si="17"/>
        <v/>
      </c>
      <c r="AL189" s="56" t="str">
        <f t="shared" si="18"/>
        <v/>
      </c>
      <c r="AM189" s="56" t="str">
        <f t="shared" si="19"/>
        <v/>
      </c>
      <c r="AN189" s="56" t="str">
        <f t="shared" si="120"/>
        <v/>
      </c>
      <c r="AO189" s="56" t="str">
        <f t="shared" si="121"/>
        <v/>
      </c>
      <c r="AP189" s="56" t="str">
        <f t="shared" si="122"/>
        <v>PLC</v>
      </c>
      <c r="AQ189" s="56" t="str">
        <f t="shared" si="123"/>
        <v>EXIT</v>
      </c>
      <c r="AR189" s="39" t="s">
        <v>130</v>
      </c>
      <c r="AT189" s="44" t="str">
        <f t="shared" si="124"/>
        <v>BOOL</v>
      </c>
      <c r="AU189" s="23">
        <f t="shared" si="125"/>
        <v>0</v>
      </c>
      <c r="AV189" s="23" t="str">
        <f t="shared" si="126"/>
        <v>I</v>
      </c>
      <c r="AW189" s="23" t="str">
        <f t="shared" si="127"/>
        <v xml:space="preserve">I.: </v>
      </c>
      <c r="AX189" s="23" t="str">
        <f t="shared" si="128"/>
        <v>ENBT200:1:I.Data[85].18</v>
      </c>
      <c r="AY189" s="36" t="str">
        <f t="shared" si="129"/>
        <v xml:space="preserve">Controller: &lt;I0201N51.b115&gt; - </v>
      </c>
      <c r="BB189" s="42" t="s">
        <v>17</v>
      </c>
      <c r="BC189" t="s">
        <v>16</v>
      </c>
      <c r="BD189" t="str">
        <f t="shared" si="131"/>
        <v>AB_RACKx_SLOTa</v>
      </c>
      <c r="BT189" t="s">
        <v>297</v>
      </c>
      <c r="BV189" s="30" t="s">
        <v>692</v>
      </c>
      <c r="BW189" t="str">
        <f t="shared" si="100"/>
        <v>DO[115]</v>
      </c>
      <c r="BY189" s="42"/>
      <c r="CB189" s="42"/>
      <c r="CE189" s="30"/>
      <c r="CH189" s="42"/>
      <c r="CJ189" t="str">
        <f>Prep!$U$3&amp;":I.Data["&amp;Prep!$U$7+3&amp;"]."</f>
        <v>ENBT200:1:I.Data[85].</v>
      </c>
      <c r="CK189">
        <v>18</v>
      </c>
      <c r="CM189" t="s">
        <v>75</v>
      </c>
      <c r="CN189" s="30" t="str">
        <f>"I0"&amp;Header_Config03&amp;"N"&amp;TEXT(Prep!$U$6,"00")&amp;"."</f>
        <v>I0201N51.</v>
      </c>
      <c r="CO189" t="s">
        <v>525</v>
      </c>
      <c r="CP189" t="s">
        <v>12</v>
      </c>
      <c r="CQ189" s="40"/>
      <c r="CR189" s="30" t="s">
        <v>693</v>
      </c>
    </row>
    <row r="190" spans="2:96" x14ac:dyDescent="0.35">
      <c r="B190" s="4" t="str">
        <f t="shared" si="101"/>
        <v>FANUC_SxxRyy</v>
      </c>
      <c r="C190" s="4"/>
      <c r="D190" s="4" t="str">
        <f t="shared" si="102"/>
        <v>To_PLC_ToolIDOnWrist1</v>
      </c>
      <c r="E190" s="4" t="str">
        <f t="shared" si="103"/>
        <v>ENBT200:1:I.Data[85].19</v>
      </c>
      <c r="F190" s="4" t="str">
        <f t="shared" si="104"/>
        <v>I</v>
      </c>
      <c r="G190" s="4" t="str">
        <f t="shared" si="105"/>
        <v/>
      </c>
      <c r="H190" s="4" t="str">
        <f t="shared" si="106"/>
        <v>Controller: &lt;I0201N51.b116&gt; - Tool ID On Wrist 1 DO116</v>
      </c>
      <c r="I190" s="4" t="str">
        <f t="shared" si="107"/>
        <v>AB_RACKx_SLOTa</v>
      </c>
      <c r="J190" s="4"/>
      <c r="K190" s="56" t="str">
        <f t="shared" si="108"/>
        <v>BOOL</v>
      </c>
      <c r="L190" s="56" t="str">
        <f t="shared" si="4"/>
        <v>ROBOTS\SxxRyy</v>
      </c>
      <c r="M190" s="56" t="str">
        <f t="shared" si="5"/>
        <v>STELLANTIS\Common\ToolPrototype\Robots</v>
      </c>
      <c r="N190" s="56" t="str">
        <f t="shared" si="6"/>
        <v>STELLANTIS_DN_FANUC_ROBOT_128_BIT_INTEGRATED_SAFETY_SxxRyy.v00</v>
      </c>
      <c r="O190" s="56" t="str">
        <f t="shared" si="109"/>
        <v/>
      </c>
      <c r="P190" s="56" t="str">
        <f t="shared" si="110"/>
        <v/>
      </c>
      <c r="Q190" s="56" t="str">
        <f t="shared" si="111"/>
        <v/>
      </c>
      <c r="R190" s="56" t="str">
        <f t="shared" si="112"/>
        <v/>
      </c>
      <c r="S190" s="56" t="str">
        <f t="shared" si="113"/>
        <v/>
      </c>
      <c r="T190" s="56" t="str">
        <f t="shared" si="114"/>
        <v/>
      </c>
      <c r="U190" s="56" t="str">
        <f t="shared" si="115"/>
        <v/>
      </c>
      <c r="V190" s="56" t="str">
        <f t="shared" si="116"/>
        <v/>
      </c>
      <c r="W190" s="56"/>
      <c r="X190" s="56"/>
      <c r="Y190" s="56"/>
      <c r="Z190" s="56" t="str">
        <f t="shared" si="117"/>
        <v/>
      </c>
      <c r="AA190" s="56" t="str">
        <f t="shared" si="118"/>
        <v/>
      </c>
      <c r="AB190" s="56" t="str">
        <f t="shared" si="9"/>
        <v>ToolPrototype</v>
      </c>
      <c r="AC190" s="56" t="str">
        <f t="shared" si="119"/>
        <v>Optional</v>
      </c>
      <c r="AD190" s="56" t="str">
        <f t="shared" si="10"/>
        <v>&lt;device&gt;
&lt;name&gt;SxxRyy&lt;/name&gt;
&lt;type&gt;FCA_DN_FANUC&lt;/type&gt;
&lt;deviceNetwork&gt;201&lt;/deviceNetwork&gt;
&lt;deviceNode&gt;56&lt;/deviceNode&gt;
&lt;/device&gt;</v>
      </c>
      <c r="AE190" s="56" t="str">
        <f t="shared" si="11"/>
        <v/>
      </c>
      <c r="AF190" s="56" t="str">
        <f t="shared" si="12"/>
        <v/>
      </c>
      <c r="AG190" s="56" t="str">
        <f t="shared" si="13"/>
        <v/>
      </c>
      <c r="AH190" s="56" t="str">
        <f t="shared" si="14"/>
        <v/>
      </c>
      <c r="AI190" s="56" t="str">
        <f t="shared" si="15"/>
        <v/>
      </c>
      <c r="AJ190" s="56" t="str">
        <f t="shared" si="16"/>
        <v/>
      </c>
      <c r="AK190" s="56" t="str">
        <f t="shared" si="17"/>
        <v/>
      </c>
      <c r="AL190" s="56" t="str">
        <f t="shared" si="18"/>
        <v/>
      </c>
      <c r="AM190" s="56" t="str">
        <f t="shared" si="19"/>
        <v/>
      </c>
      <c r="AN190" s="56" t="str">
        <f t="shared" si="120"/>
        <v/>
      </c>
      <c r="AO190" s="56" t="str">
        <f t="shared" si="121"/>
        <v/>
      </c>
      <c r="AP190" s="56" t="str">
        <f t="shared" si="122"/>
        <v>PLC</v>
      </c>
      <c r="AQ190" s="56" t="str">
        <f t="shared" si="123"/>
        <v>EXIT</v>
      </c>
      <c r="AR190" s="39" t="s">
        <v>130</v>
      </c>
      <c r="AT190" s="44" t="str">
        <f t="shared" si="124"/>
        <v>BOOL</v>
      </c>
      <c r="AU190" s="23">
        <f t="shared" si="125"/>
        <v>0</v>
      </c>
      <c r="AV190" s="23" t="str">
        <f t="shared" si="126"/>
        <v>I</v>
      </c>
      <c r="AW190" s="23" t="str">
        <f t="shared" si="127"/>
        <v xml:space="preserve">I.: </v>
      </c>
      <c r="AX190" s="23" t="str">
        <f t="shared" si="128"/>
        <v>ENBT200:1:I.Data[85].19</v>
      </c>
      <c r="AY190" s="36" t="str">
        <f t="shared" si="129"/>
        <v xml:space="preserve">Controller: &lt;I0201N51.b116&gt; - </v>
      </c>
      <c r="BB190" s="42" t="s">
        <v>17</v>
      </c>
      <c r="BC190" t="s">
        <v>16</v>
      </c>
      <c r="BD190" t="str">
        <f t="shared" si="98"/>
        <v>AB_RACKx_SLOTa</v>
      </c>
      <c r="BT190" t="str">
        <f>Prep!$L$5</f>
        <v/>
      </c>
      <c r="BV190" s="30" t="s">
        <v>694</v>
      </c>
      <c r="BW190" t="str">
        <f t="shared" si="100"/>
        <v>DO[116]</v>
      </c>
      <c r="BX190" t="s">
        <v>388</v>
      </c>
      <c r="BY190" s="42"/>
      <c r="CB190" s="42"/>
      <c r="CE190" s="30"/>
      <c r="CH190" s="42"/>
      <c r="CJ190" t="str">
        <f>Prep!$U$3&amp;":I.Data["&amp;Prep!$U$7+3&amp;"]."</f>
        <v>ENBT200:1:I.Data[85].</v>
      </c>
      <c r="CK190">
        <v>19</v>
      </c>
      <c r="CM190" t="s">
        <v>75</v>
      </c>
      <c r="CN190" s="30" t="str">
        <f>"I0"&amp;Header_Config03&amp;"N"&amp;TEXT(Prep!$U$6,"00")&amp;"."</f>
        <v>I0201N51.</v>
      </c>
      <c r="CO190" t="s">
        <v>528</v>
      </c>
      <c r="CP190" t="s">
        <v>12</v>
      </c>
      <c r="CQ190" s="40"/>
      <c r="CR190" s="30" t="s">
        <v>695</v>
      </c>
    </row>
    <row r="191" spans="2:96" x14ac:dyDescent="0.35">
      <c r="B191" s="4" t="str">
        <f t="shared" si="101"/>
        <v>FANUC_SxxRyy</v>
      </c>
      <c r="C191" s="4"/>
      <c r="D191" s="4" t="str">
        <f t="shared" si="102"/>
        <v>To_PLC_ToolIDOnWrist2</v>
      </c>
      <c r="E191" s="4" t="str">
        <f t="shared" si="103"/>
        <v>ENBT200:1:I.Data[85].20</v>
      </c>
      <c r="F191" s="4" t="str">
        <f t="shared" si="104"/>
        <v>I</v>
      </c>
      <c r="G191" s="4" t="str">
        <f t="shared" si="105"/>
        <v/>
      </c>
      <c r="H191" s="4" t="str">
        <f t="shared" si="106"/>
        <v>Controller: &lt;I0201N51.b117&gt; - Tool ID On Wrist 2 DO117</v>
      </c>
      <c r="I191" s="4" t="str">
        <f t="shared" si="107"/>
        <v>AB_RACKx_SLOTa</v>
      </c>
      <c r="J191" s="4"/>
      <c r="K191" s="56" t="str">
        <f t="shared" si="108"/>
        <v>BOOL</v>
      </c>
      <c r="L191" s="56" t="str">
        <f t="shared" si="4"/>
        <v>ROBOTS\SxxRyy</v>
      </c>
      <c r="M191" s="56" t="str">
        <f t="shared" si="5"/>
        <v>STELLANTIS\Common\ToolPrototype\Robots</v>
      </c>
      <c r="N191" s="56" t="str">
        <f t="shared" si="6"/>
        <v>STELLANTIS_DN_FANUC_ROBOT_128_BIT_INTEGRATED_SAFETY_SxxRyy.v00</v>
      </c>
      <c r="O191" s="56" t="str">
        <f t="shared" si="109"/>
        <v/>
      </c>
      <c r="P191" s="56" t="str">
        <f t="shared" si="110"/>
        <v/>
      </c>
      <c r="Q191" s="56" t="str">
        <f t="shared" si="111"/>
        <v/>
      </c>
      <c r="R191" s="56" t="str">
        <f t="shared" si="112"/>
        <v/>
      </c>
      <c r="S191" s="56" t="str">
        <f t="shared" si="113"/>
        <v/>
      </c>
      <c r="T191" s="56" t="str">
        <f t="shared" si="114"/>
        <v/>
      </c>
      <c r="U191" s="56" t="str">
        <f t="shared" si="115"/>
        <v/>
      </c>
      <c r="V191" s="56" t="str">
        <f t="shared" si="116"/>
        <v/>
      </c>
      <c r="W191" s="56"/>
      <c r="X191" s="56"/>
      <c r="Y191" s="56"/>
      <c r="Z191" s="56" t="str">
        <f t="shared" si="117"/>
        <v/>
      </c>
      <c r="AA191" s="56" t="str">
        <f t="shared" si="118"/>
        <v/>
      </c>
      <c r="AB191" s="56" t="str">
        <f t="shared" si="9"/>
        <v>ToolPrototype</v>
      </c>
      <c r="AC191" s="56" t="str">
        <f t="shared" si="119"/>
        <v>Optional</v>
      </c>
      <c r="AD191" s="56" t="str">
        <f t="shared" si="10"/>
        <v>&lt;device&gt;
&lt;name&gt;SxxRyy&lt;/name&gt;
&lt;type&gt;FCA_DN_FANUC&lt;/type&gt;
&lt;deviceNetwork&gt;201&lt;/deviceNetwork&gt;
&lt;deviceNode&gt;56&lt;/deviceNode&gt;
&lt;/device&gt;</v>
      </c>
      <c r="AE191" s="56" t="str">
        <f t="shared" si="11"/>
        <v/>
      </c>
      <c r="AF191" s="56" t="str">
        <f t="shared" si="12"/>
        <v/>
      </c>
      <c r="AG191" s="56" t="str">
        <f t="shared" si="13"/>
        <v/>
      </c>
      <c r="AH191" s="56" t="str">
        <f t="shared" si="14"/>
        <v/>
      </c>
      <c r="AI191" s="56" t="str">
        <f t="shared" si="15"/>
        <v/>
      </c>
      <c r="AJ191" s="56" t="str">
        <f t="shared" si="16"/>
        <v/>
      </c>
      <c r="AK191" s="56" t="str">
        <f t="shared" si="17"/>
        <v/>
      </c>
      <c r="AL191" s="56" t="str">
        <f t="shared" si="18"/>
        <v/>
      </c>
      <c r="AM191" s="56" t="str">
        <f t="shared" si="19"/>
        <v/>
      </c>
      <c r="AN191" s="56" t="str">
        <f t="shared" si="120"/>
        <v/>
      </c>
      <c r="AO191" s="56" t="str">
        <f t="shared" si="121"/>
        <v/>
      </c>
      <c r="AP191" s="56" t="str">
        <f t="shared" si="122"/>
        <v>PLC</v>
      </c>
      <c r="AQ191" s="56" t="str">
        <f t="shared" si="123"/>
        <v>EXIT</v>
      </c>
      <c r="AR191" s="39" t="s">
        <v>130</v>
      </c>
      <c r="AT191" s="44" t="str">
        <f t="shared" si="124"/>
        <v>BOOL</v>
      </c>
      <c r="AU191" s="23">
        <f t="shared" si="125"/>
        <v>0</v>
      </c>
      <c r="AV191" s="23" t="str">
        <f t="shared" si="126"/>
        <v>I</v>
      </c>
      <c r="AW191" s="23" t="str">
        <f t="shared" si="127"/>
        <v xml:space="preserve">I.: </v>
      </c>
      <c r="AX191" s="23" t="str">
        <f t="shared" si="128"/>
        <v>ENBT200:1:I.Data[85].20</v>
      </c>
      <c r="AY191" s="36" t="str">
        <f t="shared" si="129"/>
        <v xml:space="preserve">Controller: &lt;I0201N51.b117&gt; - </v>
      </c>
      <c r="BB191" s="42" t="s">
        <v>17</v>
      </c>
      <c r="BC191" t="s">
        <v>16</v>
      </c>
      <c r="BD191" t="str">
        <f t="shared" si="98"/>
        <v>AB_RACKx_SLOTa</v>
      </c>
      <c r="BT191" t="str">
        <f>Prep!$L$5</f>
        <v/>
      </c>
      <c r="BV191" s="30" t="s">
        <v>696</v>
      </c>
      <c r="BW191" t="str">
        <f t="shared" si="100"/>
        <v>DO[117]</v>
      </c>
      <c r="BX191" t="s">
        <v>388</v>
      </c>
      <c r="BY191" s="42"/>
      <c r="CB191" s="42"/>
      <c r="CE191" s="30"/>
      <c r="CH191" s="42"/>
      <c r="CJ191" t="str">
        <f>Prep!$U$3&amp;":I.Data["&amp;Prep!$U$7+3&amp;"]."</f>
        <v>ENBT200:1:I.Data[85].</v>
      </c>
      <c r="CK191">
        <v>20</v>
      </c>
      <c r="CM191" t="s">
        <v>75</v>
      </c>
      <c r="CN191" s="30" t="str">
        <f>"I0"&amp;Header_Config03&amp;"N"&amp;TEXT(Prep!$U$6,"00")&amp;"."</f>
        <v>I0201N51.</v>
      </c>
      <c r="CO191" t="s">
        <v>697</v>
      </c>
      <c r="CP191" t="s">
        <v>12</v>
      </c>
      <c r="CQ191" s="40"/>
      <c r="CR191" s="30" t="s">
        <v>698</v>
      </c>
    </row>
    <row r="192" spans="2:96" x14ac:dyDescent="0.35">
      <c r="B192" s="4" t="str">
        <f t="shared" si="101"/>
        <v>FANUC_SxxRyy</v>
      </c>
      <c r="C192" s="4"/>
      <c r="D192" s="4" t="str">
        <f t="shared" si="102"/>
        <v>To_PLC_ToolIDOnWrist4</v>
      </c>
      <c r="E192" s="4" t="str">
        <f t="shared" si="103"/>
        <v>ENBT200:1:I.Data[85].21</v>
      </c>
      <c r="F192" s="4" t="str">
        <f t="shared" si="104"/>
        <v>I</v>
      </c>
      <c r="G192" s="4" t="str">
        <f t="shared" si="105"/>
        <v/>
      </c>
      <c r="H192" s="4" t="str">
        <f t="shared" si="106"/>
        <v>Controller: &lt;I0201N51.b118&gt; - Tool ID On Wrist 4 DO118</v>
      </c>
      <c r="I192" s="4" t="str">
        <f t="shared" si="107"/>
        <v>AB_RACKx_SLOTa</v>
      </c>
      <c r="J192" s="4"/>
      <c r="K192" s="56" t="str">
        <f t="shared" si="108"/>
        <v>BOOL</v>
      </c>
      <c r="L192" s="56" t="str">
        <f t="shared" si="4"/>
        <v>ROBOTS\SxxRyy</v>
      </c>
      <c r="M192" s="56" t="str">
        <f t="shared" si="5"/>
        <v>STELLANTIS\Common\ToolPrototype\Robots</v>
      </c>
      <c r="N192" s="56" t="str">
        <f t="shared" si="6"/>
        <v>STELLANTIS_DN_FANUC_ROBOT_128_BIT_INTEGRATED_SAFETY_SxxRyy.v00</v>
      </c>
      <c r="O192" s="56" t="str">
        <f t="shared" si="109"/>
        <v/>
      </c>
      <c r="P192" s="56" t="str">
        <f t="shared" si="110"/>
        <v/>
      </c>
      <c r="Q192" s="56" t="str">
        <f t="shared" si="111"/>
        <v/>
      </c>
      <c r="R192" s="56" t="str">
        <f t="shared" si="112"/>
        <v/>
      </c>
      <c r="S192" s="56" t="str">
        <f t="shared" si="113"/>
        <v/>
      </c>
      <c r="T192" s="56" t="str">
        <f t="shared" si="114"/>
        <v/>
      </c>
      <c r="U192" s="56" t="str">
        <f t="shared" si="115"/>
        <v/>
      </c>
      <c r="V192" s="56" t="str">
        <f t="shared" si="116"/>
        <v/>
      </c>
      <c r="W192" s="56"/>
      <c r="X192" s="56"/>
      <c r="Y192" s="56"/>
      <c r="Z192" s="56" t="str">
        <f t="shared" si="117"/>
        <v/>
      </c>
      <c r="AA192" s="56" t="str">
        <f t="shared" si="118"/>
        <v/>
      </c>
      <c r="AB192" s="56" t="str">
        <f t="shared" si="9"/>
        <v>ToolPrototype</v>
      </c>
      <c r="AC192" s="56" t="str">
        <f t="shared" si="119"/>
        <v>Optional</v>
      </c>
      <c r="AD192" s="56" t="str">
        <f t="shared" si="10"/>
        <v>&lt;device&gt;
&lt;name&gt;SxxRyy&lt;/name&gt;
&lt;type&gt;FCA_DN_FANUC&lt;/type&gt;
&lt;deviceNetwork&gt;201&lt;/deviceNetwork&gt;
&lt;deviceNode&gt;56&lt;/deviceNode&gt;
&lt;/device&gt;</v>
      </c>
      <c r="AE192" s="56" t="str">
        <f t="shared" si="11"/>
        <v/>
      </c>
      <c r="AF192" s="56" t="str">
        <f t="shared" si="12"/>
        <v/>
      </c>
      <c r="AG192" s="56" t="str">
        <f t="shared" si="13"/>
        <v/>
      </c>
      <c r="AH192" s="56" t="str">
        <f t="shared" si="14"/>
        <v/>
      </c>
      <c r="AI192" s="56" t="str">
        <f t="shared" si="15"/>
        <v/>
      </c>
      <c r="AJ192" s="56" t="str">
        <f t="shared" si="16"/>
        <v/>
      </c>
      <c r="AK192" s="56" t="str">
        <f t="shared" si="17"/>
        <v/>
      </c>
      <c r="AL192" s="56" t="str">
        <f t="shared" si="18"/>
        <v/>
      </c>
      <c r="AM192" s="56" t="str">
        <f t="shared" si="19"/>
        <v/>
      </c>
      <c r="AN192" s="56" t="str">
        <f t="shared" si="120"/>
        <v/>
      </c>
      <c r="AO192" s="56" t="str">
        <f t="shared" si="121"/>
        <v/>
      </c>
      <c r="AP192" s="56" t="str">
        <f t="shared" si="122"/>
        <v>PLC</v>
      </c>
      <c r="AQ192" s="56" t="str">
        <f t="shared" si="123"/>
        <v>EXIT</v>
      </c>
      <c r="AR192" s="39" t="s">
        <v>130</v>
      </c>
      <c r="AT192" s="44" t="str">
        <f t="shared" si="124"/>
        <v>BOOL</v>
      </c>
      <c r="AU192" s="23">
        <f t="shared" si="125"/>
        <v>0</v>
      </c>
      <c r="AV192" s="23" t="str">
        <f t="shared" si="126"/>
        <v>I</v>
      </c>
      <c r="AW192" s="23" t="str">
        <f t="shared" si="127"/>
        <v xml:space="preserve">I.: </v>
      </c>
      <c r="AX192" s="23" t="str">
        <f t="shared" si="128"/>
        <v>ENBT200:1:I.Data[85].21</v>
      </c>
      <c r="AY192" s="36" t="str">
        <f t="shared" si="129"/>
        <v xml:space="preserve">Controller: &lt;I0201N51.b118&gt; - </v>
      </c>
      <c r="BB192" s="42" t="s">
        <v>17</v>
      </c>
      <c r="BC192" t="s">
        <v>16</v>
      </c>
      <c r="BD192" t="str">
        <f t="shared" si="98"/>
        <v>AB_RACKx_SLOTa</v>
      </c>
      <c r="BT192" t="str">
        <f>Prep!$L$5</f>
        <v/>
      </c>
      <c r="BV192" s="30" t="s">
        <v>699</v>
      </c>
      <c r="BW192" t="str">
        <f t="shared" si="100"/>
        <v>DO[118]</v>
      </c>
      <c r="BX192" t="s">
        <v>388</v>
      </c>
      <c r="BY192" s="42"/>
      <c r="CB192" s="42"/>
      <c r="CE192" s="30"/>
      <c r="CH192" s="42"/>
      <c r="CJ192" t="str">
        <f>Prep!$U$3&amp;":I.Data["&amp;Prep!$U$7+3&amp;"]."</f>
        <v>ENBT200:1:I.Data[85].</v>
      </c>
      <c r="CK192">
        <v>21</v>
      </c>
      <c r="CM192" t="s">
        <v>75</v>
      </c>
      <c r="CN192" s="30" t="str">
        <f>"I0"&amp;Header_Config03&amp;"N"&amp;TEXT(Prep!$U$6,"00")&amp;"."</f>
        <v>I0201N51.</v>
      </c>
      <c r="CO192" t="s">
        <v>700</v>
      </c>
      <c r="CP192" t="s">
        <v>12</v>
      </c>
      <c r="CQ192" s="40"/>
      <c r="CR192" s="30" t="s">
        <v>701</v>
      </c>
    </row>
    <row r="193" spans="2:96" x14ac:dyDescent="0.35">
      <c r="B193" s="4" t="str">
        <f t="shared" si="101"/>
        <v>&lt;BLANK&gt;</v>
      </c>
      <c r="C193" s="4"/>
      <c r="D193" s="4" t="str">
        <f t="shared" si="102"/>
        <v>To_PLC_ProcessFault</v>
      </c>
      <c r="E193" s="4" t="str">
        <f t="shared" si="103"/>
        <v>ENBT200:1:I.Data[85].22</v>
      </c>
      <c r="F193" s="4" t="str">
        <f t="shared" si="104"/>
        <v>I</v>
      </c>
      <c r="G193" s="4" t="str">
        <f t="shared" si="105"/>
        <v/>
      </c>
      <c r="H193" s="4" t="str">
        <f t="shared" si="106"/>
        <v>Controller: &lt;I0201N51.b119&gt; - PROCESS FAULT DO119</v>
      </c>
      <c r="I193" s="4" t="str">
        <f t="shared" si="107"/>
        <v>AB_RACKx_SLOTa</v>
      </c>
      <c r="J193" s="4"/>
      <c r="K193" s="56" t="str">
        <f t="shared" si="108"/>
        <v>BOOL</v>
      </c>
      <c r="L193" s="56" t="str">
        <f t="shared" si="4"/>
        <v>ROBOTS\SxxRyy</v>
      </c>
      <c r="M193" s="56" t="str">
        <f t="shared" si="5"/>
        <v>STELLANTIS\Common\ToolPrototype\Robots</v>
      </c>
      <c r="N193" s="56" t="str">
        <f t="shared" si="6"/>
        <v>STELLANTIS_DN_FANUC_ROBOT_128_BIT_INTEGRATED_SAFETY_SxxRyy.v00</v>
      </c>
      <c r="O193" s="56" t="str">
        <f t="shared" si="109"/>
        <v/>
      </c>
      <c r="P193" s="56" t="str">
        <f t="shared" si="110"/>
        <v/>
      </c>
      <c r="Q193" s="56" t="str">
        <f t="shared" si="111"/>
        <v/>
      </c>
      <c r="R193" s="56" t="str">
        <f t="shared" si="112"/>
        <v/>
      </c>
      <c r="S193" s="56" t="str">
        <f t="shared" si="113"/>
        <v/>
      </c>
      <c r="T193" s="56" t="str">
        <f t="shared" si="114"/>
        <v/>
      </c>
      <c r="U193" s="56" t="str">
        <f t="shared" si="115"/>
        <v/>
      </c>
      <c r="V193" s="56" t="str">
        <f t="shared" si="116"/>
        <v/>
      </c>
      <c r="W193" s="56"/>
      <c r="X193" s="56"/>
      <c r="Y193" s="56"/>
      <c r="Z193" s="56" t="str">
        <f t="shared" si="117"/>
        <v/>
      </c>
      <c r="AA193" s="56" t="str">
        <f t="shared" si="118"/>
        <v/>
      </c>
      <c r="AB193" s="56" t="str">
        <f t="shared" si="9"/>
        <v>ToolPrototype</v>
      </c>
      <c r="AC193" s="56" t="str">
        <f t="shared" si="119"/>
        <v>Optional</v>
      </c>
      <c r="AD193" s="56" t="str">
        <f t="shared" si="10"/>
        <v>&lt;device&gt;
&lt;name&gt;SxxRyy&lt;/name&gt;
&lt;type&gt;FCA_DN_FANUC&lt;/type&gt;
&lt;deviceNetwork&gt;201&lt;/deviceNetwork&gt;
&lt;deviceNode&gt;56&lt;/deviceNode&gt;
&lt;/device&gt;</v>
      </c>
      <c r="AE193" s="56" t="str">
        <f t="shared" si="11"/>
        <v/>
      </c>
      <c r="AF193" s="56" t="str">
        <f t="shared" si="12"/>
        <v/>
      </c>
      <c r="AG193" s="56" t="str">
        <f t="shared" si="13"/>
        <v/>
      </c>
      <c r="AH193" s="56" t="str">
        <f t="shared" si="14"/>
        <v/>
      </c>
      <c r="AI193" s="56" t="str">
        <f t="shared" si="15"/>
        <v/>
      </c>
      <c r="AJ193" s="56" t="str">
        <f t="shared" si="16"/>
        <v/>
      </c>
      <c r="AK193" s="56" t="str">
        <f t="shared" si="17"/>
        <v/>
      </c>
      <c r="AL193" s="56" t="str">
        <f t="shared" si="18"/>
        <v/>
      </c>
      <c r="AM193" s="56" t="str">
        <f t="shared" si="19"/>
        <v/>
      </c>
      <c r="AN193" s="56" t="str">
        <f t="shared" si="120"/>
        <v/>
      </c>
      <c r="AO193" s="56" t="str">
        <f t="shared" si="121"/>
        <v/>
      </c>
      <c r="AP193" s="56" t="str">
        <f t="shared" si="122"/>
        <v>PLC</v>
      </c>
      <c r="AQ193" s="56" t="str">
        <f t="shared" si="123"/>
        <v>EXIT</v>
      </c>
      <c r="AR193" s="39" t="s">
        <v>130</v>
      </c>
      <c r="AT193" s="44" t="str">
        <f t="shared" si="124"/>
        <v>BOOL</v>
      </c>
      <c r="AU193" s="23">
        <f t="shared" si="125"/>
        <v>0</v>
      </c>
      <c r="AV193" s="23" t="str">
        <f t="shared" si="126"/>
        <v>I</v>
      </c>
      <c r="AW193" s="23" t="str">
        <f t="shared" si="127"/>
        <v xml:space="preserve">I.: </v>
      </c>
      <c r="AX193" s="23" t="str">
        <f t="shared" si="128"/>
        <v>ENBT200:1:I.Data[85].22</v>
      </c>
      <c r="AY193" s="36" t="str">
        <f t="shared" si="129"/>
        <v xml:space="preserve">Controller: &lt;I0201N51.b119&gt; - </v>
      </c>
      <c r="BB193" s="42" t="s">
        <v>17</v>
      </c>
      <c r="BC193" t="s">
        <v>16</v>
      </c>
      <c r="BD193" t="str">
        <f t="shared" si="98"/>
        <v>AB_RACKx_SLOTa</v>
      </c>
      <c r="BT193" t="str">
        <f>Prep!$G$3</f>
        <v>X</v>
      </c>
      <c r="BV193" s="30" t="s">
        <v>702</v>
      </c>
      <c r="BW193" t="str">
        <f t="shared" si="100"/>
        <v>DO[119]</v>
      </c>
      <c r="BY193" s="42"/>
      <c r="CB193" s="42"/>
      <c r="CE193" s="30"/>
      <c r="CH193" s="42"/>
      <c r="CJ193" t="str">
        <f>Prep!$U$3&amp;":I.Data["&amp;Prep!$U$7+3&amp;"]."</f>
        <v>ENBT200:1:I.Data[85].</v>
      </c>
      <c r="CK193">
        <v>22</v>
      </c>
      <c r="CM193" t="s">
        <v>75</v>
      </c>
      <c r="CN193" s="30" t="str">
        <f>"I0"&amp;Header_Config03&amp;"N"&amp;TEXT(Prep!$U$6,"00")&amp;"."</f>
        <v>I0201N51.</v>
      </c>
      <c r="CO193" t="s">
        <v>703</v>
      </c>
      <c r="CP193" t="s">
        <v>12</v>
      </c>
      <c r="CQ193" s="40"/>
      <c r="CR193" s="30" t="s">
        <v>704</v>
      </c>
    </row>
    <row r="194" spans="2:96" x14ac:dyDescent="0.35">
      <c r="B194" s="4" t="str">
        <f t="shared" si="101"/>
        <v>FANUC_SxxRyy</v>
      </c>
      <c r="C194" s="4"/>
      <c r="D194" s="4" t="str">
        <f t="shared" si="102"/>
        <v>To_PLC_AppErrorActive</v>
      </c>
      <c r="E194" s="4" t="str">
        <f t="shared" si="103"/>
        <v>ENBT200:1:I.Data[85].23</v>
      </c>
      <c r="F194" s="4" t="str">
        <f t="shared" si="104"/>
        <v>I</v>
      </c>
      <c r="G194" s="4" t="str">
        <f t="shared" si="105"/>
        <v/>
      </c>
      <c r="H194" s="4" t="str">
        <f t="shared" si="106"/>
        <v>Controller: &lt;I0201N51.b120&gt; - APPLICATION FAULT ACTIVE DO120</v>
      </c>
      <c r="I194" s="4" t="str">
        <f t="shared" si="107"/>
        <v>AB_RACKx_SLOTa</v>
      </c>
      <c r="J194" s="4"/>
      <c r="K194" s="56" t="str">
        <f t="shared" si="108"/>
        <v>BOOL</v>
      </c>
      <c r="L194" s="56" t="str">
        <f t="shared" si="4"/>
        <v>ROBOTS\SxxRyy</v>
      </c>
      <c r="M194" s="56" t="str">
        <f t="shared" si="5"/>
        <v>STELLANTIS\Common\ToolPrototype\Robots</v>
      </c>
      <c r="N194" s="56" t="str">
        <f t="shared" si="6"/>
        <v>STELLANTIS_DN_FANUC_ROBOT_128_BIT_INTEGRATED_SAFETY_SxxRyy.v00</v>
      </c>
      <c r="O194" s="56" t="str">
        <f t="shared" si="109"/>
        <v/>
      </c>
      <c r="P194" s="56" t="str">
        <f t="shared" si="110"/>
        <v/>
      </c>
      <c r="Q194" s="56" t="str">
        <f t="shared" si="111"/>
        <v/>
      </c>
      <c r="R194" s="56" t="str">
        <f t="shared" si="112"/>
        <v/>
      </c>
      <c r="S194" s="56" t="str">
        <f t="shared" si="113"/>
        <v/>
      </c>
      <c r="T194" s="56" t="str">
        <f t="shared" si="114"/>
        <v/>
      </c>
      <c r="U194" s="56" t="str">
        <f t="shared" si="115"/>
        <v/>
      </c>
      <c r="V194" s="56" t="str">
        <f t="shared" si="116"/>
        <v/>
      </c>
      <c r="W194" s="56"/>
      <c r="X194" s="56"/>
      <c r="Y194" s="56"/>
      <c r="Z194" s="56" t="str">
        <f t="shared" si="117"/>
        <v/>
      </c>
      <c r="AA194" s="56" t="str">
        <f t="shared" si="118"/>
        <v/>
      </c>
      <c r="AB194" s="56" t="str">
        <f t="shared" si="9"/>
        <v>ToolPrototype</v>
      </c>
      <c r="AC194" s="56" t="str">
        <f t="shared" si="119"/>
        <v/>
      </c>
      <c r="AD194" s="56" t="str">
        <f t="shared" si="10"/>
        <v>&lt;device&gt;
&lt;name&gt;SxxRyy&lt;/name&gt;
&lt;type&gt;FCA_DN_FANUC&lt;/type&gt;
&lt;deviceNetwork&gt;201&lt;/deviceNetwork&gt;
&lt;deviceNode&gt;56&lt;/deviceNode&gt;
&lt;/device&gt;</v>
      </c>
      <c r="AE194" s="56" t="str">
        <f t="shared" si="11"/>
        <v/>
      </c>
      <c r="AF194" s="56" t="str">
        <f t="shared" si="12"/>
        <v/>
      </c>
      <c r="AG194" s="56" t="str">
        <f t="shared" si="13"/>
        <v/>
      </c>
      <c r="AH194" s="56" t="str">
        <f t="shared" si="14"/>
        <v/>
      </c>
      <c r="AI194" s="56" t="str">
        <f t="shared" si="15"/>
        <v/>
      </c>
      <c r="AJ194" s="56" t="str">
        <f t="shared" si="16"/>
        <v/>
      </c>
      <c r="AK194" s="56" t="str">
        <f t="shared" si="17"/>
        <v/>
      </c>
      <c r="AL194" s="56" t="str">
        <f t="shared" si="18"/>
        <v/>
      </c>
      <c r="AM194" s="56" t="str">
        <f t="shared" si="19"/>
        <v/>
      </c>
      <c r="AN194" s="56" t="str">
        <f t="shared" si="120"/>
        <v/>
      </c>
      <c r="AO194" s="56" t="str">
        <f t="shared" si="121"/>
        <v/>
      </c>
      <c r="AP194" s="56" t="str">
        <f t="shared" si="122"/>
        <v>PLC</v>
      </c>
      <c r="AQ194" s="56" t="str">
        <f t="shared" si="123"/>
        <v>EXIT</v>
      </c>
      <c r="AR194" s="39" t="s">
        <v>130</v>
      </c>
      <c r="AT194" s="44" t="str">
        <f t="shared" si="124"/>
        <v>BOOL</v>
      </c>
      <c r="AU194" s="23">
        <f t="shared" si="125"/>
        <v>0</v>
      </c>
      <c r="AV194" s="23" t="str">
        <f t="shared" si="126"/>
        <v>I</v>
      </c>
      <c r="AW194" s="23" t="str">
        <f t="shared" si="127"/>
        <v xml:space="preserve">I.: </v>
      </c>
      <c r="AX194" s="23" t="str">
        <f t="shared" si="128"/>
        <v>ENBT200:1:I.Data[85].23</v>
      </c>
      <c r="AY194" s="36" t="str">
        <f t="shared" si="129"/>
        <v xml:space="preserve">Controller: &lt;I0201N51.b120&gt; - </v>
      </c>
      <c r="BB194" s="42" t="s">
        <v>17</v>
      </c>
      <c r="BC194" t="s">
        <v>16</v>
      </c>
      <c r="BD194" t="str">
        <f t="shared" si="98"/>
        <v>AB_RACKx_SLOTa</v>
      </c>
      <c r="BV194" s="30" t="s">
        <v>705</v>
      </c>
      <c r="BW194" t="str">
        <f t="shared" si="100"/>
        <v>DO[120]</v>
      </c>
      <c r="BY194" s="42"/>
      <c r="CB194" s="42"/>
      <c r="CE194" s="30"/>
      <c r="CH194" s="42"/>
      <c r="CJ194" t="str">
        <f>Prep!$U$3&amp;":I.Data["&amp;Prep!$U$7+3&amp;"]."</f>
        <v>ENBT200:1:I.Data[85].</v>
      </c>
      <c r="CK194">
        <v>23</v>
      </c>
      <c r="CM194" t="s">
        <v>75</v>
      </c>
      <c r="CN194" s="30" t="str">
        <f>"I0"&amp;Header_Config03&amp;"N"&amp;TEXT(Prep!$U$6,"00")&amp;"."</f>
        <v>I0201N51.</v>
      </c>
      <c r="CO194" t="s">
        <v>706</v>
      </c>
      <c r="CP194" t="s">
        <v>12</v>
      </c>
      <c r="CQ194" s="40"/>
      <c r="CR194" s="30" t="s">
        <v>707</v>
      </c>
    </row>
    <row r="195" spans="2:96" x14ac:dyDescent="0.35">
      <c r="B195" s="4" t="str">
        <f t="shared" si="101"/>
        <v>FANUC_SxxRyy</v>
      </c>
      <c r="C195" s="4"/>
      <c r="D195" s="4" t="str">
        <f t="shared" si="102"/>
        <v>To_PLC_AppErrorBit1</v>
      </c>
      <c r="E195" s="4" t="str">
        <f t="shared" si="103"/>
        <v>ENBT200:1:I.Data[85].24</v>
      </c>
      <c r="F195" s="4" t="str">
        <f t="shared" si="104"/>
        <v>I</v>
      </c>
      <c r="G195" s="4" t="str">
        <f t="shared" si="105"/>
        <v/>
      </c>
      <c r="H195" s="4" t="str">
        <f t="shared" si="106"/>
        <v>Controller: &lt;I0201N51.b121&gt; - APP ERROR BIT 1 DO121</v>
      </c>
      <c r="I195" s="4" t="str">
        <f t="shared" si="107"/>
        <v>AB_RACKx_SLOTa</v>
      </c>
      <c r="J195" s="4"/>
      <c r="K195" s="56" t="str">
        <f t="shared" si="108"/>
        <v>BOOL</v>
      </c>
      <c r="L195" s="56" t="str">
        <f t="shared" si="4"/>
        <v>ROBOTS\SxxRyy</v>
      </c>
      <c r="M195" s="56" t="str">
        <f t="shared" si="5"/>
        <v>STELLANTIS\Common\ToolPrototype\Robots</v>
      </c>
      <c r="N195" s="56" t="str">
        <f t="shared" si="6"/>
        <v>STELLANTIS_DN_FANUC_ROBOT_128_BIT_INTEGRATED_SAFETY_SxxRyy.v00</v>
      </c>
      <c r="O195" s="56" t="str">
        <f t="shared" si="109"/>
        <v/>
      </c>
      <c r="P195" s="56" t="str">
        <f t="shared" si="110"/>
        <v/>
      </c>
      <c r="Q195" s="56" t="str">
        <f t="shared" si="111"/>
        <v/>
      </c>
      <c r="R195" s="56" t="str">
        <f t="shared" si="112"/>
        <v/>
      </c>
      <c r="S195" s="56" t="str">
        <f t="shared" si="113"/>
        <v/>
      </c>
      <c r="T195" s="56" t="str">
        <f t="shared" si="114"/>
        <v/>
      </c>
      <c r="U195" s="56" t="str">
        <f t="shared" si="115"/>
        <v/>
      </c>
      <c r="V195" s="56" t="str">
        <f t="shared" si="116"/>
        <v/>
      </c>
      <c r="W195" s="56"/>
      <c r="X195" s="56"/>
      <c r="Y195" s="56"/>
      <c r="Z195" s="56" t="str">
        <f t="shared" si="117"/>
        <v/>
      </c>
      <c r="AA195" s="56" t="str">
        <f t="shared" si="118"/>
        <v/>
      </c>
      <c r="AB195" s="56" t="str">
        <f t="shared" si="9"/>
        <v>ToolPrototype</v>
      </c>
      <c r="AC195" s="56" t="str">
        <f t="shared" si="119"/>
        <v/>
      </c>
      <c r="AD195" s="56" t="str">
        <f t="shared" si="10"/>
        <v>&lt;device&gt;
&lt;name&gt;SxxRyy&lt;/name&gt;
&lt;type&gt;FCA_DN_FANUC&lt;/type&gt;
&lt;deviceNetwork&gt;201&lt;/deviceNetwork&gt;
&lt;deviceNode&gt;56&lt;/deviceNode&gt;
&lt;/device&gt;</v>
      </c>
      <c r="AE195" s="56" t="str">
        <f t="shared" si="11"/>
        <v/>
      </c>
      <c r="AF195" s="56" t="str">
        <f t="shared" si="12"/>
        <v/>
      </c>
      <c r="AG195" s="56" t="str">
        <f t="shared" si="13"/>
        <v/>
      </c>
      <c r="AH195" s="56" t="str">
        <f t="shared" si="14"/>
        <v/>
      </c>
      <c r="AI195" s="56" t="str">
        <f t="shared" si="15"/>
        <v/>
      </c>
      <c r="AJ195" s="56" t="str">
        <f t="shared" si="16"/>
        <v/>
      </c>
      <c r="AK195" s="56" t="str">
        <f t="shared" si="17"/>
        <v/>
      </c>
      <c r="AL195" s="56" t="str">
        <f t="shared" si="18"/>
        <v/>
      </c>
      <c r="AM195" s="56" t="str">
        <f t="shared" si="19"/>
        <v/>
      </c>
      <c r="AN195" s="56" t="str">
        <f t="shared" si="120"/>
        <v/>
      </c>
      <c r="AO195" s="56" t="str">
        <f t="shared" si="121"/>
        <v/>
      </c>
      <c r="AP195" s="56" t="str">
        <f t="shared" si="122"/>
        <v>PLC</v>
      </c>
      <c r="AQ195" s="56" t="str">
        <f t="shared" si="123"/>
        <v>EXIT</v>
      </c>
      <c r="AR195" s="39" t="s">
        <v>130</v>
      </c>
      <c r="AT195" s="44" t="str">
        <f t="shared" si="124"/>
        <v>BOOL</v>
      </c>
      <c r="AU195" s="23">
        <f t="shared" si="125"/>
        <v>0</v>
      </c>
      <c r="AV195" s="23" t="str">
        <f t="shared" si="126"/>
        <v>I</v>
      </c>
      <c r="AW195" s="23" t="str">
        <f t="shared" si="127"/>
        <v xml:space="preserve">I.: </v>
      </c>
      <c r="AX195" s="23" t="str">
        <f t="shared" si="128"/>
        <v>ENBT200:1:I.Data[85].24</v>
      </c>
      <c r="AY195" s="36" t="str">
        <f t="shared" si="129"/>
        <v xml:space="preserve">Controller: &lt;I0201N51.b121&gt; - </v>
      </c>
      <c r="BB195" s="42" t="s">
        <v>17</v>
      </c>
      <c r="BC195" t="s">
        <v>16</v>
      </c>
      <c r="BD195" t="str">
        <f t="shared" si="98"/>
        <v>AB_RACKx_SLOTa</v>
      </c>
      <c r="BV195" s="30" t="s">
        <v>708</v>
      </c>
      <c r="BW195" t="str">
        <f t="shared" si="100"/>
        <v>DO[121]</v>
      </c>
      <c r="BX195" t="s">
        <v>709</v>
      </c>
      <c r="BY195" s="42"/>
      <c r="CB195" s="42"/>
      <c r="CE195" s="30"/>
      <c r="CH195" s="42"/>
      <c r="CJ195" t="str">
        <f>Prep!$U$3&amp;":I.Data["&amp;Prep!$U$7+3&amp;"]."</f>
        <v>ENBT200:1:I.Data[85].</v>
      </c>
      <c r="CK195">
        <v>24</v>
      </c>
      <c r="CM195" t="s">
        <v>75</v>
      </c>
      <c r="CN195" s="30" t="str">
        <f>"I0"&amp;Header_Config03&amp;"N"&amp;TEXT(Prep!$U$6,"00")&amp;"."</f>
        <v>I0201N51.</v>
      </c>
      <c r="CO195" t="s">
        <v>710</v>
      </c>
      <c r="CP195" t="s">
        <v>12</v>
      </c>
      <c r="CQ195" s="40"/>
      <c r="CR195" s="30" t="s">
        <v>711</v>
      </c>
    </row>
    <row r="196" spans="2:96" x14ac:dyDescent="0.35">
      <c r="B196" s="4" t="str">
        <f t="shared" si="101"/>
        <v>FANUC_SxxRyy</v>
      </c>
      <c r="C196" s="4"/>
      <c r="D196" s="4" t="str">
        <f t="shared" si="102"/>
        <v>To_PLC_AppErrorBit2</v>
      </c>
      <c r="E196" s="4" t="str">
        <f t="shared" si="103"/>
        <v>ENBT200:1:I.Data[85].25</v>
      </c>
      <c r="F196" s="4" t="str">
        <f t="shared" si="104"/>
        <v>I</v>
      </c>
      <c r="G196" s="4" t="str">
        <f t="shared" si="105"/>
        <v/>
      </c>
      <c r="H196" s="4" t="str">
        <f t="shared" si="106"/>
        <v>Controller: &lt;I0201N51.b122&gt; - APP ERROR BIT 2 DO122</v>
      </c>
      <c r="I196" s="4" t="str">
        <f t="shared" si="107"/>
        <v>AB_RACKx_SLOTa</v>
      </c>
      <c r="J196" s="4"/>
      <c r="K196" s="56" t="str">
        <f t="shared" si="108"/>
        <v>BOOL</v>
      </c>
      <c r="L196" s="56" t="str">
        <f t="shared" si="4"/>
        <v>ROBOTS\SxxRyy</v>
      </c>
      <c r="M196" s="56" t="str">
        <f t="shared" si="5"/>
        <v>STELLANTIS\Common\ToolPrototype\Robots</v>
      </c>
      <c r="N196" s="56" t="str">
        <f t="shared" si="6"/>
        <v>STELLANTIS_DN_FANUC_ROBOT_128_BIT_INTEGRATED_SAFETY_SxxRyy.v00</v>
      </c>
      <c r="O196" s="56" t="str">
        <f t="shared" si="109"/>
        <v/>
      </c>
      <c r="P196" s="56" t="str">
        <f t="shared" si="110"/>
        <v/>
      </c>
      <c r="Q196" s="56" t="str">
        <f t="shared" si="111"/>
        <v/>
      </c>
      <c r="R196" s="56" t="str">
        <f t="shared" si="112"/>
        <v/>
      </c>
      <c r="S196" s="56" t="str">
        <f t="shared" si="113"/>
        <v/>
      </c>
      <c r="T196" s="56" t="str">
        <f t="shared" si="114"/>
        <v/>
      </c>
      <c r="U196" s="56" t="str">
        <f t="shared" si="115"/>
        <v/>
      </c>
      <c r="V196" s="56" t="str">
        <f t="shared" si="116"/>
        <v/>
      </c>
      <c r="W196" s="56"/>
      <c r="X196" s="56"/>
      <c r="Y196" s="56"/>
      <c r="Z196" s="56" t="str">
        <f t="shared" si="117"/>
        <v/>
      </c>
      <c r="AA196" s="56" t="str">
        <f t="shared" si="118"/>
        <v/>
      </c>
      <c r="AB196" s="56" t="str">
        <f t="shared" si="9"/>
        <v>ToolPrototype</v>
      </c>
      <c r="AC196" s="56" t="str">
        <f t="shared" si="119"/>
        <v/>
      </c>
      <c r="AD196" s="56" t="str">
        <f t="shared" si="10"/>
        <v>&lt;device&gt;
&lt;name&gt;SxxRyy&lt;/name&gt;
&lt;type&gt;FCA_DN_FANUC&lt;/type&gt;
&lt;deviceNetwork&gt;201&lt;/deviceNetwork&gt;
&lt;deviceNode&gt;56&lt;/deviceNode&gt;
&lt;/device&gt;</v>
      </c>
      <c r="AE196" s="56" t="str">
        <f t="shared" si="11"/>
        <v/>
      </c>
      <c r="AF196" s="56" t="str">
        <f t="shared" si="12"/>
        <v/>
      </c>
      <c r="AG196" s="56" t="str">
        <f t="shared" si="13"/>
        <v/>
      </c>
      <c r="AH196" s="56" t="str">
        <f t="shared" si="14"/>
        <v/>
      </c>
      <c r="AI196" s="56" t="str">
        <f t="shared" si="15"/>
        <v/>
      </c>
      <c r="AJ196" s="56" t="str">
        <f t="shared" si="16"/>
        <v/>
      </c>
      <c r="AK196" s="56" t="str">
        <f t="shared" si="17"/>
        <v/>
      </c>
      <c r="AL196" s="56" t="str">
        <f t="shared" si="18"/>
        <v/>
      </c>
      <c r="AM196" s="56" t="str">
        <f t="shared" si="19"/>
        <v/>
      </c>
      <c r="AN196" s="56" t="str">
        <f t="shared" si="120"/>
        <v/>
      </c>
      <c r="AO196" s="56" t="str">
        <f t="shared" si="121"/>
        <v/>
      </c>
      <c r="AP196" s="56" t="str">
        <f t="shared" si="122"/>
        <v>PLC</v>
      </c>
      <c r="AQ196" s="56" t="str">
        <f t="shared" si="123"/>
        <v>EXIT</v>
      </c>
      <c r="AR196" s="39" t="s">
        <v>130</v>
      </c>
      <c r="AT196" s="44" t="str">
        <f t="shared" si="124"/>
        <v>BOOL</v>
      </c>
      <c r="AU196" s="23">
        <f t="shared" si="125"/>
        <v>0</v>
      </c>
      <c r="AV196" s="23" t="str">
        <f t="shared" si="126"/>
        <v>I</v>
      </c>
      <c r="AW196" s="23" t="str">
        <f t="shared" si="127"/>
        <v xml:space="preserve">I.: </v>
      </c>
      <c r="AX196" s="23" t="str">
        <f t="shared" si="128"/>
        <v>ENBT200:1:I.Data[85].25</v>
      </c>
      <c r="AY196" s="36" t="str">
        <f t="shared" si="129"/>
        <v xml:space="preserve">Controller: &lt;I0201N51.b122&gt; - </v>
      </c>
      <c r="BB196" s="42" t="s">
        <v>17</v>
      </c>
      <c r="BC196" t="s">
        <v>16</v>
      </c>
      <c r="BD196" t="str">
        <f t="shared" si="98"/>
        <v>AB_RACKx_SLOTa</v>
      </c>
      <c r="BV196" s="30" t="s">
        <v>712</v>
      </c>
      <c r="BW196" t="str">
        <f t="shared" si="100"/>
        <v>DO[122]</v>
      </c>
      <c r="BX196" t="s">
        <v>709</v>
      </c>
      <c r="BY196" s="42"/>
      <c r="CB196" s="42"/>
      <c r="CE196" s="30"/>
      <c r="CH196" s="42"/>
      <c r="CJ196" t="str">
        <f>Prep!$U$3&amp;":I.Data["&amp;Prep!$U$7+3&amp;"]."</f>
        <v>ENBT200:1:I.Data[85].</v>
      </c>
      <c r="CK196">
        <v>25</v>
      </c>
      <c r="CM196" t="s">
        <v>75</v>
      </c>
      <c r="CN196" s="30" t="str">
        <f>"I0"&amp;Header_Config03&amp;"N"&amp;TEXT(Prep!$U$6,"00")&amp;"."</f>
        <v>I0201N51.</v>
      </c>
      <c r="CO196" t="s">
        <v>713</v>
      </c>
      <c r="CP196" t="s">
        <v>12</v>
      </c>
      <c r="CQ196" s="40"/>
      <c r="CR196" s="30" t="s">
        <v>714</v>
      </c>
    </row>
    <row r="197" spans="2:96" x14ac:dyDescent="0.35">
      <c r="B197" s="4" t="str">
        <f t="shared" si="101"/>
        <v>FANUC_SxxRyy</v>
      </c>
      <c r="C197" s="4"/>
      <c r="D197" s="4" t="str">
        <f t="shared" si="102"/>
        <v>To_PLC_AppErrorBit4</v>
      </c>
      <c r="E197" s="4" t="str">
        <f t="shared" si="103"/>
        <v>ENBT200:1:I.Data[85].26</v>
      </c>
      <c r="F197" s="4" t="str">
        <f t="shared" si="104"/>
        <v>I</v>
      </c>
      <c r="G197" s="4" t="str">
        <f t="shared" si="105"/>
        <v/>
      </c>
      <c r="H197" s="4" t="str">
        <f t="shared" si="106"/>
        <v>Controller: &lt;I0201N51.b123&gt; - APP ERROR BIT 4 DO123</v>
      </c>
      <c r="I197" s="4" t="str">
        <f t="shared" si="107"/>
        <v>AB_RACKx_SLOTa</v>
      </c>
      <c r="J197" s="4"/>
      <c r="K197" s="56" t="str">
        <f t="shared" si="108"/>
        <v>BOOL</v>
      </c>
      <c r="L197" s="56" t="str">
        <f t="shared" si="4"/>
        <v>ROBOTS\SxxRyy</v>
      </c>
      <c r="M197" s="56" t="str">
        <f t="shared" si="5"/>
        <v>STELLANTIS\Common\ToolPrototype\Robots</v>
      </c>
      <c r="N197" s="56" t="str">
        <f t="shared" si="6"/>
        <v>STELLANTIS_DN_FANUC_ROBOT_128_BIT_INTEGRATED_SAFETY_SxxRyy.v00</v>
      </c>
      <c r="O197" s="56" t="str">
        <f t="shared" si="109"/>
        <v/>
      </c>
      <c r="P197" s="56" t="str">
        <f t="shared" si="110"/>
        <v/>
      </c>
      <c r="Q197" s="56" t="str">
        <f t="shared" si="111"/>
        <v/>
      </c>
      <c r="R197" s="56" t="str">
        <f t="shared" si="112"/>
        <v/>
      </c>
      <c r="S197" s="56" t="str">
        <f t="shared" si="113"/>
        <v/>
      </c>
      <c r="T197" s="56" t="str">
        <f t="shared" si="114"/>
        <v/>
      </c>
      <c r="U197" s="56" t="str">
        <f t="shared" si="115"/>
        <v/>
      </c>
      <c r="V197" s="56" t="str">
        <f t="shared" si="116"/>
        <v/>
      </c>
      <c r="W197" s="56"/>
      <c r="X197" s="56"/>
      <c r="Y197" s="56"/>
      <c r="Z197" s="56" t="str">
        <f t="shared" si="117"/>
        <v/>
      </c>
      <c r="AA197" s="56" t="str">
        <f t="shared" si="118"/>
        <v/>
      </c>
      <c r="AB197" s="56" t="str">
        <f t="shared" si="9"/>
        <v>ToolPrototype</v>
      </c>
      <c r="AC197" s="56" t="str">
        <f t="shared" si="119"/>
        <v/>
      </c>
      <c r="AD197" s="56" t="str">
        <f t="shared" si="10"/>
        <v>&lt;device&gt;
&lt;name&gt;SxxRyy&lt;/name&gt;
&lt;type&gt;FCA_DN_FANUC&lt;/type&gt;
&lt;deviceNetwork&gt;201&lt;/deviceNetwork&gt;
&lt;deviceNode&gt;56&lt;/deviceNode&gt;
&lt;/device&gt;</v>
      </c>
      <c r="AE197" s="56" t="str">
        <f t="shared" si="11"/>
        <v/>
      </c>
      <c r="AF197" s="56" t="str">
        <f t="shared" si="12"/>
        <v/>
      </c>
      <c r="AG197" s="56" t="str">
        <f t="shared" si="13"/>
        <v/>
      </c>
      <c r="AH197" s="56" t="str">
        <f t="shared" si="14"/>
        <v/>
      </c>
      <c r="AI197" s="56" t="str">
        <f t="shared" si="15"/>
        <v/>
      </c>
      <c r="AJ197" s="56" t="str">
        <f t="shared" si="16"/>
        <v/>
      </c>
      <c r="AK197" s="56" t="str">
        <f t="shared" si="17"/>
        <v/>
      </c>
      <c r="AL197" s="56" t="str">
        <f t="shared" si="18"/>
        <v/>
      </c>
      <c r="AM197" s="56" t="str">
        <f t="shared" si="19"/>
        <v/>
      </c>
      <c r="AN197" s="56" t="str">
        <f t="shared" si="120"/>
        <v/>
      </c>
      <c r="AO197" s="56" t="str">
        <f t="shared" si="121"/>
        <v/>
      </c>
      <c r="AP197" s="56" t="str">
        <f t="shared" si="122"/>
        <v>PLC</v>
      </c>
      <c r="AQ197" s="56" t="str">
        <f t="shared" si="123"/>
        <v>EXIT</v>
      </c>
      <c r="AR197" s="39" t="s">
        <v>130</v>
      </c>
      <c r="AT197" s="44" t="str">
        <f t="shared" si="124"/>
        <v>BOOL</v>
      </c>
      <c r="AU197" s="23">
        <f t="shared" si="125"/>
        <v>0</v>
      </c>
      <c r="AV197" s="23" t="str">
        <f t="shared" si="126"/>
        <v>I</v>
      </c>
      <c r="AW197" s="23" t="str">
        <f t="shared" si="127"/>
        <v xml:space="preserve">I.: </v>
      </c>
      <c r="AX197" s="23" t="str">
        <f t="shared" si="128"/>
        <v>ENBT200:1:I.Data[85].26</v>
      </c>
      <c r="AY197" s="36" t="str">
        <f t="shared" si="129"/>
        <v xml:space="preserve">Controller: &lt;I0201N51.b123&gt; - </v>
      </c>
      <c r="BB197" s="42" t="s">
        <v>17</v>
      </c>
      <c r="BC197" t="s">
        <v>16</v>
      </c>
      <c r="BD197" t="str">
        <f t="shared" si="98"/>
        <v>AB_RACKx_SLOTa</v>
      </c>
      <c r="BV197" s="30" t="s">
        <v>715</v>
      </c>
      <c r="BW197" t="str">
        <f t="shared" si="100"/>
        <v>DO[123]</v>
      </c>
      <c r="BX197" t="s">
        <v>709</v>
      </c>
      <c r="BY197" s="42"/>
      <c r="CB197" s="42"/>
      <c r="CE197" s="30"/>
      <c r="CH197" s="42"/>
      <c r="CJ197" t="str">
        <f>Prep!$U$3&amp;":I.Data["&amp;Prep!$U$7+3&amp;"]."</f>
        <v>ENBT200:1:I.Data[85].</v>
      </c>
      <c r="CK197">
        <v>26</v>
      </c>
      <c r="CM197" t="s">
        <v>75</v>
      </c>
      <c r="CN197" s="30" t="str">
        <f>"I0"&amp;Header_Config03&amp;"N"&amp;TEXT(Prep!$U$6,"00")&amp;"."</f>
        <v>I0201N51.</v>
      </c>
      <c r="CO197" t="s">
        <v>716</v>
      </c>
      <c r="CP197" t="s">
        <v>12</v>
      </c>
      <c r="CQ197" s="40"/>
      <c r="CR197" s="30" t="s">
        <v>717</v>
      </c>
    </row>
    <row r="198" spans="2:96" x14ac:dyDescent="0.35">
      <c r="B198" s="4" t="str">
        <f t="shared" si="101"/>
        <v>FANUC_SxxRyy</v>
      </c>
      <c r="C198" s="4"/>
      <c r="D198" s="4" t="str">
        <f t="shared" si="102"/>
        <v>To_PLC_AppErrorBit8</v>
      </c>
      <c r="E198" s="4" t="str">
        <f t="shared" si="103"/>
        <v>ENBT200:1:I.Data[85].27</v>
      </c>
      <c r="F198" s="4" t="str">
        <f t="shared" si="104"/>
        <v>I</v>
      </c>
      <c r="G198" s="4" t="str">
        <f t="shared" si="105"/>
        <v/>
      </c>
      <c r="H198" s="4" t="str">
        <f t="shared" si="106"/>
        <v>Controller: &lt;I0201N51.b124&gt; - APP ERROR BIT 8 DO124</v>
      </c>
      <c r="I198" s="4" t="str">
        <f t="shared" si="107"/>
        <v>AB_RACKx_SLOTa</v>
      </c>
      <c r="J198" s="4"/>
      <c r="K198" s="56" t="str">
        <f t="shared" si="108"/>
        <v>BOOL</v>
      </c>
      <c r="L198" s="56" t="str">
        <f t="shared" si="4"/>
        <v>ROBOTS\SxxRyy</v>
      </c>
      <c r="M198" s="56" t="str">
        <f t="shared" si="5"/>
        <v>STELLANTIS\Common\ToolPrototype\Robots</v>
      </c>
      <c r="N198" s="56" t="str">
        <f t="shared" si="6"/>
        <v>STELLANTIS_DN_FANUC_ROBOT_128_BIT_INTEGRATED_SAFETY_SxxRyy.v00</v>
      </c>
      <c r="O198" s="56" t="str">
        <f t="shared" si="109"/>
        <v/>
      </c>
      <c r="P198" s="56" t="str">
        <f t="shared" si="110"/>
        <v/>
      </c>
      <c r="Q198" s="56" t="str">
        <f t="shared" si="111"/>
        <v/>
      </c>
      <c r="R198" s="56" t="str">
        <f t="shared" si="112"/>
        <v/>
      </c>
      <c r="S198" s="56" t="str">
        <f t="shared" si="113"/>
        <v/>
      </c>
      <c r="T198" s="56" t="str">
        <f t="shared" si="114"/>
        <v/>
      </c>
      <c r="U198" s="56" t="str">
        <f t="shared" si="115"/>
        <v/>
      </c>
      <c r="V198" s="56" t="str">
        <f t="shared" si="116"/>
        <v/>
      </c>
      <c r="W198" s="56"/>
      <c r="X198" s="56"/>
      <c r="Y198" s="56"/>
      <c r="Z198" s="56" t="str">
        <f t="shared" si="117"/>
        <v/>
      </c>
      <c r="AA198" s="56" t="str">
        <f t="shared" si="118"/>
        <v/>
      </c>
      <c r="AB198" s="56" t="str">
        <f t="shared" si="9"/>
        <v>ToolPrototype</v>
      </c>
      <c r="AC198" s="56" t="str">
        <f t="shared" si="119"/>
        <v/>
      </c>
      <c r="AD198" s="56" t="str">
        <f t="shared" si="10"/>
        <v>&lt;device&gt;
&lt;name&gt;SxxRyy&lt;/name&gt;
&lt;type&gt;FCA_DN_FANUC&lt;/type&gt;
&lt;deviceNetwork&gt;201&lt;/deviceNetwork&gt;
&lt;deviceNode&gt;56&lt;/deviceNode&gt;
&lt;/device&gt;</v>
      </c>
      <c r="AE198" s="56" t="str">
        <f t="shared" si="11"/>
        <v/>
      </c>
      <c r="AF198" s="56" t="str">
        <f t="shared" si="12"/>
        <v/>
      </c>
      <c r="AG198" s="56" t="str">
        <f t="shared" si="13"/>
        <v/>
      </c>
      <c r="AH198" s="56" t="str">
        <f t="shared" si="14"/>
        <v/>
      </c>
      <c r="AI198" s="56" t="str">
        <f t="shared" si="15"/>
        <v/>
      </c>
      <c r="AJ198" s="56" t="str">
        <f t="shared" si="16"/>
        <v/>
      </c>
      <c r="AK198" s="56" t="str">
        <f t="shared" si="17"/>
        <v/>
      </c>
      <c r="AL198" s="56" t="str">
        <f t="shared" si="18"/>
        <v/>
      </c>
      <c r="AM198" s="56" t="str">
        <f t="shared" si="19"/>
        <v/>
      </c>
      <c r="AN198" s="56" t="str">
        <f t="shared" si="120"/>
        <v/>
      </c>
      <c r="AO198" s="56" t="str">
        <f t="shared" si="121"/>
        <v/>
      </c>
      <c r="AP198" s="56" t="str">
        <f t="shared" si="122"/>
        <v>PLC</v>
      </c>
      <c r="AQ198" s="56" t="str">
        <f t="shared" si="123"/>
        <v>EXIT</v>
      </c>
      <c r="AR198" s="39" t="s">
        <v>130</v>
      </c>
      <c r="AT198" s="44" t="str">
        <f t="shared" si="124"/>
        <v>BOOL</v>
      </c>
      <c r="AU198" s="23">
        <f t="shared" si="125"/>
        <v>0</v>
      </c>
      <c r="AV198" s="23" t="str">
        <f t="shared" si="126"/>
        <v>I</v>
      </c>
      <c r="AW198" s="23" t="str">
        <f t="shared" si="127"/>
        <v xml:space="preserve">I.: </v>
      </c>
      <c r="AX198" s="23" t="str">
        <f t="shared" si="128"/>
        <v>ENBT200:1:I.Data[85].27</v>
      </c>
      <c r="AY198" s="36" t="str">
        <f t="shared" si="129"/>
        <v xml:space="preserve">Controller: &lt;I0201N51.b124&gt; - </v>
      </c>
      <c r="BB198" s="42" t="s">
        <v>17</v>
      </c>
      <c r="BC198" t="s">
        <v>16</v>
      </c>
      <c r="BD198" t="str">
        <f t="shared" si="98"/>
        <v>AB_RACKx_SLOTa</v>
      </c>
      <c r="BV198" s="30" t="s">
        <v>718</v>
      </c>
      <c r="BW198" t="str">
        <f t="shared" si="100"/>
        <v>DO[124]</v>
      </c>
      <c r="BX198" t="s">
        <v>709</v>
      </c>
      <c r="BY198" s="42"/>
      <c r="CB198" s="42"/>
      <c r="CE198" s="30"/>
      <c r="CH198" s="42"/>
      <c r="CJ198" t="str">
        <f>Prep!$U$3&amp;":I.Data["&amp;Prep!$U$7+3&amp;"]."</f>
        <v>ENBT200:1:I.Data[85].</v>
      </c>
      <c r="CK198">
        <v>27</v>
      </c>
      <c r="CM198" t="s">
        <v>75</v>
      </c>
      <c r="CN198" s="30" t="str">
        <f>"I0"&amp;Header_Config03&amp;"N"&amp;TEXT(Prep!$U$6,"00")&amp;"."</f>
        <v>I0201N51.</v>
      </c>
      <c r="CO198" t="s">
        <v>719</v>
      </c>
      <c r="CP198" t="s">
        <v>12</v>
      </c>
      <c r="CQ198" s="40"/>
      <c r="CR198" s="30" t="s">
        <v>720</v>
      </c>
    </row>
    <row r="199" spans="2:96" x14ac:dyDescent="0.35">
      <c r="B199" s="4" t="str">
        <f t="shared" si="101"/>
        <v>FANUC_SxxRyy</v>
      </c>
      <c r="C199" s="4"/>
      <c r="D199" s="4" t="str">
        <f t="shared" si="102"/>
        <v>To_PLC_AppErrorBit16</v>
      </c>
      <c r="E199" s="4" t="str">
        <f t="shared" si="103"/>
        <v>ENBT200:1:I.Data[85].28</v>
      </c>
      <c r="F199" s="4" t="str">
        <f t="shared" si="104"/>
        <v>I</v>
      </c>
      <c r="G199" s="4" t="str">
        <f t="shared" si="105"/>
        <v/>
      </c>
      <c r="H199" s="4" t="str">
        <f t="shared" si="106"/>
        <v>Controller: &lt;I0201N51.b125&gt; - APP ERROR BIT 16 DO125</v>
      </c>
      <c r="I199" s="4" t="str">
        <f t="shared" si="107"/>
        <v>AB_RACKx_SLOTa</v>
      </c>
      <c r="J199" s="4"/>
      <c r="K199" s="56" t="str">
        <f t="shared" si="108"/>
        <v>BOOL</v>
      </c>
      <c r="L199" s="56" t="str">
        <f t="shared" si="4"/>
        <v>ROBOTS\SxxRyy</v>
      </c>
      <c r="M199" s="56" t="str">
        <f t="shared" si="5"/>
        <v>STELLANTIS\Common\ToolPrototype\Robots</v>
      </c>
      <c r="N199" s="56" t="str">
        <f t="shared" si="6"/>
        <v>STELLANTIS_DN_FANUC_ROBOT_128_BIT_INTEGRATED_SAFETY_SxxRyy.v00</v>
      </c>
      <c r="O199" s="56" t="str">
        <f t="shared" si="109"/>
        <v/>
      </c>
      <c r="P199" s="56" t="str">
        <f t="shared" si="110"/>
        <v/>
      </c>
      <c r="Q199" s="56" t="str">
        <f t="shared" si="111"/>
        <v/>
      </c>
      <c r="R199" s="56" t="str">
        <f t="shared" si="112"/>
        <v/>
      </c>
      <c r="S199" s="56" t="str">
        <f t="shared" si="113"/>
        <v/>
      </c>
      <c r="T199" s="56" t="str">
        <f t="shared" si="114"/>
        <v/>
      </c>
      <c r="U199" s="56" t="str">
        <f t="shared" si="115"/>
        <v/>
      </c>
      <c r="V199" s="56" t="str">
        <f t="shared" si="116"/>
        <v/>
      </c>
      <c r="W199" s="56"/>
      <c r="X199" s="56"/>
      <c r="Y199" s="56"/>
      <c r="Z199" s="56" t="str">
        <f t="shared" si="117"/>
        <v/>
      </c>
      <c r="AA199" s="56" t="str">
        <f t="shared" si="118"/>
        <v/>
      </c>
      <c r="AB199" s="56" t="str">
        <f t="shared" si="9"/>
        <v>ToolPrototype</v>
      </c>
      <c r="AC199" s="56" t="str">
        <f t="shared" si="119"/>
        <v/>
      </c>
      <c r="AD199" s="56" t="str">
        <f t="shared" si="10"/>
        <v>&lt;device&gt;
&lt;name&gt;SxxRyy&lt;/name&gt;
&lt;type&gt;FCA_DN_FANUC&lt;/type&gt;
&lt;deviceNetwork&gt;201&lt;/deviceNetwork&gt;
&lt;deviceNode&gt;56&lt;/deviceNode&gt;
&lt;/device&gt;</v>
      </c>
      <c r="AE199" s="56" t="str">
        <f t="shared" si="11"/>
        <v/>
      </c>
      <c r="AF199" s="56" t="str">
        <f t="shared" si="12"/>
        <v/>
      </c>
      <c r="AG199" s="56" t="str">
        <f t="shared" si="13"/>
        <v/>
      </c>
      <c r="AH199" s="56" t="str">
        <f t="shared" si="14"/>
        <v/>
      </c>
      <c r="AI199" s="56" t="str">
        <f t="shared" si="15"/>
        <v/>
      </c>
      <c r="AJ199" s="56" t="str">
        <f t="shared" si="16"/>
        <v/>
      </c>
      <c r="AK199" s="56" t="str">
        <f t="shared" si="17"/>
        <v/>
      </c>
      <c r="AL199" s="56" t="str">
        <f t="shared" si="18"/>
        <v/>
      </c>
      <c r="AM199" s="56" t="str">
        <f t="shared" si="19"/>
        <v/>
      </c>
      <c r="AN199" s="56" t="str">
        <f t="shared" si="120"/>
        <v/>
      </c>
      <c r="AO199" s="56" t="str">
        <f t="shared" si="121"/>
        <v/>
      </c>
      <c r="AP199" s="56" t="str">
        <f t="shared" si="122"/>
        <v>PLC</v>
      </c>
      <c r="AQ199" s="56" t="str">
        <f t="shared" si="123"/>
        <v>EXIT</v>
      </c>
      <c r="AR199" s="39" t="s">
        <v>130</v>
      </c>
      <c r="AT199" s="44" t="str">
        <f t="shared" si="124"/>
        <v>BOOL</v>
      </c>
      <c r="AU199" s="23">
        <f t="shared" si="125"/>
        <v>0</v>
      </c>
      <c r="AV199" s="23" t="str">
        <f t="shared" si="126"/>
        <v>I</v>
      </c>
      <c r="AW199" s="23" t="str">
        <f t="shared" si="127"/>
        <v xml:space="preserve">I.: </v>
      </c>
      <c r="AX199" s="23" t="str">
        <f t="shared" si="128"/>
        <v>ENBT200:1:I.Data[85].28</v>
      </c>
      <c r="AY199" s="36" t="str">
        <f t="shared" si="129"/>
        <v xml:space="preserve">Controller: &lt;I0201N51.b125&gt; - </v>
      </c>
      <c r="BB199" s="42" t="s">
        <v>17</v>
      </c>
      <c r="BC199" t="s">
        <v>16</v>
      </c>
      <c r="BD199" t="str">
        <f t="shared" si="98"/>
        <v>AB_RACKx_SLOTa</v>
      </c>
      <c r="BV199" s="30" t="s">
        <v>721</v>
      </c>
      <c r="BW199" t="str">
        <f t="shared" si="100"/>
        <v>DO[125]</v>
      </c>
      <c r="BX199" t="s">
        <v>709</v>
      </c>
      <c r="BY199" s="42"/>
      <c r="CB199" s="42"/>
      <c r="CE199" s="30"/>
      <c r="CH199" s="42"/>
      <c r="CJ199" t="str">
        <f>Prep!$U$3&amp;":I.Data["&amp;Prep!$U$7+3&amp;"]."</f>
        <v>ENBT200:1:I.Data[85].</v>
      </c>
      <c r="CK199">
        <v>28</v>
      </c>
      <c r="CM199" t="s">
        <v>75</v>
      </c>
      <c r="CN199" s="30" t="str">
        <f>"I0"&amp;Header_Config03&amp;"N"&amp;TEXT(Prep!$U$6,"00")&amp;"."</f>
        <v>I0201N51.</v>
      </c>
      <c r="CO199" t="s">
        <v>722</v>
      </c>
      <c r="CP199" t="s">
        <v>12</v>
      </c>
      <c r="CQ199" s="40"/>
      <c r="CR199" s="30" t="s">
        <v>723</v>
      </c>
    </row>
    <row r="200" spans="2:96" x14ac:dyDescent="0.35">
      <c r="B200" s="4" t="str">
        <f t="shared" si="101"/>
        <v>FANUC_SxxRyy</v>
      </c>
      <c r="C200" s="4"/>
      <c r="D200" s="4" t="str">
        <f t="shared" si="102"/>
        <v>To_PLC_AppErrorBit32</v>
      </c>
      <c r="E200" s="4" t="str">
        <f t="shared" si="103"/>
        <v>ENBT200:1:I.Data[85].29</v>
      </c>
      <c r="F200" s="4" t="str">
        <f t="shared" si="104"/>
        <v>I</v>
      </c>
      <c r="G200" s="4" t="str">
        <f t="shared" si="105"/>
        <v/>
      </c>
      <c r="H200" s="4" t="str">
        <f t="shared" si="106"/>
        <v>Controller: &lt;I0201N51.b126&gt; - APP ERROR BIT 32 DO126</v>
      </c>
      <c r="I200" s="4" t="str">
        <f t="shared" si="107"/>
        <v>AB_RACKx_SLOTa</v>
      </c>
      <c r="J200" s="4"/>
      <c r="K200" s="56" t="str">
        <f t="shared" si="108"/>
        <v>BOOL</v>
      </c>
      <c r="L200" s="56" t="str">
        <f t="shared" si="4"/>
        <v>ROBOTS\SxxRyy</v>
      </c>
      <c r="M200" s="56" t="str">
        <f t="shared" si="5"/>
        <v>STELLANTIS\Common\ToolPrototype\Robots</v>
      </c>
      <c r="N200" s="56" t="str">
        <f t="shared" si="6"/>
        <v>STELLANTIS_DN_FANUC_ROBOT_128_BIT_INTEGRATED_SAFETY_SxxRyy.v00</v>
      </c>
      <c r="O200" s="56" t="str">
        <f t="shared" si="109"/>
        <v/>
      </c>
      <c r="P200" s="56" t="str">
        <f t="shared" si="110"/>
        <v/>
      </c>
      <c r="Q200" s="56" t="str">
        <f t="shared" si="111"/>
        <v/>
      </c>
      <c r="R200" s="56" t="str">
        <f t="shared" si="112"/>
        <v/>
      </c>
      <c r="S200" s="56" t="str">
        <f t="shared" si="113"/>
        <v/>
      </c>
      <c r="T200" s="56" t="str">
        <f t="shared" si="114"/>
        <v/>
      </c>
      <c r="U200" s="56" t="str">
        <f t="shared" si="115"/>
        <v/>
      </c>
      <c r="V200" s="56" t="str">
        <f t="shared" si="116"/>
        <v/>
      </c>
      <c r="W200" s="56"/>
      <c r="X200" s="56"/>
      <c r="Y200" s="56"/>
      <c r="Z200" s="56" t="str">
        <f t="shared" si="117"/>
        <v/>
      </c>
      <c r="AA200" s="56" t="str">
        <f t="shared" si="118"/>
        <v/>
      </c>
      <c r="AB200" s="56" t="str">
        <f t="shared" si="9"/>
        <v>ToolPrototype</v>
      </c>
      <c r="AC200" s="56" t="str">
        <f t="shared" si="119"/>
        <v/>
      </c>
      <c r="AD200" s="56" t="str">
        <f t="shared" si="10"/>
        <v>&lt;device&gt;
&lt;name&gt;SxxRyy&lt;/name&gt;
&lt;type&gt;FCA_DN_FANUC&lt;/type&gt;
&lt;deviceNetwork&gt;201&lt;/deviceNetwork&gt;
&lt;deviceNode&gt;56&lt;/deviceNode&gt;
&lt;/device&gt;</v>
      </c>
      <c r="AE200" s="56" t="str">
        <f t="shared" si="11"/>
        <v/>
      </c>
      <c r="AF200" s="56" t="str">
        <f t="shared" si="12"/>
        <v/>
      </c>
      <c r="AG200" s="56" t="str">
        <f t="shared" si="13"/>
        <v/>
      </c>
      <c r="AH200" s="56" t="str">
        <f t="shared" si="14"/>
        <v/>
      </c>
      <c r="AI200" s="56" t="str">
        <f t="shared" si="15"/>
        <v/>
      </c>
      <c r="AJ200" s="56" t="str">
        <f t="shared" si="16"/>
        <v/>
      </c>
      <c r="AK200" s="56" t="str">
        <f t="shared" si="17"/>
        <v/>
      </c>
      <c r="AL200" s="56" t="str">
        <f t="shared" si="18"/>
        <v/>
      </c>
      <c r="AM200" s="56" t="str">
        <f t="shared" si="19"/>
        <v/>
      </c>
      <c r="AN200" s="56" t="str">
        <f t="shared" si="120"/>
        <v/>
      </c>
      <c r="AO200" s="56" t="str">
        <f t="shared" si="121"/>
        <v/>
      </c>
      <c r="AP200" s="56" t="str">
        <f t="shared" si="122"/>
        <v>PLC</v>
      </c>
      <c r="AQ200" s="56" t="str">
        <f t="shared" si="123"/>
        <v>EXIT</v>
      </c>
      <c r="AR200" s="39" t="s">
        <v>130</v>
      </c>
      <c r="AT200" s="44" t="str">
        <f t="shared" si="124"/>
        <v>BOOL</v>
      </c>
      <c r="AU200" s="23">
        <f t="shared" si="125"/>
        <v>0</v>
      </c>
      <c r="AV200" s="23" t="str">
        <f t="shared" si="126"/>
        <v>I</v>
      </c>
      <c r="AW200" s="23" t="str">
        <f t="shared" si="127"/>
        <v xml:space="preserve">I.: </v>
      </c>
      <c r="AX200" s="23" t="str">
        <f t="shared" si="128"/>
        <v>ENBT200:1:I.Data[85].29</v>
      </c>
      <c r="AY200" s="36" t="str">
        <f t="shared" si="129"/>
        <v xml:space="preserve">Controller: &lt;I0201N51.b126&gt; - </v>
      </c>
      <c r="BB200" s="42" t="s">
        <v>17</v>
      </c>
      <c r="BC200" t="s">
        <v>16</v>
      </c>
      <c r="BD200" t="str">
        <f t="shared" si="98"/>
        <v>AB_RACKx_SLOTa</v>
      </c>
      <c r="BV200" s="30" t="s">
        <v>724</v>
      </c>
      <c r="BW200" t="str">
        <f t="shared" si="100"/>
        <v>DO[126]</v>
      </c>
      <c r="BX200" t="s">
        <v>709</v>
      </c>
      <c r="BY200" s="42"/>
      <c r="CB200" s="42"/>
      <c r="CE200" s="30"/>
      <c r="CH200" s="42"/>
      <c r="CJ200" t="str">
        <f>Prep!$U$3&amp;":I.Data["&amp;Prep!$U$7+3&amp;"]."</f>
        <v>ENBT200:1:I.Data[85].</v>
      </c>
      <c r="CK200">
        <v>29</v>
      </c>
      <c r="CM200" t="s">
        <v>75</v>
      </c>
      <c r="CN200" s="30" t="str">
        <f>"I0"&amp;Header_Config03&amp;"N"&amp;TEXT(Prep!$U$6,"00")&amp;"."</f>
        <v>I0201N51.</v>
      </c>
      <c r="CO200" t="s">
        <v>725</v>
      </c>
      <c r="CP200" t="s">
        <v>12</v>
      </c>
      <c r="CQ200" s="40"/>
      <c r="CR200" s="30" t="s">
        <v>726</v>
      </c>
    </row>
    <row r="201" spans="2:96" x14ac:dyDescent="0.35">
      <c r="B201" s="4" t="str">
        <f t="shared" si="101"/>
        <v>FANUC_SxxRyy</v>
      </c>
      <c r="C201" s="4"/>
      <c r="D201" s="4" t="str">
        <f t="shared" si="102"/>
        <v>To_PLC_AppErrorBit64</v>
      </c>
      <c r="E201" s="4" t="str">
        <f t="shared" si="103"/>
        <v>ENBT200:1:I.Data[85].30</v>
      </c>
      <c r="F201" s="4" t="str">
        <f t="shared" si="104"/>
        <v>I</v>
      </c>
      <c r="G201" s="4" t="str">
        <f t="shared" si="105"/>
        <v/>
      </c>
      <c r="H201" s="4" t="str">
        <f t="shared" si="106"/>
        <v>Controller: &lt;I0201N51.b127&gt; - APP ERROR BIT 64 DO127</v>
      </c>
      <c r="I201" s="4" t="str">
        <f t="shared" si="107"/>
        <v>AB_RACKx_SLOTa</v>
      </c>
      <c r="J201" s="4"/>
      <c r="K201" s="56" t="str">
        <f t="shared" si="108"/>
        <v>BOOL</v>
      </c>
      <c r="L201" s="56" t="str">
        <f t="shared" si="4"/>
        <v>ROBOTS\SxxRyy</v>
      </c>
      <c r="M201" s="56" t="str">
        <f t="shared" si="5"/>
        <v>STELLANTIS\Common\ToolPrototype\Robots</v>
      </c>
      <c r="N201" s="56" t="str">
        <f t="shared" si="6"/>
        <v>STELLANTIS_DN_FANUC_ROBOT_128_BIT_INTEGRATED_SAFETY_SxxRyy.v00</v>
      </c>
      <c r="O201" s="56" t="str">
        <f t="shared" si="109"/>
        <v/>
      </c>
      <c r="P201" s="56" t="str">
        <f t="shared" si="110"/>
        <v/>
      </c>
      <c r="Q201" s="56" t="str">
        <f t="shared" si="111"/>
        <v/>
      </c>
      <c r="R201" s="56" t="str">
        <f t="shared" si="112"/>
        <v/>
      </c>
      <c r="S201" s="56" t="str">
        <f t="shared" si="113"/>
        <v/>
      </c>
      <c r="T201" s="56" t="str">
        <f t="shared" si="114"/>
        <v/>
      </c>
      <c r="U201" s="56" t="str">
        <f t="shared" si="115"/>
        <v/>
      </c>
      <c r="V201" s="56" t="str">
        <f t="shared" si="116"/>
        <v/>
      </c>
      <c r="W201" s="56"/>
      <c r="X201" s="56"/>
      <c r="Y201" s="56"/>
      <c r="Z201" s="56" t="str">
        <f t="shared" si="117"/>
        <v/>
      </c>
      <c r="AA201" s="56" t="str">
        <f t="shared" si="118"/>
        <v/>
      </c>
      <c r="AB201" s="56" t="str">
        <f t="shared" si="9"/>
        <v>ToolPrototype</v>
      </c>
      <c r="AC201" s="56" t="str">
        <f t="shared" si="119"/>
        <v/>
      </c>
      <c r="AD201" s="56" t="str">
        <f t="shared" si="10"/>
        <v>&lt;device&gt;
&lt;name&gt;SxxRyy&lt;/name&gt;
&lt;type&gt;FCA_DN_FANUC&lt;/type&gt;
&lt;deviceNetwork&gt;201&lt;/deviceNetwork&gt;
&lt;deviceNode&gt;56&lt;/deviceNode&gt;
&lt;/device&gt;</v>
      </c>
      <c r="AE201" s="56" t="str">
        <f t="shared" si="11"/>
        <v/>
      </c>
      <c r="AF201" s="56" t="str">
        <f t="shared" si="12"/>
        <v/>
      </c>
      <c r="AG201" s="56" t="str">
        <f t="shared" si="13"/>
        <v/>
      </c>
      <c r="AH201" s="56" t="str">
        <f t="shared" si="14"/>
        <v/>
      </c>
      <c r="AI201" s="56" t="str">
        <f t="shared" si="15"/>
        <v/>
      </c>
      <c r="AJ201" s="56" t="str">
        <f t="shared" si="16"/>
        <v/>
      </c>
      <c r="AK201" s="56" t="str">
        <f t="shared" si="17"/>
        <v/>
      </c>
      <c r="AL201" s="56" t="str">
        <f t="shared" si="18"/>
        <v/>
      </c>
      <c r="AM201" s="56" t="str">
        <f t="shared" si="19"/>
        <v/>
      </c>
      <c r="AN201" s="56" t="str">
        <f t="shared" si="120"/>
        <v/>
      </c>
      <c r="AO201" s="56" t="str">
        <f t="shared" si="121"/>
        <v/>
      </c>
      <c r="AP201" s="56" t="str">
        <f t="shared" si="122"/>
        <v>PLC</v>
      </c>
      <c r="AQ201" s="56" t="str">
        <f t="shared" si="123"/>
        <v>EXIT</v>
      </c>
      <c r="AR201" s="39" t="s">
        <v>130</v>
      </c>
      <c r="AT201" s="44" t="str">
        <f t="shared" si="124"/>
        <v>BOOL</v>
      </c>
      <c r="AU201" s="23">
        <f t="shared" si="125"/>
        <v>0</v>
      </c>
      <c r="AV201" s="23" t="str">
        <f t="shared" si="126"/>
        <v>I</v>
      </c>
      <c r="AW201" s="23" t="str">
        <f t="shared" si="127"/>
        <v xml:space="preserve">I.: </v>
      </c>
      <c r="AX201" s="23" t="str">
        <f t="shared" si="128"/>
        <v>ENBT200:1:I.Data[85].30</v>
      </c>
      <c r="AY201" s="36" t="str">
        <f t="shared" si="129"/>
        <v xml:space="preserve">Controller: &lt;I0201N51.b127&gt; - </v>
      </c>
      <c r="BB201" s="42" t="s">
        <v>17</v>
      </c>
      <c r="BC201" t="s">
        <v>16</v>
      </c>
      <c r="BD201" t="str">
        <f t="shared" si="98"/>
        <v>AB_RACKx_SLOTa</v>
      </c>
      <c r="BV201" s="30" t="s">
        <v>727</v>
      </c>
      <c r="BW201" t="str">
        <f t="shared" si="100"/>
        <v>DO[127]</v>
      </c>
      <c r="BX201" t="s">
        <v>709</v>
      </c>
      <c r="BY201" s="42"/>
      <c r="CB201" s="42"/>
      <c r="CE201" s="30"/>
      <c r="CH201" s="42"/>
      <c r="CJ201" t="str">
        <f>Prep!$U$3&amp;":I.Data["&amp;Prep!$U$7+3&amp;"]."</f>
        <v>ENBT200:1:I.Data[85].</v>
      </c>
      <c r="CK201">
        <v>30</v>
      </c>
      <c r="CM201" t="s">
        <v>75</v>
      </c>
      <c r="CN201" s="30" t="str">
        <f>"I0"&amp;Header_Config03&amp;"N"&amp;TEXT(Prep!$U$6,"00")&amp;"."</f>
        <v>I0201N51.</v>
      </c>
      <c r="CO201" t="s">
        <v>728</v>
      </c>
      <c r="CP201" t="s">
        <v>12</v>
      </c>
      <c r="CQ201" s="40"/>
      <c r="CR201" s="30" t="s">
        <v>729</v>
      </c>
    </row>
    <row r="202" spans="2:96" x14ac:dyDescent="0.35">
      <c r="B202" s="4" t="str">
        <f t="shared" si="101"/>
        <v>FANUC_SxxRyy</v>
      </c>
      <c r="C202" s="4"/>
      <c r="D202" s="4" t="str">
        <f t="shared" si="102"/>
        <v>To_PLC_AppErrorBit128</v>
      </c>
      <c r="E202" s="4" t="str">
        <f t="shared" si="103"/>
        <v>ENBT200:1:I.Data[85].31</v>
      </c>
      <c r="F202" s="4" t="str">
        <f t="shared" si="104"/>
        <v>I</v>
      </c>
      <c r="G202" s="4" t="str">
        <f t="shared" si="105"/>
        <v/>
      </c>
      <c r="H202" s="4" t="str">
        <f t="shared" si="106"/>
        <v>Controller: &lt;I0201N51.b128&gt; - APP ERROR BIT 128 DO128</v>
      </c>
      <c r="I202" s="4" t="str">
        <f t="shared" si="107"/>
        <v>AB_RACKx_SLOTa</v>
      </c>
      <c r="J202" s="4"/>
      <c r="K202" s="56" t="str">
        <f t="shared" si="108"/>
        <v>BOOL</v>
      </c>
      <c r="L202" s="56" t="str">
        <f t="shared" si="4"/>
        <v>ROBOTS\SxxRyy</v>
      </c>
      <c r="M202" s="56" t="str">
        <f t="shared" si="5"/>
        <v>STELLANTIS\Common\ToolPrototype\Robots</v>
      </c>
      <c r="N202" s="56" t="str">
        <f t="shared" si="6"/>
        <v>STELLANTIS_DN_FANUC_ROBOT_128_BIT_INTEGRATED_SAFETY_SxxRyy.v00</v>
      </c>
      <c r="O202" s="56" t="str">
        <f t="shared" si="109"/>
        <v/>
      </c>
      <c r="P202" s="56" t="str">
        <f t="shared" si="110"/>
        <v/>
      </c>
      <c r="Q202" s="56" t="str">
        <f t="shared" si="111"/>
        <v/>
      </c>
      <c r="R202" s="56" t="str">
        <f t="shared" si="112"/>
        <v/>
      </c>
      <c r="S202" s="56" t="str">
        <f t="shared" si="113"/>
        <v/>
      </c>
      <c r="T202" s="56" t="str">
        <f t="shared" si="114"/>
        <v/>
      </c>
      <c r="U202" s="56" t="str">
        <f t="shared" si="115"/>
        <v/>
      </c>
      <c r="V202" s="56" t="str">
        <f t="shared" si="116"/>
        <v/>
      </c>
      <c r="W202" s="56"/>
      <c r="X202" s="56"/>
      <c r="Y202" s="56"/>
      <c r="Z202" s="56" t="str">
        <f t="shared" si="117"/>
        <v/>
      </c>
      <c r="AA202" s="56" t="str">
        <f t="shared" si="118"/>
        <v/>
      </c>
      <c r="AB202" s="56" t="str">
        <f t="shared" si="9"/>
        <v>ToolPrototype</v>
      </c>
      <c r="AC202" s="56" t="str">
        <f t="shared" si="119"/>
        <v/>
      </c>
      <c r="AD202" s="56" t="str">
        <f t="shared" si="10"/>
        <v>&lt;device&gt;
&lt;name&gt;SxxRyy&lt;/name&gt;
&lt;type&gt;FCA_DN_FANUC&lt;/type&gt;
&lt;deviceNetwork&gt;201&lt;/deviceNetwork&gt;
&lt;deviceNode&gt;56&lt;/deviceNode&gt;
&lt;/device&gt;</v>
      </c>
      <c r="AE202" s="56" t="str">
        <f t="shared" si="11"/>
        <v/>
      </c>
      <c r="AF202" s="56" t="str">
        <f t="shared" si="12"/>
        <v/>
      </c>
      <c r="AG202" s="56" t="str">
        <f t="shared" si="13"/>
        <v/>
      </c>
      <c r="AH202" s="56" t="str">
        <f t="shared" si="14"/>
        <v/>
      </c>
      <c r="AI202" s="56" t="str">
        <f t="shared" si="15"/>
        <v/>
      </c>
      <c r="AJ202" s="56" t="str">
        <f t="shared" si="16"/>
        <v/>
      </c>
      <c r="AK202" s="56" t="str">
        <f t="shared" si="17"/>
        <v/>
      </c>
      <c r="AL202" s="56" t="str">
        <f t="shared" si="18"/>
        <v/>
      </c>
      <c r="AM202" s="56" t="str">
        <f t="shared" si="19"/>
        <v/>
      </c>
      <c r="AN202" s="56" t="str">
        <f t="shared" si="120"/>
        <v/>
      </c>
      <c r="AO202" s="56" t="str">
        <f t="shared" si="121"/>
        <v/>
      </c>
      <c r="AP202" s="56" t="str">
        <f t="shared" si="122"/>
        <v>PLC</v>
      </c>
      <c r="AQ202" s="56" t="str">
        <f t="shared" si="123"/>
        <v>EXIT</v>
      </c>
      <c r="AR202" s="39" t="s">
        <v>130</v>
      </c>
      <c r="AT202" s="44" t="str">
        <f t="shared" si="124"/>
        <v>BOOL</v>
      </c>
      <c r="AU202" s="23">
        <f t="shared" si="125"/>
        <v>0</v>
      </c>
      <c r="AV202" s="23" t="str">
        <f t="shared" si="126"/>
        <v>I</v>
      </c>
      <c r="AW202" s="23" t="str">
        <f t="shared" si="127"/>
        <v xml:space="preserve">I.: </v>
      </c>
      <c r="AX202" s="23" t="str">
        <f t="shared" si="128"/>
        <v>ENBT200:1:I.Data[85].31</v>
      </c>
      <c r="AY202" s="36" t="str">
        <f t="shared" si="129"/>
        <v xml:space="preserve">Controller: &lt;I0201N51.b128&gt; - </v>
      </c>
      <c r="BB202" s="42" t="s">
        <v>17</v>
      </c>
      <c r="BC202" t="s">
        <v>16</v>
      </c>
      <c r="BD202" t="str">
        <f t="shared" si="98"/>
        <v>AB_RACKx_SLOTa</v>
      </c>
      <c r="BV202" s="30" t="s">
        <v>730</v>
      </c>
      <c r="BW202" t="str">
        <f t="shared" ref="BW202" si="133">"DO["&amp;VALUE(MID(CO202,2,3))&amp;"]"</f>
        <v>DO[128]</v>
      </c>
      <c r="BX202" t="s">
        <v>709</v>
      </c>
      <c r="BY202" s="42"/>
      <c r="CB202" s="42"/>
      <c r="CE202" s="30"/>
      <c r="CH202" s="42"/>
      <c r="CJ202" t="str">
        <f>Prep!$U$3&amp;":I.Data["&amp;Prep!$U$7+3&amp;"]."</f>
        <v>ENBT200:1:I.Data[85].</v>
      </c>
      <c r="CK202">
        <v>31</v>
      </c>
      <c r="CM202" t="s">
        <v>75</v>
      </c>
      <c r="CN202" s="30" t="str">
        <f>"I0"&amp;Header_Config03&amp;"N"&amp;TEXT(Prep!$U$6,"00")&amp;"."</f>
        <v>I0201N51.</v>
      </c>
      <c r="CO202" t="s">
        <v>731</v>
      </c>
      <c r="CP202" t="s">
        <v>12</v>
      </c>
      <c r="CQ202" s="40"/>
      <c r="CR202" s="30" t="s">
        <v>732</v>
      </c>
    </row>
    <row r="203" spans="2:96" x14ac:dyDescent="0.35">
      <c r="B203" s="4" t="str">
        <f t="shared" ref="B203" si="134">IF(LEN(BT203)=0,Header_LB_Name,"&lt;BLANK&gt;")</f>
        <v>FANUC_SxxRyy</v>
      </c>
      <c r="C203" s="4"/>
      <c r="D203" s="4" t="str">
        <f t="shared" ref="D203" si="135">IF(BC203="CUSTOM",BV203,IF(BB203="ENTRY","From_",IF(BB203="EXIT","To_","&lt;invalid&gt;"))&amp;IF(OR(BC203="RBT",BC203="KEY",BC203="SNS"),IF(BE203="",BC203,BC203&amp;"_"&amp;BE203),IF(BC203="OPR",IF(BE203="",BC203&amp;"_"&amp;BD203,BC203&amp;"_"&amp;BE203),IF(BC203="LBS",IF(BE203="",BD203,BE203),BC203)))&amp;"_"&amp;IF(BC203="OPR",IF(BB203="ENTRY","end",IF(BB203="EXIT","start","&lt;invalid&gt;")),BV203))</f>
        <v>To_RBT_emergencyStop</v>
      </c>
      <c r="E203" s="4" t="str">
        <f t="shared" ref="E203" si="136">IF(OR(BC203="PLC",BC203="PSF"),IF(Header_PLC_Type="CLX",AX203,IF(LEFT(Header_PLC_Type,2)="S7",AU203,"&lt;invalid PLC type&gt;")),IF(BB203="ENTRY",IF(BC203="LBS",IF(BD203&lt;&gt;"",IF(BF203="",BC203&amp;"_"&amp;BD203&amp;"_To_"&amp;B203&amp;"_"&amp;BV203,BC203&amp;"_"&amp;BD203&amp;"_To_"&amp;BF203&amp;"_"&amp;BV203),"&lt;missing other LB/group name&gt;"),IF(OR(BC203="SNS",BC203="KEY"),IF(BD203&lt;&gt;"",BC203&amp;"_"&amp;BD203&amp;"_"&amp;BV203,"&lt;missing unique identifier&gt;"),IF(OR(BC203="RBT",BC203="OPR"),IF(BD203&lt;&gt;"",BD203&amp;"_"&amp;IF(BC203="OPR","end",IF(BG203&lt;&gt;"",BG203,BV203)),"&lt;missing unique identifier&gt;"),IF(BC203="CUSTOM",BD203,"&lt;invalid connection&gt;")))),IF(BB203="EXIT",IF(BC203="LBS",IF(BD203&lt;&gt;"",BC203&amp;"_"&amp;B203&amp;"_To_"&amp;BD203&amp;"_"&amp;BV203,"&lt;missing other LB/group name&gt;"),IF(OR(BC203="RBT",BC203="OPR"),IF(BD203&lt;&gt;"",BD203&amp;"_"&amp;IF(BC203="OPR","start",IF(BG203&lt;&gt;"",BG203,BV203)),"&lt;missing unique identifier&gt;"),IF(BC203="CUSTOM",BD203,"&lt;invalid connection (sensor or key signal can't be exit)&gt;"))),"&lt;invalid entry/exit&gt;")))</f>
        <v>SxxRyy_emergencyStop</v>
      </c>
      <c r="F203" s="4" t="str">
        <f t="shared" ref="F203" si="137">IF(BC203="CUSTOM",BE203,IF(OR(AND(BB203="ENTRY",OR(BC203="PLC",BC203="PSF")),AND(BB203="EXIT",OR(BC203="RBT",BC203="OPR"))),"Q","I"))</f>
        <v>Q</v>
      </c>
      <c r="G203" s="4" t="str">
        <f t="shared" ref="G203" si="138">IF(Header_PLC_Type="S7-ADD",IF(OR(BC203="PSF",BC203="PLC"),IF(BY203&lt;&gt;"",IF(AT203="BOOL",BY203&amp;"."&amp;BZ203,BY203),"&lt;missing&gt;"),""),"")</f>
        <v/>
      </c>
      <c r="H203" s="4" t="str">
        <f t="shared" ref="H203" si="139">IF(OR(BC203="PLC",BC203="PSF"),IF(Header_PLC_Type="CLX",AY203&amp;CR203,IF(LEFT(Header_PLC_Type,2)="S7",AW203&amp;CE203,"&lt;invalid PLC type&gt;")),IF(Header_PLC_Type="CLX",IF(CR203&lt;&gt;"",CR203,""),IF(LEFT(Header_PLC_Type,2)="S7",IF(CE203&lt;&gt;"",CE203,""),"&lt;invalid PLC type&gt;")))</f>
        <v>(Program Emergency Stop)</v>
      </c>
      <c r="I203" s="4" t="str">
        <f t="shared" ref="I203" si="140">IF(OR(BC203="PLC",BC203="PSF"),BD203,IF(AND(BC203="CUSTOM",BF203&lt;&gt;""),BF203,""))</f>
        <v/>
      </c>
      <c r="J203" s="4"/>
      <c r="K203" s="56" t="str">
        <f t="shared" ref="K203" si="141">AT203</f>
        <v>BOOL</v>
      </c>
      <c r="L203" s="56" t="str">
        <f t="shared" si="4"/>
        <v>ROBOTS\SxxRyy</v>
      </c>
      <c r="M203" s="56" t="str">
        <f t="shared" si="5"/>
        <v>STELLANTIS\Common\ToolPrototype\Robots</v>
      </c>
      <c r="N203" s="56" t="str">
        <f t="shared" si="6"/>
        <v>STELLANTIS_DN_FANUC_ROBOT_128_BIT_INTEGRATED_SAFETY_SxxRyy.v00</v>
      </c>
      <c r="O203" s="56" t="str">
        <f t="shared" ref="O203" si="142">IF(AND(OR(BC203="SNS",BC203="OPR",BC203="RBT"),BF203&lt;&gt;""),BF203,IF(OR(BC203="PSF",BC203="PLC"),IF(BB203="ENTRY",IF(OR(ISLOGICAL(BF203),ISNUMBER(BF203)),LOWER(TEXT(BF203,"General")),IF((ISTEXT(BF203)),"CEE_To_VC_"&amp;BE203&amp;"_"&amp;BF203,"")),IF((ISTEXT(BF203)),"CEE_From_VC_"&amp;BE203&amp;"_"&amp;BF203,"")),IF(BC203="CUSTOM",IF(BH203&lt;&gt;"",BH203,""),"")))</f>
        <v/>
      </c>
      <c r="P203" s="56" t="str">
        <f t="shared" ref="P203" si="143">IF(OR(BC203="SNS",BC203="OPR"),IF(BG203&lt;&gt;"",BG203,""),IF(BC203="RBT",BD203,IF(BC203="CUSTOM",IF(BG203&lt;&gt;"",BG203,""),"")))</f>
        <v>SxxRyy</v>
      </c>
      <c r="Q203" s="56" t="str">
        <f t="shared" ref="Q203" si="144">IF(BC203="OPR",IF(BV203&lt;&gt;"",BV203,"NONSIM"),IF(BC203="RBT",IF(BH203&lt;&gt;"",BH203,""),IF(BC203="SNS",IF(BH203&lt;&gt;"",BH203,L203),IF(OR(BC203="PLC",BC203="PSF"),IF(BG203&lt;&gt;"",BG203,""),""))))</f>
        <v/>
      </c>
      <c r="R203" s="56" t="str">
        <f t="shared" ref="R203" si="145">IF(OR(BC203="PLC",BC203="PSF",BC203="OPR"),IF(BH203&lt;&gt;"",BH203,""),IF(BC203="RBT",IF(BI203&lt;&gt;"",BI203,""),IF(BC203="SNS",IF(BI203&lt;&gt;"",BI203,"PHOTOELECTRIC"),"")))</f>
        <v>SxxRyy</v>
      </c>
      <c r="S203" s="56" t="str">
        <f t="shared" ref="S203" si="146">IF(OR(BC203="PLC",BC203="PSF",BC203="OPR",AND(BC203="CUSTOM",OR(BU203="PLC",BU203="PSF"))),IF(BI203&lt;&gt;"",BI203,""),IF(BC203="SNS",IF(BJ203&lt;&gt;"",BJ203,""),""))</f>
        <v/>
      </c>
      <c r="T203" s="56" t="str">
        <f t="shared" ref="T203" si="147">IF(AND(Header_PLC_Type="CLX",BC203="PSF",BB203="EXIT"),CJ203&amp;CK203,IF(BC203="OPR",IF(BJ203&lt;&gt;"",BJ203,""),""))</f>
        <v/>
      </c>
      <c r="U203" s="56" t="str">
        <f t="shared" ref="U203" si="148">IF(OR(BC203="SNS",BC203="OPR"),IF(BK203&lt;&gt;"",BK203,""),"")</f>
        <v/>
      </c>
      <c r="V203" s="56" t="str">
        <f t="shared" ref="V203" si="149">IF(OR(BC203="SNS",BC203="OPR"),IF(BL203&lt;&gt;"",BL203,""),"")</f>
        <v/>
      </c>
      <c r="W203" s="56"/>
      <c r="X203" s="56"/>
      <c r="Y203" s="56"/>
      <c r="Z203" s="56" t="str">
        <f t="shared" ref="Z203" si="150">IF(BP203="","",BP203)</f>
        <v/>
      </c>
      <c r="AA203" s="56" t="str">
        <f t="shared" ref="AA203" si="151">IF($BQ203="","",$BQ203)</f>
        <v/>
      </c>
      <c r="AB203" s="56" t="str">
        <f t="shared" si="9"/>
        <v>ToolPrototype</v>
      </c>
      <c r="AC203" s="56" t="str">
        <f t="shared" ref="AC203" si="152">IF(ISBLANK(BT203),"","Optional")</f>
        <v/>
      </c>
      <c r="AD203" s="56" t="str">
        <f t="shared" si="10"/>
        <v>&lt;device&gt;
&lt;name&gt;SxxRyy&lt;/name&gt;
&lt;type&gt;FCA_DN_FANUC&lt;/type&gt;
&lt;deviceNetwork&gt;201&lt;/deviceNetwork&gt;
&lt;deviceNode&gt;56&lt;/deviceNode&gt;
&lt;/device&gt;</v>
      </c>
      <c r="AE203" s="56" t="str">
        <f t="shared" si="11"/>
        <v/>
      </c>
      <c r="AF203" s="56" t="str">
        <f t="shared" si="12"/>
        <v/>
      </c>
      <c r="AG203" s="56" t="str">
        <f t="shared" si="13"/>
        <v/>
      </c>
      <c r="AH203" s="56" t="str">
        <f t="shared" si="14"/>
        <v/>
      </c>
      <c r="AI203" s="56" t="str">
        <f t="shared" si="15"/>
        <v/>
      </c>
      <c r="AJ203" s="56" t="str">
        <f t="shared" si="16"/>
        <v/>
      </c>
      <c r="AK203" s="56" t="str">
        <f t="shared" si="17"/>
        <v/>
      </c>
      <c r="AL203" s="56" t="str">
        <f t="shared" si="18"/>
        <v/>
      </c>
      <c r="AM203" s="56" t="str">
        <f t="shared" si="19"/>
        <v/>
      </c>
      <c r="AN203" s="56" t="str">
        <f t="shared" ref="AN203:AO203" si="153">IF(BR203&lt;&gt;"",BR203,"")</f>
        <v/>
      </c>
      <c r="AO203" s="56" t="str">
        <f t="shared" si="153"/>
        <v/>
      </c>
      <c r="AP203" s="56" t="str">
        <f t="shared" ref="AP203" si="154">IF(BC203&lt;&gt;"CUSTOM",BC203,BU203)</f>
        <v>RBT</v>
      </c>
      <c r="AQ203" s="56" t="str">
        <f t="shared" ref="AQ203" si="155">BB203</f>
        <v>EXIT</v>
      </c>
      <c r="AR203" s="39" t="s">
        <v>130</v>
      </c>
      <c r="AT203" s="44" t="str">
        <f t="shared" ref="AT203" si="156">IF(Header_PLC_Type="CLX",IF(CP203&lt;&gt;"",CP203,"&lt;noType&gt;"),IF(LEFT(Header_PLC_Type,2)="S7",IF(CD203&lt;&gt;"",CD203,"&lt;noType&gt;"),"&lt;noPLC&gt;"))</f>
        <v>BOOL</v>
      </c>
      <c r="AU203" s="23" t="str">
        <f t="shared" ref="AU203" si="157">IF(OR(BC203="PLC",BC203="PSF"),CA203,"")</f>
        <v/>
      </c>
      <c r="AV203" s="23" t="str">
        <f t="shared" ref="AV203" si="158">IF(OR(BC203="PLC",BC203="PSF"),IF(AT203="BOOL",F203,IF(AT203="BYTE",F203&amp;"B",IF(OR(AT203="WORD",AT203="INT"),F203&amp;"W",IF(OR(AT203="DWORD",AT203="DINT",AT203="REAL"),F203&amp;"D","&lt;invalid&gt;")))),"")</f>
        <v/>
      </c>
      <c r="AW203" s="23" t="str">
        <f t="shared" ref="AW203" si="159">IF(OR(BC203="PLC",BC203="PSF"),""&amp;AV203&amp;IF(AT203="BOOL",BY203&amp;"."&amp;BZ203,BY203)&amp; IF(CA203&lt;&gt;"",": &lt;"&amp;CA203&amp;"&gt; - ",": "),"")</f>
        <v/>
      </c>
      <c r="AX203" s="23" t="str">
        <f t="shared" ref="AX203" si="160">IF(OR(BC203="PLC",BC203="PSF"),IF(AND(BB203="EXIT",BC203="PSF"),CH203&amp;SUBSTITUTE(CJ203,":","_")&amp;CK203,CJ203&amp;CK203),"")</f>
        <v/>
      </c>
      <c r="AY203" s="36" t="str">
        <f t="shared" ref="AY203" si="161">IF(OR(BC203="PLC",BC203="PSF"),IF(CM203&lt;&gt;"",CM203 &amp; ": &lt;" &amp; CN203&amp;CO203 &amp; "&gt; - ","Controller: &lt;"&amp;CJ203&amp;CK203&amp;"&gt; - "),"")</f>
        <v/>
      </c>
      <c r="BB203" s="42" t="s">
        <v>17</v>
      </c>
      <c r="BC203" t="s">
        <v>62</v>
      </c>
      <c r="BD203" t="str">
        <f t="shared" ref="BD203:BD211" si="162">Header_LB_Unique_ID</f>
        <v>SxxRyy</v>
      </c>
      <c r="BI203" t="str">
        <f>Header_Config02</f>
        <v>SxxRyy</v>
      </c>
      <c r="BV203" s="30" t="s">
        <v>733</v>
      </c>
      <c r="BY203" s="42"/>
      <c r="CB203" s="42"/>
      <c r="CE203" s="30"/>
      <c r="CH203" s="42"/>
      <c r="CN203" s="30"/>
      <c r="CP203" t="s">
        <v>12</v>
      </c>
      <c r="CQ203" s="40"/>
      <c r="CR203" s="30" t="s">
        <v>734</v>
      </c>
    </row>
    <row r="204" spans="2:96" x14ac:dyDescent="0.35">
      <c r="B204" s="4" t="str">
        <f t="shared" ref="B204:B209" si="163">IF(LEN(BT204)=0,Header_LB_Name,"&lt;BLANK&gt;")</f>
        <v>FANUC_SxxRyy</v>
      </c>
      <c r="C204" s="4"/>
      <c r="D204" s="4" t="str">
        <f t="shared" ref="D204:D209" si="164">IF(BC204="CUSTOM",BV204,IF(BB204="ENTRY","From_",IF(BB204="EXIT","To_","&lt;invalid&gt;"))&amp;IF(OR(BC204="RBT",BC204="KEY",BC204="SNS"),IF(BE204="",BC204,BC204&amp;"_"&amp;BE204),IF(BC204="OPR",IF(BE204="",BC204&amp;"_"&amp;BD204,BC204&amp;"_"&amp;BE204),IF(BC204="LBS",IF(BE204="",BD204,BE204),BC204)))&amp;"_"&amp;IF(BC204="OPR",IF(BB204="ENTRY","end",IF(BB204="EXIT","start","&lt;invalid&gt;")),BV204))</f>
        <v>To_RBT_programPause</v>
      </c>
      <c r="E204" s="4" t="str">
        <f t="shared" ref="E204:E209" si="165">IF(OR(BC204="PLC",BC204="PSF"),IF(Header_PLC_Type="CLX",AX204,IF(LEFT(Header_PLC_Type,2)="S7",AU204,"&lt;invalid PLC type&gt;")),IF(BB204="ENTRY",IF(BC204="LBS",IF(BD204&lt;&gt;"",IF(BF204="",BC204&amp;"_"&amp;BD204&amp;"_To_"&amp;B204&amp;"_"&amp;BV204,BC204&amp;"_"&amp;BD204&amp;"_To_"&amp;BF204&amp;"_"&amp;BV204),"&lt;missing other LB/group name&gt;"),IF(OR(BC204="SNS",BC204="KEY"),IF(BD204&lt;&gt;"",BC204&amp;"_"&amp;BD204&amp;"_"&amp;BV204,"&lt;missing unique identifier&gt;"),IF(OR(BC204="RBT",BC204="OPR"),IF(BD204&lt;&gt;"",BD204&amp;"_"&amp;IF(BC204="OPR","end",IF(BG204&lt;&gt;"",BG204,BV204)),"&lt;missing unique identifier&gt;"),IF(BC204="CUSTOM",BD204,"&lt;invalid connection&gt;")))),IF(BB204="EXIT",IF(BC204="LBS",IF(BD204&lt;&gt;"",BC204&amp;"_"&amp;B204&amp;"_To_"&amp;BD204&amp;"_"&amp;BV204,"&lt;missing other LB/group name&gt;"),IF(OR(BC204="RBT",BC204="OPR"),IF(BD204&lt;&gt;"",BD204&amp;"_"&amp;IF(BC204="OPR","start",IF(BG204&lt;&gt;"",BG204,BV204)),"&lt;missing unique identifier&gt;"),IF(BC204="CUSTOM",BD204,"&lt;invalid connection (sensor or key signal can't be exit)&gt;"))),"&lt;invalid entry/exit&gt;")))</f>
        <v>SxxRyy_programPause</v>
      </c>
      <c r="F204" s="4" t="str">
        <f t="shared" ref="F204:F209" si="166">IF(BC204="CUSTOM",BE204,IF(OR(AND(BB204="ENTRY",OR(BC204="PLC",BC204="PSF")),AND(BB204="EXIT",OR(BC204="RBT",BC204="OPR"))),"Q","I"))</f>
        <v>Q</v>
      </c>
      <c r="G204" s="4" t="str">
        <f t="shared" ref="G204:G209" si="167">IF(Header_PLC_Type="S7-ADD",IF(OR(BC204="PSF",BC204="PLC"),IF(BY204&lt;&gt;"",IF(AT204="BOOL",BY204&amp;"."&amp;BZ204,BY204),"&lt;missing&gt;"),""),"")</f>
        <v/>
      </c>
      <c r="H204" s="4" t="str">
        <f t="shared" ref="H204:H209" si="168">IF(OR(BC204="PLC",BC204="PSF"),IF(Header_PLC_Type="CLX",AY204&amp;CR204,IF(LEFT(Header_PLC_Type,2)="S7",AW204&amp;CE204,"&lt;invalid PLC type&gt;")),IF(Header_PLC_Type="CLX",IF(CR204&lt;&gt;"",CR204,""),IF(LEFT(Header_PLC_Type,2)="S7",IF(CE204&lt;&gt;"",CE204,""),"&lt;invalid PLC type&gt;")))</f>
        <v>(Program Pause)</v>
      </c>
      <c r="I204" s="4" t="str">
        <f t="shared" ref="I204:I209" si="169">IF(OR(BC204="PLC",BC204="PSF"),BD204,IF(AND(BC204="CUSTOM",BF204&lt;&gt;""),BF204,""))</f>
        <v/>
      </c>
      <c r="J204" s="4"/>
      <c r="K204" s="56" t="str">
        <f t="shared" ref="K204:K209" si="170">AT204</f>
        <v>BOOL</v>
      </c>
      <c r="L204" s="56" t="str">
        <f t="shared" si="4"/>
        <v>ROBOTS\SxxRyy</v>
      </c>
      <c r="M204" s="56" t="str">
        <f t="shared" si="5"/>
        <v>STELLANTIS\Common\ToolPrototype\Robots</v>
      </c>
      <c r="N204" s="56" t="str">
        <f t="shared" si="6"/>
        <v>STELLANTIS_DN_FANUC_ROBOT_128_BIT_INTEGRATED_SAFETY_SxxRyy.v00</v>
      </c>
      <c r="O204" s="56" t="str">
        <f t="shared" ref="O204:O209" si="171">IF(AND(OR(BC204="SNS",BC204="OPR",BC204="RBT"),BF204&lt;&gt;""),BF204,IF(OR(BC204="PSF",BC204="PLC"),IF(BB204="ENTRY",IF(OR(ISLOGICAL(BF204),ISNUMBER(BF204)),LOWER(TEXT(BF204,"General")),IF((ISTEXT(BF204)),"CEE_To_VC_"&amp;BE204&amp;"_"&amp;BF204,"")),IF((ISTEXT(BF204)),"CEE_From_VC_"&amp;BE204&amp;"_"&amp;BF204,"")),IF(BC204="CUSTOM",IF(BH204&lt;&gt;"",BH204,""),"")))</f>
        <v/>
      </c>
      <c r="P204" s="56" t="str">
        <f t="shared" ref="P204:P209" si="172">IF(OR(BC204="SNS",BC204="OPR"),IF(BG204&lt;&gt;"",BG204,""),IF(BC204="RBT",BD204,IF(BC204="CUSTOM",IF(BG204&lt;&gt;"",BG204,""),"")))</f>
        <v>SxxRyy</v>
      </c>
      <c r="Q204" s="56" t="str">
        <f t="shared" ref="Q204:Q209" si="173">IF(BC204="OPR",IF(BV204&lt;&gt;"",BV204,"NONSIM"),IF(BC204="RBT",IF(BH204&lt;&gt;"",BH204,""),IF(BC204="SNS",IF(BH204&lt;&gt;"",BH204,L204),IF(OR(BC204="PLC",BC204="PSF"),IF(BG204&lt;&gt;"",BG204,""),""))))</f>
        <v/>
      </c>
      <c r="R204" s="56" t="str">
        <f t="shared" ref="R204:R209" si="174">IF(OR(BC204="PLC",BC204="PSF",BC204="OPR"),IF(BH204&lt;&gt;"",BH204,""),IF(BC204="RBT",IF(BI204&lt;&gt;"",BI204,""),IF(BC204="SNS",IF(BI204&lt;&gt;"",BI204,"PHOTOELECTRIC"),"")))</f>
        <v/>
      </c>
      <c r="S204" s="56" t="str">
        <f t="shared" ref="S204:S209" si="175">IF(OR(BC204="PLC",BC204="PSF",BC204="OPR",AND(BC204="CUSTOM",OR(BU204="PLC",BU204="PSF"))),IF(BI204&lt;&gt;"",BI204,""),IF(BC204="SNS",IF(BJ204&lt;&gt;"",BJ204,""),""))</f>
        <v/>
      </c>
      <c r="T204" s="56" t="str">
        <f t="shared" ref="T204:T209" si="176">IF(AND(Header_PLC_Type="CLX",BC204="PSF",BB204="EXIT"),CJ204&amp;CK204,IF(BC204="OPR",IF(BJ204&lt;&gt;"",BJ204,""),""))</f>
        <v/>
      </c>
      <c r="U204" s="56" t="str">
        <f t="shared" ref="U204:U209" si="177">IF(OR(BC204="SNS",BC204="OPR"),IF(BK204&lt;&gt;"",BK204,""),"")</f>
        <v/>
      </c>
      <c r="V204" s="56" t="str">
        <f t="shared" ref="V204:V209" si="178">IF(OR(BC204="SNS",BC204="OPR"),IF(BL204&lt;&gt;"",BL204,""),"")</f>
        <v/>
      </c>
      <c r="W204" s="56"/>
      <c r="X204" s="56"/>
      <c r="Y204" s="56"/>
      <c r="Z204" s="56" t="str">
        <f t="shared" ref="Z204:Z209" si="179">IF(BP204="","",BP204)</f>
        <v/>
      </c>
      <c r="AA204" s="56" t="str">
        <f t="shared" ref="AA204:AA209" si="180">IF($BQ204="","",$BQ204)</f>
        <v/>
      </c>
      <c r="AB204" s="56" t="str">
        <f t="shared" si="9"/>
        <v>ToolPrototype</v>
      </c>
      <c r="AC204" s="56" t="str">
        <f t="shared" ref="AC204:AC209" si="181">IF(ISBLANK(BT204),"","Optional")</f>
        <v/>
      </c>
      <c r="AD204" s="56" t="str">
        <f t="shared" si="10"/>
        <v>&lt;device&gt;
&lt;name&gt;SxxRyy&lt;/name&gt;
&lt;type&gt;FCA_DN_FANUC&lt;/type&gt;
&lt;deviceNetwork&gt;201&lt;/deviceNetwork&gt;
&lt;deviceNode&gt;56&lt;/deviceNode&gt;
&lt;/device&gt;</v>
      </c>
      <c r="AE204" s="56" t="str">
        <f t="shared" si="11"/>
        <v/>
      </c>
      <c r="AF204" s="56" t="str">
        <f t="shared" si="12"/>
        <v/>
      </c>
      <c r="AG204" s="56" t="str">
        <f t="shared" si="13"/>
        <v/>
      </c>
      <c r="AH204" s="56" t="str">
        <f t="shared" si="14"/>
        <v/>
      </c>
      <c r="AI204" s="56" t="str">
        <f t="shared" si="15"/>
        <v/>
      </c>
      <c r="AJ204" s="56" t="str">
        <f t="shared" si="16"/>
        <v/>
      </c>
      <c r="AK204" s="56" t="str">
        <f t="shared" si="17"/>
        <v/>
      </c>
      <c r="AL204" s="56" t="str">
        <f t="shared" si="18"/>
        <v/>
      </c>
      <c r="AM204" s="56" t="str">
        <f t="shared" si="19"/>
        <v/>
      </c>
      <c r="AN204" s="56">
        <f t="shared" ref="AN204:AN209" si="182">IF(BR204&lt;&gt;"",BR204,"")</f>
        <v>1</v>
      </c>
      <c r="AO204" s="56" t="str">
        <f t="shared" ref="AO204:AO209" si="183">IF(BS204&lt;&gt;"",BS204,"")</f>
        <v>ROBOTS:SxxRyy\000_COMMON|ROBOTS_NOPLC:SxxRyy\000_COMMON</v>
      </c>
      <c r="AP204" s="56" t="str">
        <f t="shared" ref="AP204:AP209" si="184">IF(BC204&lt;&gt;"CUSTOM",BC204,BU204)</f>
        <v>RBT</v>
      </c>
      <c r="AQ204" s="56" t="str">
        <f t="shared" ref="AQ204:AQ209" si="185">BB204</f>
        <v>EXIT</v>
      </c>
      <c r="AR204" s="39" t="s">
        <v>130</v>
      </c>
      <c r="AT204" s="44" t="str">
        <f t="shared" ref="AT204:AT209" si="186">IF(Header_PLC_Type="CLX",IF(CP204&lt;&gt;"",CP204,"&lt;noType&gt;"),IF(LEFT(Header_PLC_Type,2)="S7",IF(CD204&lt;&gt;"",CD204,"&lt;noType&gt;"),"&lt;noPLC&gt;"))</f>
        <v>BOOL</v>
      </c>
      <c r="AU204" s="23" t="str">
        <f t="shared" ref="AU204:AU209" si="187">IF(OR(BC204="PLC",BC204="PSF"),CA204,"")</f>
        <v/>
      </c>
      <c r="AV204" s="23" t="str">
        <f t="shared" ref="AV204:AV209" si="188">IF(OR(BC204="PLC",BC204="PSF"),IF(AT204="BOOL",F204,IF(AT204="BYTE",F204&amp;"B",IF(OR(AT204="WORD",AT204="INT"),F204&amp;"W",IF(OR(AT204="DWORD",AT204="DINT",AT204="REAL"),F204&amp;"D","&lt;invalid&gt;")))),"")</f>
        <v/>
      </c>
      <c r="AW204" s="23" t="str">
        <f t="shared" ref="AW204:AW209" si="189">IF(OR(BC204="PLC",BC204="PSF"),""&amp;AV204&amp;IF(AT204="BOOL",BY204&amp;"."&amp;BZ204,BY204)&amp; IF(CA204&lt;&gt;"",": &lt;"&amp;CA204&amp;"&gt; - ",": "),"")</f>
        <v/>
      </c>
      <c r="AX204" s="23" t="str">
        <f t="shared" ref="AX204:AX209" si="190">IF(OR(BC204="PLC",BC204="PSF"),IF(AND(BB204="EXIT",BC204="PSF"),CH204&amp;SUBSTITUTE(CJ204,":","_")&amp;CK204,CJ204&amp;CK204),"")</f>
        <v/>
      </c>
      <c r="AY204" s="36" t="str">
        <f t="shared" ref="AY204:AY209" si="191">IF(OR(BC204="PLC",BC204="PSF"),IF(CM204&lt;&gt;"",CM204 &amp; ": &lt;" &amp; CN204&amp;CO204 &amp; "&gt; - ","Controller: &lt;"&amp;CJ204&amp;CK204&amp;"&gt; - "),"")</f>
        <v/>
      </c>
      <c r="BB204" s="42" t="s">
        <v>17</v>
      </c>
      <c r="BC204" t="s">
        <v>62</v>
      </c>
      <c r="BD204" t="str">
        <f t="shared" si="162"/>
        <v>SxxRyy</v>
      </c>
      <c r="BR204">
        <v>1</v>
      </c>
      <c r="BS204" t="str">
        <f>"ROBOTS:"&amp;Header_Config02&amp;"\000_COMMON|ROBOTS_NOPLC:"&amp;Header_Config02&amp;"\000_COMMON"</f>
        <v>ROBOTS:SxxRyy\000_COMMON|ROBOTS_NOPLC:SxxRyy\000_COMMON</v>
      </c>
      <c r="BV204" s="30" t="s">
        <v>735</v>
      </c>
      <c r="BY204" s="42"/>
      <c r="CB204" s="42"/>
      <c r="CE204" s="30"/>
      <c r="CH204" s="42"/>
      <c r="CN204" s="30"/>
      <c r="CP204" t="s">
        <v>12</v>
      </c>
      <c r="CQ204" s="40"/>
      <c r="CR204" s="30" t="s">
        <v>736</v>
      </c>
    </row>
    <row r="205" spans="2:96" x14ac:dyDescent="0.35">
      <c r="B205" s="4" t="str">
        <f t="shared" si="163"/>
        <v>FANUC_SxxRyy</v>
      </c>
      <c r="C205" s="4"/>
      <c r="D205" s="4" t="str">
        <f t="shared" si="164"/>
        <v>To_RBT_Clr2DpPkTool</v>
      </c>
      <c r="E205" s="4" t="str">
        <f t="shared" si="165"/>
        <v>SxxRyy_Clr2DpPkTool</v>
      </c>
      <c r="F205" s="4" t="str">
        <f t="shared" si="166"/>
        <v>Q</v>
      </c>
      <c r="G205" s="4" t="str">
        <f t="shared" si="167"/>
        <v/>
      </c>
      <c r="H205" s="4" t="str">
        <f t="shared" si="168"/>
        <v/>
      </c>
      <c r="I205" s="4" t="str">
        <f t="shared" si="169"/>
        <v/>
      </c>
      <c r="J205" s="4"/>
      <c r="K205" s="56" t="str">
        <f t="shared" si="170"/>
        <v>BYTE</v>
      </c>
      <c r="L205" s="56" t="str">
        <f t="shared" si="4"/>
        <v>ROBOTS\SxxRyy</v>
      </c>
      <c r="M205" s="56" t="str">
        <f t="shared" si="5"/>
        <v>STELLANTIS\Common\ToolPrototype\Robots</v>
      </c>
      <c r="N205" s="56" t="str">
        <f t="shared" si="6"/>
        <v>STELLANTIS_DN_FANUC_ROBOT_128_BIT_INTEGRATED_SAFETY_SxxRyy.v00</v>
      </c>
      <c r="O205" s="56" t="str">
        <f t="shared" si="171"/>
        <v>GI[4]</v>
      </c>
      <c r="P205" s="56" t="str">
        <f t="shared" si="172"/>
        <v>SxxRyy</v>
      </c>
      <c r="Q205" s="56" t="str">
        <f t="shared" si="173"/>
        <v/>
      </c>
      <c r="R205" s="56" t="str">
        <f t="shared" si="174"/>
        <v/>
      </c>
      <c r="S205" s="56" t="str">
        <f t="shared" si="175"/>
        <v/>
      </c>
      <c r="T205" s="56" t="str">
        <f t="shared" si="176"/>
        <v/>
      </c>
      <c r="U205" s="56" t="str">
        <f t="shared" si="177"/>
        <v/>
      </c>
      <c r="V205" s="56" t="str">
        <f t="shared" si="178"/>
        <v/>
      </c>
      <c r="W205" s="56"/>
      <c r="X205" s="56"/>
      <c r="Y205" s="56"/>
      <c r="Z205" s="56" t="str">
        <f t="shared" si="179"/>
        <v/>
      </c>
      <c r="AA205" s="56" t="str">
        <f t="shared" si="180"/>
        <v/>
      </c>
      <c r="AB205" s="56" t="str">
        <f t="shared" si="9"/>
        <v>ToolPrototype</v>
      </c>
      <c r="AC205" s="56" t="str">
        <f t="shared" si="181"/>
        <v/>
      </c>
      <c r="AD205" s="56" t="str">
        <f t="shared" si="10"/>
        <v>&lt;device&gt;
&lt;name&gt;SxxRyy&lt;/name&gt;
&lt;type&gt;FCA_DN_FANUC&lt;/type&gt;
&lt;deviceNetwork&gt;201&lt;/deviceNetwork&gt;
&lt;deviceNode&gt;56&lt;/deviceNode&gt;
&lt;/device&gt;</v>
      </c>
      <c r="AE205" s="56" t="str">
        <f t="shared" si="11"/>
        <v/>
      </c>
      <c r="AF205" s="56" t="str">
        <f t="shared" si="12"/>
        <v/>
      </c>
      <c r="AG205" s="56" t="str">
        <f t="shared" si="13"/>
        <v/>
      </c>
      <c r="AH205" s="56" t="str">
        <f t="shared" si="14"/>
        <v/>
      </c>
      <c r="AI205" s="56" t="str">
        <f t="shared" si="15"/>
        <v/>
      </c>
      <c r="AJ205" s="56" t="str">
        <f t="shared" si="16"/>
        <v/>
      </c>
      <c r="AK205" s="56" t="str">
        <f t="shared" si="17"/>
        <v/>
      </c>
      <c r="AL205" s="56" t="str">
        <f t="shared" si="18"/>
        <v/>
      </c>
      <c r="AM205" s="56" t="str">
        <f t="shared" si="19"/>
        <v/>
      </c>
      <c r="AN205" s="56" t="str">
        <f t="shared" si="182"/>
        <v/>
      </c>
      <c r="AO205" s="56" t="str">
        <f t="shared" si="183"/>
        <v/>
      </c>
      <c r="AP205" s="56" t="str">
        <f t="shared" si="184"/>
        <v>RBT</v>
      </c>
      <c r="AQ205" s="56" t="str">
        <f t="shared" si="185"/>
        <v>EXIT</v>
      </c>
      <c r="AR205" s="39" t="s">
        <v>130</v>
      </c>
      <c r="AT205" s="44" t="str">
        <f t="shared" si="186"/>
        <v>BYTE</v>
      </c>
      <c r="AU205" s="23" t="str">
        <f t="shared" si="187"/>
        <v/>
      </c>
      <c r="AV205" s="23" t="str">
        <f t="shared" si="188"/>
        <v/>
      </c>
      <c r="AW205" s="23" t="str">
        <f t="shared" si="189"/>
        <v/>
      </c>
      <c r="AX205" s="23" t="str">
        <f t="shared" si="190"/>
        <v/>
      </c>
      <c r="AY205" s="36" t="str">
        <f t="shared" si="191"/>
        <v/>
      </c>
      <c r="BB205" s="42" t="s">
        <v>17</v>
      </c>
      <c r="BC205" t="s">
        <v>62</v>
      </c>
      <c r="BD205" t="str">
        <f t="shared" si="162"/>
        <v>SxxRyy</v>
      </c>
      <c r="BF205" t="s">
        <v>412</v>
      </c>
      <c r="BV205" s="30" t="s">
        <v>737</v>
      </c>
      <c r="BW205" t="s">
        <v>412</v>
      </c>
      <c r="BY205" s="42"/>
      <c r="CB205" s="42"/>
      <c r="CE205" s="30"/>
      <c r="CH205" s="42"/>
      <c r="CN205" s="30"/>
      <c r="CP205" t="s">
        <v>86</v>
      </c>
      <c r="CQ205" s="40"/>
      <c r="CR205" s="30"/>
    </row>
    <row r="206" spans="2:96" x14ac:dyDescent="0.35">
      <c r="B206" s="4" t="str">
        <f t="shared" si="163"/>
        <v>FANUC_SxxRyy</v>
      </c>
      <c r="C206" s="4"/>
      <c r="D206" s="4" t="str">
        <f t="shared" si="164"/>
        <v>To_RBT_ToolingRepo</v>
      </c>
      <c r="E206" s="4" t="str">
        <f t="shared" si="165"/>
        <v>SxxRyy_ToolingRepo</v>
      </c>
      <c r="F206" s="4" t="str">
        <f t="shared" si="166"/>
        <v>Q</v>
      </c>
      <c r="G206" s="4" t="str">
        <f t="shared" si="167"/>
        <v/>
      </c>
      <c r="H206" s="4" t="str">
        <f t="shared" si="168"/>
        <v/>
      </c>
      <c r="I206" s="4" t="str">
        <f t="shared" si="169"/>
        <v/>
      </c>
      <c r="J206" s="4"/>
      <c r="K206" s="56" t="str">
        <f t="shared" si="170"/>
        <v>BYTE</v>
      </c>
      <c r="L206" s="56" t="str">
        <f t="shared" si="4"/>
        <v>ROBOTS\SxxRyy</v>
      </c>
      <c r="M206" s="56" t="str">
        <f t="shared" si="5"/>
        <v>STELLANTIS\Common\ToolPrototype\Robots</v>
      </c>
      <c r="N206" s="56" t="str">
        <f t="shared" si="6"/>
        <v>STELLANTIS_DN_FANUC_ROBOT_128_BIT_INTEGRATED_SAFETY_SxxRyy.v00</v>
      </c>
      <c r="O206" s="56" t="str">
        <f t="shared" si="171"/>
        <v>GI[5]</v>
      </c>
      <c r="P206" s="56" t="str">
        <f t="shared" si="172"/>
        <v>SxxRyy</v>
      </c>
      <c r="Q206" s="56" t="str">
        <f t="shared" si="173"/>
        <v/>
      </c>
      <c r="R206" s="56" t="str">
        <f t="shared" si="174"/>
        <v/>
      </c>
      <c r="S206" s="56" t="str">
        <f t="shared" si="175"/>
        <v/>
      </c>
      <c r="T206" s="56" t="str">
        <f t="shared" si="176"/>
        <v/>
      </c>
      <c r="U206" s="56" t="str">
        <f t="shared" si="177"/>
        <v/>
      </c>
      <c r="V206" s="56" t="str">
        <f t="shared" si="178"/>
        <v/>
      </c>
      <c r="W206" s="56"/>
      <c r="X206" s="56"/>
      <c r="Y206" s="56"/>
      <c r="Z206" s="56" t="str">
        <f t="shared" si="179"/>
        <v/>
      </c>
      <c r="AA206" s="56" t="str">
        <f t="shared" si="180"/>
        <v/>
      </c>
      <c r="AB206" s="56" t="str">
        <f t="shared" si="9"/>
        <v>ToolPrototype</v>
      </c>
      <c r="AC206" s="56" t="str">
        <f t="shared" si="181"/>
        <v/>
      </c>
      <c r="AD206" s="56" t="str">
        <f t="shared" si="10"/>
        <v>&lt;device&gt;
&lt;name&gt;SxxRyy&lt;/name&gt;
&lt;type&gt;FCA_DN_FANUC&lt;/type&gt;
&lt;deviceNetwork&gt;201&lt;/deviceNetwork&gt;
&lt;deviceNode&gt;56&lt;/deviceNode&gt;
&lt;/device&gt;</v>
      </c>
      <c r="AE206" s="56" t="str">
        <f t="shared" si="11"/>
        <v/>
      </c>
      <c r="AF206" s="56" t="str">
        <f t="shared" si="12"/>
        <v/>
      </c>
      <c r="AG206" s="56" t="str">
        <f t="shared" si="13"/>
        <v/>
      </c>
      <c r="AH206" s="56" t="str">
        <f t="shared" si="14"/>
        <v/>
      </c>
      <c r="AI206" s="56" t="str">
        <f t="shared" si="15"/>
        <v/>
      </c>
      <c r="AJ206" s="56" t="str">
        <f t="shared" si="16"/>
        <v/>
      </c>
      <c r="AK206" s="56" t="str">
        <f t="shared" si="17"/>
        <v/>
      </c>
      <c r="AL206" s="56" t="str">
        <f t="shared" si="18"/>
        <v/>
      </c>
      <c r="AM206" s="56" t="str">
        <f t="shared" si="19"/>
        <v/>
      </c>
      <c r="AN206" s="56">
        <f t="shared" si="182"/>
        <v>1</v>
      </c>
      <c r="AO206" s="56" t="str">
        <f t="shared" si="183"/>
        <v>ROBOTS:SxxRyy\000_COMMON|ROBOTS_NOPLC:SxxRyy\000_COMMON</v>
      </c>
      <c r="AP206" s="56" t="str">
        <f t="shared" si="184"/>
        <v>RBT</v>
      </c>
      <c r="AQ206" s="56" t="str">
        <f t="shared" si="185"/>
        <v>EXIT</v>
      </c>
      <c r="AR206" s="39" t="s">
        <v>130</v>
      </c>
      <c r="AT206" s="44" t="str">
        <f t="shared" si="186"/>
        <v>BYTE</v>
      </c>
      <c r="AU206" s="23" t="str">
        <f t="shared" si="187"/>
        <v/>
      </c>
      <c r="AV206" s="23" t="str">
        <f t="shared" si="188"/>
        <v/>
      </c>
      <c r="AW206" s="23" t="str">
        <f t="shared" si="189"/>
        <v/>
      </c>
      <c r="AX206" s="23" t="str">
        <f t="shared" si="190"/>
        <v/>
      </c>
      <c r="AY206" s="36" t="str">
        <f t="shared" si="191"/>
        <v/>
      </c>
      <c r="BB206" s="42" t="s">
        <v>17</v>
      </c>
      <c r="BC206" t="s">
        <v>62</v>
      </c>
      <c r="BD206" t="str">
        <f t="shared" si="162"/>
        <v>SxxRyy</v>
      </c>
      <c r="BF206" t="s">
        <v>413</v>
      </c>
      <c r="BR206">
        <v>1</v>
      </c>
      <c r="BS206" t="str">
        <f>"ROBOTS:"&amp;Header_Config02&amp;"\000_COMMON|ROBOTS_NOPLC:"&amp;Header_Config02&amp;"\000_COMMON"</f>
        <v>ROBOTS:SxxRyy\000_COMMON|ROBOTS_NOPLC:SxxRyy\000_COMMON</v>
      </c>
      <c r="BV206" s="30" t="s">
        <v>738</v>
      </c>
      <c r="BW206" t="s">
        <v>413</v>
      </c>
      <c r="BY206" s="42"/>
      <c r="CB206" s="42"/>
      <c r="CE206" s="30"/>
      <c r="CH206" s="42"/>
      <c r="CN206" s="30"/>
      <c r="CP206" t="s">
        <v>86</v>
      </c>
      <c r="CQ206" s="40"/>
      <c r="CR206" s="30"/>
    </row>
    <row r="207" spans="2:96" x14ac:dyDescent="0.35">
      <c r="B207" s="4" t="str">
        <f t="shared" si="163"/>
        <v>FANUC_SxxRyy</v>
      </c>
      <c r="C207" s="4"/>
      <c r="D207" s="4" t="str">
        <f t="shared" si="164"/>
        <v>To_RBT_PalletPosition</v>
      </c>
      <c r="E207" s="4" t="str">
        <f t="shared" si="165"/>
        <v>SxxRyy_PalletPosition</v>
      </c>
      <c r="F207" s="4" t="str">
        <f t="shared" si="166"/>
        <v>Q</v>
      </c>
      <c r="G207" s="4" t="str">
        <f t="shared" si="167"/>
        <v/>
      </c>
      <c r="H207" s="4" t="str">
        <f t="shared" si="168"/>
        <v/>
      </c>
      <c r="I207" s="4" t="str">
        <f t="shared" si="169"/>
        <v/>
      </c>
      <c r="J207" s="4"/>
      <c r="K207" s="56" t="str">
        <f t="shared" si="170"/>
        <v>BYTE</v>
      </c>
      <c r="L207" s="56" t="str">
        <f t="shared" si="4"/>
        <v>ROBOTS\SxxRyy</v>
      </c>
      <c r="M207" s="56" t="str">
        <f t="shared" si="5"/>
        <v>STELLANTIS\Common\ToolPrototype\Robots</v>
      </c>
      <c r="N207" s="56" t="str">
        <f t="shared" si="6"/>
        <v>STELLANTIS_DN_FANUC_ROBOT_128_BIT_INTEGRATED_SAFETY_SxxRyy.v00</v>
      </c>
      <c r="O207" s="56" t="str">
        <f t="shared" si="171"/>
        <v>GI[6]</v>
      </c>
      <c r="P207" s="56" t="str">
        <f t="shared" si="172"/>
        <v>SxxRyy</v>
      </c>
      <c r="Q207" s="56" t="str">
        <f t="shared" si="173"/>
        <v/>
      </c>
      <c r="R207" s="56" t="str">
        <f t="shared" si="174"/>
        <v/>
      </c>
      <c r="S207" s="56" t="str">
        <f t="shared" si="175"/>
        <v/>
      </c>
      <c r="T207" s="56" t="str">
        <f t="shared" si="176"/>
        <v/>
      </c>
      <c r="U207" s="56" t="str">
        <f t="shared" si="177"/>
        <v/>
      </c>
      <c r="V207" s="56" t="str">
        <f t="shared" si="178"/>
        <v/>
      </c>
      <c r="W207" s="56"/>
      <c r="X207" s="56"/>
      <c r="Y207" s="56"/>
      <c r="Z207" s="56" t="str">
        <f t="shared" si="179"/>
        <v/>
      </c>
      <c r="AA207" s="56" t="str">
        <f t="shared" si="180"/>
        <v/>
      </c>
      <c r="AB207" s="56" t="str">
        <f t="shared" si="9"/>
        <v>ToolPrototype</v>
      </c>
      <c r="AC207" s="56" t="str">
        <f t="shared" si="181"/>
        <v>Optional</v>
      </c>
      <c r="AD207" s="56" t="str">
        <f t="shared" si="10"/>
        <v>&lt;device&gt;
&lt;name&gt;SxxRyy&lt;/name&gt;
&lt;type&gt;FCA_DN_FANUC&lt;/type&gt;
&lt;deviceNetwork&gt;201&lt;/deviceNetwork&gt;
&lt;deviceNode&gt;56&lt;/deviceNode&gt;
&lt;/device&gt;</v>
      </c>
      <c r="AE207" s="56" t="str">
        <f t="shared" si="11"/>
        <v/>
      </c>
      <c r="AF207" s="56" t="str">
        <f t="shared" si="12"/>
        <v/>
      </c>
      <c r="AG207" s="56" t="str">
        <f t="shared" si="13"/>
        <v/>
      </c>
      <c r="AH207" s="56" t="str">
        <f t="shared" si="14"/>
        <v/>
      </c>
      <c r="AI207" s="56" t="str">
        <f t="shared" si="15"/>
        <v/>
      </c>
      <c r="AJ207" s="56" t="str">
        <f t="shared" si="16"/>
        <v/>
      </c>
      <c r="AK207" s="56" t="str">
        <f t="shared" si="17"/>
        <v/>
      </c>
      <c r="AL207" s="56" t="str">
        <f t="shared" si="18"/>
        <v/>
      </c>
      <c r="AM207" s="56" t="str">
        <f t="shared" si="19"/>
        <v/>
      </c>
      <c r="AN207" s="56">
        <f t="shared" si="182"/>
        <v>1</v>
      </c>
      <c r="AO207" s="56" t="str">
        <f t="shared" si="183"/>
        <v>ROBOTS:SxxRyy\000_COMMON|ROBOTS_NOPLC:SxxRyy\000_COMMON</v>
      </c>
      <c r="AP207" s="56" t="str">
        <f t="shared" si="184"/>
        <v>RBT</v>
      </c>
      <c r="AQ207" s="56" t="str">
        <f t="shared" si="185"/>
        <v>EXIT</v>
      </c>
      <c r="AR207" s="39" t="s">
        <v>130</v>
      </c>
      <c r="AT207" s="44" t="str">
        <f t="shared" si="186"/>
        <v>BYTE</v>
      </c>
      <c r="AU207" s="23" t="str">
        <f t="shared" si="187"/>
        <v/>
      </c>
      <c r="AV207" s="23" t="str">
        <f t="shared" si="188"/>
        <v/>
      </c>
      <c r="AW207" s="23" t="str">
        <f t="shared" si="189"/>
        <v/>
      </c>
      <c r="AX207" s="23" t="str">
        <f t="shared" si="190"/>
        <v/>
      </c>
      <c r="AY207" s="36" t="str">
        <f t="shared" si="191"/>
        <v/>
      </c>
      <c r="BB207" s="42" t="s">
        <v>17</v>
      </c>
      <c r="BC207" t="s">
        <v>62</v>
      </c>
      <c r="BD207" t="str">
        <f t="shared" si="162"/>
        <v>SxxRyy</v>
      </c>
      <c r="BF207" t="s">
        <v>414</v>
      </c>
      <c r="BR207">
        <v>1</v>
      </c>
      <c r="BS207" t="str">
        <f>"ROBOTS:"&amp;Header_Config02&amp;"\000_COMMON|ROBOTS_NOPLC:"&amp;Header_Config02&amp;"\000_COMMON"</f>
        <v>ROBOTS:SxxRyy\000_COMMON|ROBOTS_NOPLC:SxxRyy\000_COMMON</v>
      </c>
      <c r="BT207" t="str">
        <f>Prep!$L$6</f>
        <v/>
      </c>
      <c r="BV207" s="30" t="s">
        <v>739</v>
      </c>
      <c r="BW207" t="s">
        <v>414</v>
      </c>
      <c r="BY207" s="42"/>
      <c r="CB207" s="42"/>
      <c r="CE207" s="30"/>
      <c r="CH207" s="42"/>
      <c r="CN207" s="30"/>
      <c r="CP207" t="s">
        <v>86</v>
      </c>
      <c r="CQ207" s="40"/>
      <c r="CR207" s="30"/>
    </row>
    <row r="208" spans="2:96" x14ac:dyDescent="0.35">
      <c r="B208" s="4" t="str">
        <f t="shared" si="163"/>
        <v>FANUC_SxxRyy</v>
      </c>
      <c r="C208" s="4"/>
      <c r="D208" s="4" t="str">
        <f t="shared" si="164"/>
        <v>To_RBT_ReturnFromPounceMem</v>
      </c>
      <c r="E208" s="4" t="str">
        <f t="shared" si="165"/>
        <v>SxxRyy_ReturnFromPounceMem</v>
      </c>
      <c r="F208" s="4" t="str">
        <f t="shared" si="166"/>
        <v>Q</v>
      </c>
      <c r="G208" s="4" t="str">
        <f t="shared" si="167"/>
        <v/>
      </c>
      <c r="H208" s="4" t="str">
        <f t="shared" si="168"/>
        <v/>
      </c>
      <c r="I208" s="4" t="str">
        <f t="shared" si="169"/>
        <v/>
      </c>
      <c r="J208" s="4"/>
      <c r="K208" s="56" t="str">
        <f t="shared" si="170"/>
        <v>BOOL</v>
      </c>
      <c r="L208" s="56" t="str">
        <f t="shared" si="4"/>
        <v>ROBOTS\SxxRyy</v>
      </c>
      <c r="M208" s="56" t="str">
        <f t="shared" si="5"/>
        <v>STELLANTIS\Common\ToolPrototype\Robots</v>
      </c>
      <c r="N208" s="56" t="str">
        <f t="shared" si="6"/>
        <v>STELLANTIS_DN_FANUC_ROBOT_128_BIT_INTEGRATED_SAFETY_SxxRyy.v00</v>
      </c>
      <c r="O208" s="56" t="str">
        <f t="shared" si="171"/>
        <v>ReturnFromPounceMem</v>
      </c>
      <c r="P208" s="56" t="str">
        <f t="shared" si="172"/>
        <v>SxxRyy</v>
      </c>
      <c r="Q208" s="56" t="str">
        <f t="shared" si="173"/>
        <v/>
      </c>
      <c r="R208" s="56" t="str">
        <f t="shared" si="174"/>
        <v/>
      </c>
      <c r="S208" s="56" t="str">
        <f t="shared" si="175"/>
        <v/>
      </c>
      <c r="T208" s="56" t="str">
        <f t="shared" si="176"/>
        <v/>
      </c>
      <c r="U208" s="56" t="str">
        <f t="shared" si="177"/>
        <v/>
      </c>
      <c r="V208" s="56" t="str">
        <f t="shared" si="178"/>
        <v/>
      </c>
      <c r="W208" s="56"/>
      <c r="X208" s="56"/>
      <c r="Y208" s="56"/>
      <c r="Z208" s="56" t="str">
        <f t="shared" si="179"/>
        <v/>
      </c>
      <c r="AA208" s="56" t="str">
        <f t="shared" si="180"/>
        <v/>
      </c>
      <c r="AB208" s="56" t="str">
        <f t="shared" si="9"/>
        <v>ToolPrototype</v>
      </c>
      <c r="AC208" s="56" t="str">
        <f t="shared" si="181"/>
        <v/>
      </c>
      <c r="AD208" s="56" t="str">
        <f t="shared" si="10"/>
        <v>&lt;device&gt;
&lt;name&gt;SxxRyy&lt;/name&gt;
&lt;type&gt;FCA_DN_FANUC&lt;/type&gt;
&lt;deviceNetwork&gt;201&lt;/deviceNetwork&gt;
&lt;deviceNode&gt;56&lt;/deviceNode&gt;
&lt;/device&gt;</v>
      </c>
      <c r="AE208" s="56" t="str">
        <f t="shared" si="11"/>
        <v/>
      </c>
      <c r="AF208" s="56" t="str">
        <f t="shared" si="12"/>
        <v/>
      </c>
      <c r="AG208" s="56" t="str">
        <f t="shared" si="13"/>
        <v/>
      </c>
      <c r="AH208" s="56" t="str">
        <f t="shared" si="14"/>
        <v/>
      </c>
      <c r="AI208" s="56" t="str">
        <f t="shared" si="15"/>
        <v/>
      </c>
      <c r="AJ208" s="56" t="str">
        <f t="shared" si="16"/>
        <v/>
      </c>
      <c r="AK208" s="56" t="str">
        <f t="shared" si="17"/>
        <v/>
      </c>
      <c r="AL208" s="56" t="str">
        <f t="shared" si="18"/>
        <v/>
      </c>
      <c r="AM208" s="56" t="str">
        <f t="shared" si="19"/>
        <v/>
      </c>
      <c r="AN208" s="56" t="str">
        <f t="shared" si="182"/>
        <v/>
      </c>
      <c r="AO208" s="56" t="str">
        <f t="shared" si="183"/>
        <v/>
      </c>
      <c r="AP208" s="56" t="str">
        <f t="shared" si="184"/>
        <v>RBT</v>
      </c>
      <c r="AQ208" s="56" t="str">
        <f t="shared" si="185"/>
        <v>EXIT</v>
      </c>
      <c r="AR208" s="39" t="s">
        <v>130</v>
      </c>
      <c r="AT208" s="44" t="str">
        <f t="shared" si="186"/>
        <v>BOOL</v>
      </c>
      <c r="AU208" s="23" t="str">
        <f t="shared" si="187"/>
        <v/>
      </c>
      <c r="AV208" s="23" t="str">
        <f t="shared" si="188"/>
        <v/>
      </c>
      <c r="AW208" s="23" t="str">
        <f t="shared" si="189"/>
        <v/>
      </c>
      <c r="AX208" s="23" t="str">
        <f t="shared" si="190"/>
        <v/>
      </c>
      <c r="AY208" s="36" t="str">
        <f t="shared" si="191"/>
        <v/>
      </c>
      <c r="BB208" s="42" t="s">
        <v>17</v>
      </c>
      <c r="BC208" t="s">
        <v>62</v>
      </c>
      <c r="BD208" t="str">
        <f t="shared" si="162"/>
        <v>SxxRyy</v>
      </c>
      <c r="BF208" t="s">
        <v>415</v>
      </c>
      <c r="BV208" s="30" t="s">
        <v>415</v>
      </c>
      <c r="BY208" s="42"/>
      <c r="CB208" s="42"/>
      <c r="CE208" s="30"/>
      <c r="CH208" s="42"/>
      <c r="CN208" s="30"/>
      <c r="CP208" t="s">
        <v>12</v>
      </c>
      <c r="CQ208" s="40"/>
      <c r="CR208" s="30"/>
    </row>
    <row r="209" spans="2:96" x14ac:dyDescent="0.35">
      <c r="B209" s="4" t="str">
        <f t="shared" si="163"/>
        <v>FANUC_SxxRyy</v>
      </c>
      <c r="C209" s="4"/>
      <c r="D209" s="4" t="str">
        <f t="shared" si="164"/>
        <v>To_RBT_AbortPickupMem</v>
      </c>
      <c r="E209" s="4" t="str">
        <f t="shared" si="165"/>
        <v>SxxRyy_AbortPickupMem</v>
      </c>
      <c r="F209" s="4" t="str">
        <f t="shared" si="166"/>
        <v>Q</v>
      </c>
      <c r="G209" s="4" t="str">
        <f t="shared" si="167"/>
        <v/>
      </c>
      <c r="H209" s="4" t="str">
        <f t="shared" si="168"/>
        <v/>
      </c>
      <c r="I209" s="4" t="str">
        <f t="shared" si="169"/>
        <v/>
      </c>
      <c r="J209" s="4"/>
      <c r="K209" s="56" t="str">
        <f t="shared" si="170"/>
        <v>BOOL</v>
      </c>
      <c r="L209" s="56" t="str">
        <f t="shared" si="4"/>
        <v>ROBOTS\SxxRyy</v>
      </c>
      <c r="M209" s="56" t="str">
        <f t="shared" si="5"/>
        <v>STELLANTIS\Common\ToolPrototype\Robots</v>
      </c>
      <c r="N209" s="56" t="str">
        <f t="shared" si="6"/>
        <v>STELLANTIS_DN_FANUC_ROBOT_128_BIT_INTEGRATED_SAFETY_SxxRyy.v00</v>
      </c>
      <c r="O209" s="56" t="str">
        <f t="shared" si="171"/>
        <v>AbortPickupMem</v>
      </c>
      <c r="P209" s="56" t="str">
        <f t="shared" si="172"/>
        <v>SxxRyy</v>
      </c>
      <c r="Q209" s="56" t="str">
        <f t="shared" si="173"/>
        <v/>
      </c>
      <c r="R209" s="56" t="str">
        <f t="shared" si="174"/>
        <v/>
      </c>
      <c r="S209" s="56" t="str">
        <f t="shared" si="175"/>
        <v/>
      </c>
      <c r="T209" s="56" t="str">
        <f t="shared" si="176"/>
        <v/>
      </c>
      <c r="U209" s="56" t="str">
        <f t="shared" si="177"/>
        <v/>
      </c>
      <c r="V209" s="56" t="str">
        <f t="shared" si="178"/>
        <v/>
      </c>
      <c r="W209" s="56"/>
      <c r="X209" s="56"/>
      <c r="Y209" s="56"/>
      <c r="Z209" s="56" t="str">
        <f t="shared" si="179"/>
        <v/>
      </c>
      <c r="AA209" s="56" t="str">
        <f t="shared" si="180"/>
        <v/>
      </c>
      <c r="AB209" s="56" t="str">
        <f t="shared" si="9"/>
        <v>ToolPrototype</v>
      </c>
      <c r="AC209" s="56" t="str">
        <f t="shared" si="181"/>
        <v>Optional</v>
      </c>
      <c r="AD209" s="56" t="str">
        <f t="shared" si="10"/>
        <v>&lt;device&gt;
&lt;name&gt;SxxRyy&lt;/name&gt;
&lt;type&gt;FCA_DN_FANUC&lt;/type&gt;
&lt;deviceNetwork&gt;201&lt;/deviceNetwork&gt;
&lt;deviceNode&gt;56&lt;/deviceNode&gt;
&lt;/device&gt;</v>
      </c>
      <c r="AE209" s="56" t="str">
        <f t="shared" si="11"/>
        <v/>
      </c>
      <c r="AF209" s="56" t="str">
        <f t="shared" si="12"/>
        <v/>
      </c>
      <c r="AG209" s="56" t="str">
        <f t="shared" si="13"/>
        <v/>
      </c>
      <c r="AH209" s="56" t="str">
        <f t="shared" si="14"/>
        <v/>
      </c>
      <c r="AI209" s="56" t="str">
        <f t="shared" si="15"/>
        <v/>
      </c>
      <c r="AJ209" s="56" t="str">
        <f t="shared" si="16"/>
        <v/>
      </c>
      <c r="AK209" s="56" t="str">
        <f t="shared" si="17"/>
        <v/>
      </c>
      <c r="AL209" s="56" t="str">
        <f t="shared" si="18"/>
        <v/>
      </c>
      <c r="AM209" s="56" t="str">
        <f t="shared" si="19"/>
        <v/>
      </c>
      <c r="AN209" s="56" t="str">
        <f t="shared" si="182"/>
        <v/>
      </c>
      <c r="AO209" s="56" t="str">
        <f t="shared" si="183"/>
        <v/>
      </c>
      <c r="AP209" s="56" t="str">
        <f t="shared" si="184"/>
        <v>RBT</v>
      </c>
      <c r="AQ209" s="56" t="str">
        <f t="shared" si="185"/>
        <v>EXIT</v>
      </c>
      <c r="AR209" s="39" t="s">
        <v>130</v>
      </c>
      <c r="AT209" s="44" t="str">
        <f t="shared" si="186"/>
        <v>BOOL</v>
      </c>
      <c r="AU209" s="23" t="str">
        <f t="shared" si="187"/>
        <v/>
      </c>
      <c r="AV209" s="23" t="str">
        <f t="shared" si="188"/>
        <v/>
      </c>
      <c r="AW209" s="23" t="str">
        <f t="shared" si="189"/>
        <v/>
      </c>
      <c r="AX209" s="23" t="str">
        <f t="shared" si="190"/>
        <v/>
      </c>
      <c r="AY209" s="36" t="str">
        <f t="shared" si="191"/>
        <v/>
      </c>
      <c r="BB209" s="42" t="s">
        <v>17</v>
      </c>
      <c r="BC209" t="s">
        <v>62</v>
      </c>
      <c r="BD209" t="str">
        <f t="shared" si="162"/>
        <v>SxxRyy</v>
      </c>
      <c r="BF209" t="s">
        <v>416</v>
      </c>
      <c r="BT209" t="str">
        <f>IF(Prep!$J$4="Y","","X")</f>
        <v/>
      </c>
      <c r="BV209" s="30" t="s">
        <v>416</v>
      </c>
      <c r="BY209" s="42"/>
      <c r="CB209" s="42"/>
      <c r="CE209" s="30"/>
      <c r="CH209" s="42"/>
      <c r="CN209" s="30"/>
      <c r="CP209" t="s">
        <v>12</v>
      </c>
      <c r="CQ209" s="40"/>
      <c r="CR209" s="30"/>
    </row>
    <row r="210" spans="2:96" x14ac:dyDescent="0.35">
      <c r="B210" s="4" t="str">
        <f t="shared" ref="B210:B216" si="192">IF(LEN(BT210)=0,Header_LB_Name,"&lt;BLANK&gt;")</f>
        <v>FANUC_SxxRyy</v>
      </c>
      <c r="C210" s="4"/>
      <c r="D210" s="4" t="str">
        <f t="shared" ref="D210:D216" si="193">IF(BC210="CUSTOM",BV210,IF(BB210="ENTRY","From_",IF(BB210="EXIT","To_","&lt;invalid&gt;"))&amp;IF(OR(BC210="RBT",BC210="KEY",BC210="SNS"),IF(BE210="",BC210,BC210&amp;"_"&amp;BE210),IF(BC210="OPR",IF(BE210="",BC210&amp;"_"&amp;BD210,BC210&amp;"_"&amp;BE210),IF(BC210="LBS",IF(BE210="",BD210,BE210),BC210)))&amp;"_"&amp;IF(BC210="OPR",IF(BB210="ENTRY","end",IF(BB210="EXIT","start","&lt;invalid&gt;")),BV210))</f>
        <v>To_RBT_GripperPartCheckPass</v>
      </c>
      <c r="E210" s="4" t="str">
        <f t="shared" ref="E210:E216" si="194">IF(OR(BC210="PLC",BC210="PSF"),IF(Header_PLC_Type="CLX",AX210,IF(LEFT(Header_PLC_Type,2)="S7",AU210,"&lt;invalid PLC type&gt;")),IF(BB210="ENTRY",IF(BC210="LBS",IF(BD210&lt;&gt;"",IF(BF210="",BC210&amp;"_"&amp;BD210&amp;"_To_"&amp;B210&amp;"_"&amp;BV210,BC210&amp;"_"&amp;BD210&amp;"_To_"&amp;BF210&amp;"_"&amp;BV210),"&lt;missing other LB/group name&gt;"),IF(OR(BC210="SNS",BC210="KEY"),IF(BD210&lt;&gt;"",BC210&amp;"_"&amp;BD210&amp;"_"&amp;BV210,"&lt;missing unique identifier&gt;"),IF(OR(BC210="RBT",BC210="OPR"),IF(BD210&lt;&gt;"",BD210&amp;"_"&amp;IF(BC210="OPR","end",IF(BG210&lt;&gt;"",BG210,BV210)),"&lt;missing unique identifier&gt;"),IF(BC210="CUSTOM",BD210,"&lt;invalid connection&gt;")))),IF(BB210="EXIT",IF(BC210="LBS",IF(BD210&lt;&gt;"",BC210&amp;"_"&amp;B210&amp;"_To_"&amp;BD210&amp;"_"&amp;BV210,"&lt;missing other LB/group name&gt;"),IF(OR(BC210="RBT",BC210="OPR"),IF(BD210&lt;&gt;"",BD210&amp;"_"&amp;IF(BC210="OPR","start",IF(BG210&lt;&gt;"",BG210,BV210)),"&lt;missing unique identifier&gt;"),IF(BC210="CUSTOM",BD210,"&lt;invalid connection (sensor or key signal can't be exit)&gt;"))),"&lt;invalid entry/exit&gt;")))</f>
        <v>SxxRyy_GripperPartCheckPass</v>
      </c>
      <c r="F210" s="4" t="str">
        <f t="shared" ref="F210:F216" si="195">IF(BC210="CUSTOM",BE210,IF(OR(AND(BB210="ENTRY",OR(BC210="PLC",BC210="PSF")),AND(BB210="EXIT",OR(BC210="RBT",BC210="OPR"))),"Q","I"))</f>
        <v>Q</v>
      </c>
      <c r="G210" s="4" t="str">
        <f t="shared" ref="G210:G216" si="196">IF(Header_PLC_Type="S7-ADD",IF(OR(BC210="PSF",BC210="PLC"),IF(BY210&lt;&gt;"",IF(AT210="BOOL",BY210&amp;"."&amp;BZ210,BY210),"&lt;missing&gt;"),""),"")</f>
        <v/>
      </c>
      <c r="H210" s="4" t="str">
        <f t="shared" ref="H210:H216" si="197">IF(OR(BC210="PLC",BC210="PSF"),IF(Header_PLC_Type="CLX",AY210&amp;CR210,IF(LEFT(Header_PLC_Type,2)="S7",AW210&amp;CE210,"&lt;invalid PLC type&gt;")),IF(Header_PLC_Type="CLX",IF(CR210&lt;&gt;"",CR210,""),IF(LEFT(Header_PLC_Type,2)="S7",IF(CE210&lt;&gt;"",CE210,""),"&lt;invalid PLC type&gt;")))</f>
        <v/>
      </c>
      <c r="I210" s="4" t="str">
        <f t="shared" ref="I210:I216" si="198">IF(OR(BC210="PLC",BC210="PSF"),BD210,IF(AND(BC210="CUSTOM",BF210&lt;&gt;""),BF210,""))</f>
        <v/>
      </c>
      <c r="J210" s="4"/>
      <c r="K210" s="56" t="str">
        <f t="shared" ref="K210:K216" si="199">AT210</f>
        <v>BOOL</v>
      </c>
      <c r="L210" s="56" t="str">
        <f t="shared" ref="L210:L216" si="200">Header_Resource_Compound</f>
        <v>ROBOTS\SxxRyy</v>
      </c>
      <c r="M210" s="56" t="str">
        <f t="shared" ref="M210:M216" si="201">Header_Sysroot_Folder</f>
        <v>STELLANTIS\Common\ToolPrototype\Robots</v>
      </c>
      <c r="N210" s="56" t="str">
        <f t="shared" ref="N210:N216" si="202">Header_COJT_Full_Name</f>
        <v>STELLANTIS_DN_FANUC_ROBOT_128_BIT_INTEGRATED_SAFETY_SxxRyy.v00</v>
      </c>
      <c r="O210" s="56" t="str">
        <f t="shared" ref="O210:O216" si="203">IF(AND(OR(BC210="SNS",BC210="OPR",BC210="RBT"),BF210&lt;&gt;""),BF210,IF(OR(BC210="PSF",BC210="PLC"),IF(BB210="ENTRY",IF(OR(ISLOGICAL(BF210),ISNUMBER(BF210)),LOWER(TEXT(BF210,"General")),IF((ISTEXT(BF210)),"CEE_To_VC_"&amp;BE210&amp;"_"&amp;BF210,"")),IF((ISTEXT(BF210)),"CEE_From_VC_"&amp;BE210&amp;"_"&amp;BF210,"")),IF(BC210="CUSTOM",IF(BH210&lt;&gt;"",BH210,""),"")))</f>
        <v>GripperPartCheckPass</v>
      </c>
      <c r="P210" s="56" t="str">
        <f t="shared" ref="P210:P216" si="204">IF(OR(BC210="SNS",BC210="OPR"),IF(BG210&lt;&gt;"",BG210,""),IF(BC210="RBT",BD210,IF(BC210="CUSTOM",IF(BG210&lt;&gt;"",BG210,""),"")))</f>
        <v>SxxRyy</v>
      </c>
      <c r="Q210" s="56" t="str">
        <f t="shared" ref="Q210:Q216" si="205">IF(BC210="OPR",IF(BV210&lt;&gt;"",BV210,"NONSIM"),IF(BC210="RBT",IF(BH210&lt;&gt;"",BH210,""),IF(BC210="SNS",IF(BH210&lt;&gt;"",BH210,L210),IF(OR(BC210="PLC",BC210="PSF"),IF(BG210&lt;&gt;"",BG210,""),""))))</f>
        <v/>
      </c>
      <c r="R210" s="56" t="str">
        <f t="shared" ref="R210:R216" si="206">IF(OR(BC210="PLC",BC210="PSF",BC210="OPR"),IF(BH210&lt;&gt;"",BH210,""),IF(BC210="RBT",IF(BI210&lt;&gt;"",BI210,""),IF(BC210="SNS",IF(BI210&lt;&gt;"",BI210,"PHOTOELECTRIC"),"")))</f>
        <v/>
      </c>
      <c r="S210" s="56" t="str">
        <f t="shared" ref="S210:S216" si="207">IF(OR(BC210="PLC",BC210="PSF",BC210="OPR",AND(BC210="CUSTOM",OR(BU210="PLC",BU210="PSF"))),IF(BI210&lt;&gt;"",BI210,""),IF(BC210="SNS",IF(BJ210&lt;&gt;"",BJ210,""),""))</f>
        <v/>
      </c>
      <c r="T210" s="56" t="str">
        <f t="shared" ref="T210:T216" si="208">IF(AND(Header_PLC_Type="CLX",BC210="PSF",BB210="EXIT"),CJ210&amp;CK210,IF(BC210="OPR",IF(BJ210&lt;&gt;"",BJ210,""),""))</f>
        <v/>
      </c>
      <c r="U210" s="56" t="str">
        <f t="shared" ref="U210:U216" si="209">IF(OR(BC210="SNS",BC210="OPR"),IF(BK210&lt;&gt;"",BK210,""),"")</f>
        <v/>
      </c>
      <c r="V210" s="56" t="str">
        <f t="shared" ref="V210:V216" si="210">IF(OR(BC210="SNS",BC210="OPR"),IF(BL210&lt;&gt;"",BL210,""),"")</f>
        <v/>
      </c>
      <c r="W210" s="56"/>
      <c r="X210" s="56"/>
      <c r="Y210" s="56"/>
      <c r="Z210" s="56" t="str">
        <f t="shared" ref="Z210:Z216" si="211">IF(BP210="","",BP210)</f>
        <v/>
      </c>
      <c r="AA210" s="56" t="str">
        <f t="shared" ref="AA210:AA216" si="212">IF($BQ210="","",$BQ210)</f>
        <v/>
      </c>
      <c r="AB210" s="56" t="str">
        <f t="shared" ref="AB210:AB216" si="213">IF(Header_COJT_Type_Definition="","ToolPrototype",Header_COJT_Type_Definition)</f>
        <v>ToolPrototype</v>
      </c>
      <c r="AC210" s="56" t="str">
        <f t="shared" ref="AC210:AC216" si="214">IF(ISBLANK(BT210),"","Optional")</f>
        <v>Optional</v>
      </c>
      <c r="AD210" s="56" t="str">
        <f t="shared" ref="AD210:AD216" si="215">IF(Export_VC_Forms="","",Export_VC_Forms)</f>
        <v>&lt;device&gt;
&lt;name&gt;SxxRyy&lt;/name&gt;
&lt;type&gt;FCA_DN_FANUC&lt;/type&gt;
&lt;deviceNetwork&gt;201&lt;/deviceNetwork&gt;
&lt;deviceNode&gt;56&lt;/deviceNode&gt;
&lt;/device&gt;</v>
      </c>
      <c r="AE210" s="56" t="str">
        <f t="shared" ref="AE210:AE216" si="216">IF(Export_Setup_Tracker="","",Export_Setup_Tracker)</f>
        <v/>
      </c>
      <c r="AF210" s="56" t="str">
        <f t="shared" ref="AF210:AF216" si="217">IF(Export_Validation_Tracker="","",Export_Validation_Tracker)</f>
        <v/>
      </c>
      <c r="AG210" s="56" t="str">
        <f t="shared" ref="AG210:AG216" si="218">IF(Export_Spare_04="","",Export_Spare_04)</f>
        <v/>
      </c>
      <c r="AH210" s="56" t="str">
        <f t="shared" ref="AH210:AH216" si="219">IF(Export_Spare_05="","",Export_Spare_05)</f>
        <v/>
      </c>
      <c r="AI210" s="56" t="str">
        <f t="shared" ref="AI210:AI216" si="220">IF(Export_Spare_06="","",Export_Spare_06)</f>
        <v/>
      </c>
      <c r="AJ210" s="56" t="str">
        <f t="shared" ref="AJ210:AJ216" si="221">IF(Export_Spare_07="","",Export_Spare_07)</f>
        <v/>
      </c>
      <c r="AK210" s="56" t="str">
        <f t="shared" ref="AK210:AK216" si="222">IF(Export_Spare_08="","",Export_Spare_08)</f>
        <v/>
      </c>
      <c r="AL210" s="56" t="str">
        <f t="shared" ref="AL210:AL216" si="223">IF(Export_Spare_09="","",Export_Spare_09)</f>
        <v/>
      </c>
      <c r="AM210" s="56" t="str">
        <f t="shared" ref="AM210:AM216" si="224">IF(Export_Spare_10="","",Export_Spare_10)</f>
        <v/>
      </c>
      <c r="AN210" s="56">
        <f t="shared" ref="AN210:AN216" si="225">IF(BR210&lt;&gt;"",BR210,"")</f>
        <v>1</v>
      </c>
      <c r="AO210" s="56" t="str">
        <f t="shared" ref="AO210:AO216" si="226">IF(BS210&lt;&gt;"",BS210,"")</f>
        <v>ROBOTS:SxxRyy\000_COMMON|ROBOTS_NOPLC:SxxRyy\000_COMMON</v>
      </c>
      <c r="AP210" s="56" t="str">
        <f t="shared" ref="AP210:AP216" si="227">IF(BC210&lt;&gt;"CUSTOM",BC210,BU210)</f>
        <v>RBT</v>
      </c>
      <c r="AQ210" s="56" t="str">
        <f t="shared" ref="AQ210:AQ216" si="228">BB210</f>
        <v>EXIT</v>
      </c>
      <c r="AR210" s="39" t="s">
        <v>130</v>
      </c>
      <c r="AT210" s="44" t="str">
        <f t="shared" ref="AT210:AT216" si="229">IF(Header_PLC_Type="CLX",IF(CP210&lt;&gt;"",CP210,"&lt;noType&gt;"),IF(LEFT(Header_PLC_Type,2)="S7",IF(CD210&lt;&gt;"",CD210,"&lt;noType&gt;"),"&lt;noPLC&gt;"))</f>
        <v>BOOL</v>
      </c>
      <c r="AU210" s="23" t="str">
        <f t="shared" ref="AU210:AU216" si="230">IF(OR(BC210="PLC",BC210="PSF"),CA210,"")</f>
        <v/>
      </c>
      <c r="AV210" s="23" t="str">
        <f t="shared" ref="AV210:AV216" si="231">IF(OR(BC210="PLC",BC210="PSF"),IF(AT210="BOOL",F210,IF(AT210="BYTE",F210&amp;"B",IF(OR(AT210="WORD",AT210="INT"),F210&amp;"W",IF(OR(AT210="DWORD",AT210="DINT",AT210="REAL"),F210&amp;"D","&lt;invalid&gt;")))),"")</f>
        <v/>
      </c>
      <c r="AW210" s="23" t="str">
        <f t="shared" ref="AW210:AW212" si="232">IF(OR(BC210="PLC",BC210="PSF"),""&amp;AV210&amp;IF(AT210="BOOL",BY210&amp;"."&amp;BZ210,BY210)&amp; IF(CA210&lt;&gt;"",": &lt;"&amp;CA210&amp;"&gt; - ",": "),"")</f>
        <v/>
      </c>
      <c r="AX210" s="23" t="str">
        <f t="shared" ref="AX210:AX216" si="233">IF(OR(BC210="PLC",BC210="PSF"),IF(AND(BB210="EXIT",BC210="PSF"),CH210&amp;SUBSTITUTE(CJ210,":","_")&amp;CK210,CJ210&amp;CK210),"")</f>
        <v/>
      </c>
      <c r="AY210" s="36" t="str">
        <f t="shared" ref="AY210:AY216" si="234">IF(OR(BC210="PLC",BC210="PSF"),IF(CM210&lt;&gt;"",CM210 &amp; ": &lt;" &amp; CN210&amp;CO210 &amp; "&gt; - ","Controller: &lt;"&amp;CJ210&amp;CK210&amp;"&gt; - "),"")</f>
        <v/>
      </c>
      <c r="BB210" s="42" t="s">
        <v>17</v>
      </c>
      <c r="BC210" t="s">
        <v>62</v>
      </c>
      <c r="BD210" t="str">
        <f t="shared" si="162"/>
        <v>SxxRyy</v>
      </c>
      <c r="BF210" t="s">
        <v>417</v>
      </c>
      <c r="BR210">
        <v>1</v>
      </c>
      <c r="BS210" t="str">
        <f>"ROBOTS:"&amp;Header_Config02&amp;"\000_COMMON|ROBOTS_NOPLC:"&amp;Header_Config02&amp;"\000_COMMON"</f>
        <v>ROBOTS:SxxRyy\000_COMMON|ROBOTS_NOPLC:SxxRyy\000_COMMON</v>
      </c>
      <c r="BT210" t="str">
        <f>IF(Prep!$J$4="Y","","X")</f>
        <v/>
      </c>
      <c r="BV210" s="30" t="s">
        <v>417</v>
      </c>
      <c r="BY210" s="42"/>
      <c r="CB210" s="42"/>
      <c r="CE210" s="30"/>
      <c r="CH210" s="42"/>
      <c r="CN210" s="30"/>
      <c r="CP210" t="s">
        <v>12</v>
      </c>
      <c r="CQ210" s="40"/>
      <c r="CR210" s="30"/>
    </row>
    <row r="211" spans="2:96" x14ac:dyDescent="0.35">
      <c r="B211" s="4" t="str">
        <f t="shared" si="192"/>
        <v>FANUC_SxxRyy</v>
      </c>
      <c r="C211" s="4"/>
      <c r="D211" s="4" t="str">
        <f t="shared" si="193"/>
        <v>To_RBT_SensorToolID</v>
      </c>
      <c r="E211" s="4" t="str">
        <f t="shared" si="194"/>
        <v>SxxRyy_SensorToolID</v>
      </c>
      <c r="F211" s="4" t="str">
        <f t="shared" si="195"/>
        <v>Q</v>
      </c>
      <c r="G211" s="4" t="str">
        <f t="shared" si="196"/>
        <v/>
      </c>
      <c r="H211" s="4" t="str">
        <f t="shared" si="197"/>
        <v/>
      </c>
      <c r="I211" s="4" t="str">
        <f t="shared" si="198"/>
        <v/>
      </c>
      <c r="J211" s="4"/>
      <c r="K211" s="56" t="str">
        <f t="shared" si="199"/>
        <v>BYTE</v>
      </c>
      <c r="L211" s="56" t="str">
        <f t="shared" si="200"/>
        <v>ROBOTS\SxxRyy</v>
      </c>
      <c r="M211" s="56" t="str">
        <f t="shared" si="201"/>
        <v>STELLANTIS\Common\ToolPrototype\Robots</v>
      </c>
      <c r="N211" s="56" t="str">
        <f t="shared" si="202"/>
        <v>STELLANTIS_DN_FANUC_ROBOT_128_BIT_INTEGRATED_SAFETY_SxxRyy.v00</v>
      </c>
      <c r="O211" s="56" t="str">
        <f t="shared" si="203"/>
        <v>SensorToolID</v>
      </c>
      <c r="P211" s="56" t="str">
        <f t="shared" si="204"/>
        <v>SxxRyy</v>
      </c>
      <c r="Q211" s="56" t="str">
        <f t="shared" si="205"/>
        <v/>
      </c>
      <c r="R211" s="56" t="str">
        <f t="shared" si="206"/>
        <v/>
      </c>
      <c r="S211" s="56" t="str">
        <f t="shared" si="207"/>
        <v/>
      </c>
      <c r="T211" s="56" t="str">
        <f t="shared" si="208"/>
        <v/>
      </c>
      <c r="U211" s="56" t="str">
        <f t="shared" si="209"/>
        <v/>
      </c>
      <c r="V211" s="56" t="str">
        <f t="shared" si="210"/>
        <v/>
      </c>
      <c r="W211" s="56"/>
      <c r="X211" s="56"/>
      <c r="Y211" s="56"/>
      <c r="Z211" s="56" t="str">
        <f t="shared" si="211"/>
        <v/>
      </c>
      <c r="AA211" s="56" t="str">
        <f t="shared" si="212"/>
        <v/>
      </c>
      <c r="AB211" s="56" t="str">
        <f t="shared" si="213"/>
        <v>ToolPrototype</v>
      </c>
      <c r="AC211" s="56" t="str">
        <f t="shared" si="214"/>
        <v/>
      </c>
      <c r="AD211" s="56" t="str">
        <f t="shared" si="215"/>
        <v>&lt;device&gt;
&lt;name&gt;SxxRyy&lt;/name&gt;
&lt;type&gt;FCA_DN_FANUC&lt;/type&gt;
&lt;deviceNetwork&gt;201&lt;/deviceNetwork&gt;
&lt;deviceNode&gt;56&lt;/deviceNode&gt;
&lt;/device&gt;</v>
      </c>
      <c r="AE211" s="56" t="str">
        <f t="shared" si="216"/>
        <v/>
      </c>
      <c r="AF211" s="56" t="str">
        <f t="shared" si="217"/>
        <v/>
      </c>
      <c r="AG211" s="56" t="str">
        <f t="shared" si="218"/>
        <v/>
      </c>
      <c r="AH211" s="56" t="str">
        <f t="shared" si="219"/>
        <v/>
      </c>
      <c r="AI211" s="56" t="str">
        <f t="shared" si="220"/>
        <v/>
      </c>
      <c r="AJ211" s="56" t="str">
        <f t="shared" si="221"/>
        <v/>
      </c>
      <c r="AK211" s="56" t="str">
        <f t="shared" si="222"/>
        <v/>
      </c>
      <c r="AL211" s="56" t="str">
        <f t="shared" si="223"/>
        <v/>
      </c>
      <c r="AM211" s="56" t="str">
        <f t="shared" si="224"/>
        <v/>
      </c>
      <c r="AN211" s="56" t="str">
        <f t="shared" si="225"/>
        <v/>
      </c>
      <c r="AO211" s="56" t="str">
        <f t="shared" si="226"/>
        <v/>
      </c>
      <c r="AP211" s="56" t="str">
        <f t="shared" si="227"/>
        <v>RBT</v>
      </c>
      <c r="AQ211" s="56" t="str">
        <f t="shared" si="228"/>
        <v>EXIT</v>
      </c>
      <c r="AR211" s="39" t="s">
        <v>130</v>
      </c>
      <c r="AT211" s="44" t="str">
        <f t="shared" si="229"/>
        <v>BYTE</v>
      </c>
      <c r="AU211" s="23" t="str">
        <f t="shared" si="230"/>
        <v/>
      </c>
      <c r="AV211" s="23" t="str">
        <f t="shared" si="231"/>
        <v/>
      </c>
      <c r="AW211" s="23" t="str">
        <f t="shared" si="232"/>
        <v/>
      </c>
      <c r="AX211" s="23" t="str">
        <f t="shared" si="233"/>
        <v/>
      </c>
      <c r="AY211" s="36" t="str">
        <f t="shared" si="234"/>
        <v/>
      </c>
      <c r="BB211" s="42" t="s">
        <v>17</v>
      </c>
      <c r="BC211" t="s">
        <v>62</v>
      </c>
      <c r="BD211" t="str">
        <f t="shared" si="162"/>
        <v>SxxRyy</v>
      </c>
      <c r="BF211" t="s">
        <v>418</v>
      </c>
      <c r="BV211" s="30" t="s">
        <v>418</v>
      </c>
      <c r="BY211" s="42"/>
      <c r="CB211" s="42"/>
      <c r="CE211" s="30"/>
      <c r="CH211" s="42"/>
      <c r="CN211" s="30"/>
      <c r="CP211" t="s">
        <v>86</v>
      </c>
      <c r="CQ211" s="40"/>
      <c r="CR211" s="30"/>
    </row>
    <row r="212" spans="2:96" x14ac:dyDescent="0.35">
      <c r="B212" s="4" t="str">
        <f t="shared" si="192"/>
        <v>FANUC_SxxRyy</v>
      </c>
      <c r="C212" s="4"/>
      <c r="D212" s="4" t="str">
        <f t="shared" si="193"/>
        <v>To_SIM_RobotAppConfig</v>
      </c>
      <c r="E212" s="4" t="str">
        <f t="shared" si="194"/>
        <v>LBS_ROBOT_APP_CONFIG_SxxRyy</v>
      </c>
      <c r="F212" s="4" t="str">
        <f t="shared" si="195"/>
        <v>I</v>
      </c>
      <c r="G212" s="4" t="str">
        <f t="shared" si="196"/>
        <v/>
      </c>
      <c r="H212" s="4" t="str">
        <f t="shared" si="197"/>
        <v xml:space="preserve">[AB_RACKx_SLOTa]&lt;SxxRyy=SxxRyy|Local:N=ENBT200:1|D+0=82|D+1=83|D+2=84|D+3=85|aaaNbb=201N51&gt; DPyy:Cbaaaaaaa1; PSyy:AUX12; MH; TC; PALLET; </v>
      </c>
      <c r="I212" s="4" t="str">
        <f t="shared" si="198"/>
        <v/>
      </c>
      <c r="J212" s="4"/>
      <c r="K212" s="56" t="str">
        <f t="shared" si="199"/>
        <v>BOOL</v>
      </c>
      <c r="L212" s="56" t="str">
        <f t="shared" si="200"/>
        <v>ROBOTS\SxxRyy</v>
      </c>
      <c r="M212" s="56" t="str">
        <f t="shared" si="201"/>
        <v>STELLANTIS\Common\ToolPrototype\Robots</v>
      </c>
      <c r="N212" s="56" t="str">
        <f t="shared" si="202"/>
        <v>STELLANTIS_DN_FANUC_ROBOT_128_BIT_INTEGRATED_SAFETY_SxxRyy.v00</v>
      </c>
      <c r="O212" s="56" t="str">
        <f t="shared" si="203"/>
        <v/>
      </c>
      <c r="P212" s="56" t="str">
        <f t="shared" si="204"/>
        <v/>
      </c>
      <c r="Q212" s="56" t="str">
        <f t="shared" si="205"/>
        <v/>
      </c>
      <c r="R212" s="56" t="str">
        <f t="shared" si="206"/>
        <v/>
      </c>
      <c r="S212" s="56" t="str">
        <f t="shared" si="207"/>
        <v/>
      </c>
      <c r="T212" s="56" t="str">
        <f t="shared" si="208"/>
        <v/>
      </c>
      <c r="U212" s="56" t="str">
        <f t="shared" si="209"/>
        <v/>
      </c>
      <c r="V212" s="56" t="str">
        <f t="shared" si="210"/>
        <v/>
      </c>
      <c r="W212" s="56"/>
      <c r="X212" s="56"/>
      <c r="Y212" s="56"/>
      <c r="Z212" s="56" t="str">
        <f t="shared" si="211"/>
        <v/>
      </c>
      <c r="AA212" s="56" t="str">
        <f t="shared" si="212"/>
        <v/>
      </c>
      <c r="AB212" s="56" t="str">
        <f t="shared" si="213"/>
        <v>ToolPrototype</v>
      </c>
      <c r="AC212" s="56" t="str">
        <f t="shared" si="214"/>
        <v/>
      </c>
      <c r="AD212" s="56" t="str">
        <f t="shared" si="215"/>
        <v>&lt;device&gt;
&lt;name&gt;SxxRyy&lt;/name&gt;
&lt;type&gt;FCA_DN_FANUC&lt;/type&gt;
&lt;deviceNetwork&gt;201&lt;/deviceNetwork&gt;
&lt;deviceNode&gt;56&lt;/deviceNode&gt;
&lt;/device&gt;</v>
      </c>
      <c r="AE212" s="56" t="str">
        <f t="shared" si="216"/>
        <v/>
      </c>
      <c r="AF212" s="56" t="str">
        <f t="shared" si="217"/>
        <v/>
      </c>
      <c r="AG212" s="56" t="str">
        <f t="shared" si="218"/>
        <v/>
      </c>
      <c r="AH212" s="56" t="str">
        <f t="shared" si="219"/>
        <v/>
      </c>
      <c r="AI212" s="56" t="str">
        <f t="shared" si="220"/>
        <v/>
      </c>
      <c r="AJ212" s="56" t="str">
        <f t="shared" si="221"/>
        <v/>
      </c>
      <c r="AK212" s="56" t="str">
        <f t="shared" si="222"/>
        <v/>
      </c>
      <c r="AL212" s="56" t="str">
        <f t="shared" si="223"/>
        <v/>
      </c>
      <c r="AM212" s="56" t="str">
        <f t="shared" si="224"/>
        <v/>
      </c>
      <c r="AN212" s="56" t="str">
        <f t="shared" si="225"/>
        <v/>
      </c>
      <c r="AO212" s="56" t="str">
        <f t="shared" si="226"/>
        <v/>
      </c>
      <c r="AP212" s="56" t="str">
        <f t="shared" si="227"/>
        <v>LBS</v>
      </c>
      <c r="AQ212" s="56" t="str">
        <f t="shared" si="228"/>
        <v>EXIT</v>
      </c>
      <c r="AR212" s="39" t="s">
        <v>130</v>
      </c>
      <c r="AT212" s="44" t="str">
        <f t="shared" si="229"/>
        <v>BOOL</v>
      </c>
      <c r="AU212" s="23" t="str">
        <f t="shared" si="230"/>
        <v/>
      </c>
      <c r="AV212" s="23" t="str">
        <f t="shared" si="231"/>
        <v/>
      </c>
      <c r="AW212" s="23" t="str">
        <f t="shared" si="232"/>
        <v/>
      </c>
      <c r="AX212" s="23" t="str">
        <f t="shared" si="233"/>
        <v/>
      </c>
      <c r="AY212" s="36" t="str">
        <f t="shared" si="234"/>
        <v/>
      </c>
      <c r="BB212" s="42" t="s">
        <v>17</v>
      </c>
      <c r="BC212" t="s">
        <v>63</v>
      </c>
      <c r="BD212" t="str">
        <f>"LBS_ROBOT_APP_CONFIG_"&amp;Header_LB_Unique_ID</f>
        <v>LBS_ROBOT_APP_CONFIG_SxxRyy</v>
      </c>
      <c r="BE212" t="s">
        <v>64</v>
      </c>
      <c r="BU212" t="s">
        <v>105</v>
      </c>
      <c r="BV212" s="30" t="s">
        <v>740</v>
      </c>
      <c r="BY212" s="42"/>
      <c r="CB212" s="42"/>
      <c r="CE212" s="30"/>
      <c r="CH212" s="42"/>
      <c r="CN212" s="30"/>
      <c r="CP212" t="s">
        <v>12</v>
      </c>
      <c r="CQ212" s="40"/>
      <c r="CR212" s="30" t="str">
        <f>"["&amp;Header_Config01&amp;"]&lt;"&amp;"SxxRyy="&amp;Header_LB_Unique_ID&amp;"|"&amp;"Local:N="&amp;Prep!$U$3&amp;"|D+0="&amp;Prep!$U$7&amp;"|D+1="&amp;Prep!$U$7+1&amp;"|D+2="&amp;Prep!$U$7+2&amp;"|D+3="&amp;Prep!$U$7+3&amp;"|aaaNbb="&amp;Header_Config03&amp;"N"&amp;TEXT(Prep!$U$6,"00")&amp;"&gt; "&amp;IF(ISBLANK(Header_Config06),"",Header_Config06&amp;"1; ")&amp;IF(ISBLANK(Header_Config07),"",Header_Config07&amp;"2; ")&amp;IF(Prep!$J$4="Y","MH; ","")&amp;IF(Prep!$J$5="Y","TC; ","")&amp;IF(Prep!$J$6="Y","PALLET; ","")</f>
        <v xml:space="preserve">[AB_RACKx_SLOTa]&lt;SxxRyy=SxxRyy|Local:N=ENBT200:1|D+0=82|D+1=83|D+2=84|D+3=85|aaaNbb=201N51&gt; DPyy:Cbaaaaaaa1; PSyy:AUX12; MH; TC; PALLET; </v>
      </c>
    </row>
    <row r="213" spans="2:96" x14ac:dyDescent="0.35">
      <c r="B213" s="4" t="str">
        <f t="shared" si="192"/>
        <v>FANUC_SxxRyy</v>
      </c>
      <c r="C213" s="4"/>
      <c r="D213" s="4" t="str">
        <f t="shared" si="193"/>
        <v>To_SIM_AUX_NMP</v>
      </c>
      <c r="E213" s="4" t="str">
        <f t="shared" si="194"/>
        <v>LBS_SxxRyy_AUX_NMP</v>
      </c>
      <c r="F213" s="4" t="str">
        <f t="shared" si="195"/>
        <v>I</v>
      </c>
      <c r="G213" s="4" t="str">
        <f t="shared" si="196"/>
        <v/>
      </c>
      <c r="H213" s="4" t="str">
        <f t="shared" si="197"/>
        <v/>
      </c>
      <c r="I213" s="4" t="str">
        <f t="shared" si="198"/>
        <v/>
      </c>
      <c r="J213" s="4"/>
      <c r="K213" s="56" t="str">
        <f t="shared" si="199"/>
        <v>BOOL</v>
      </c>
      <c r="L213" s="56" t="str">
        <f t="shared" si="200"/>
        <v>ROBOTS\SxxRyy</v>
      </c>
      <c r="M213" s="56" t="str">
        <f t="shared" si="201"/>
        <v>STELLANTIS\Common\ToolPrototype\Robots</v>
      </c>
      <c r="N213" s="56" t="str">
        <f t="shared" si="202"/>
        <v>STELLANTIS_DN_FANUC_ROBOT_128_BIT_INTEGRATED_SAFETY_SxxRyy.v00</v>
      </c>
      <c r="O213" s="56" t="str">
        <f t="shared" si="203"/>
        <v/>
      </c>
      <c r="P213" s="56" t="str">
        <f t="shared" si="204"/>
        <v/>
      </c>
      <c r="Q213" s="56" t="str">
        <f t="shared" si="205"/>
        <v/>
      </c>
      <c r="R213" s="56" t="str">
        <f t="shared" si="206"/>
        <v/>
      </c>
      <c r="S213" s="56" t="str">
        <f t="shared" si="207"/>
        <v/>
      </c>
      <c r="T213" s="56" t="str">
        <f t="shared" si="208"/>
        <v/>
      </c>
      <c r="U213" s="56" t="str">
        <f t="shared" si="209"/>
        <v/>
      </c>
      <c r="V213" s="56" t="str">
        <f t="shared" si="210"/>
        <v/>
      </c>
      <c r="W213" s="56"/>
      <c r="X213" s="56"/>
      <c r="Y213" s="56"/>
      <c r="Z213" s="56" t="str">
        <f t="shared" si="211"/>
        <v/>
      </c>
      <c r="AA213" s="56" t="str">
        <f t="shared" si="212"/>
        <v/>
      </c>
      <c r="AB213" s="56" t="str">
        <f t="shared" si="213"/>
        <v>ToolPrototype</v>
      </c>
      <c r="AC213" s="56" t="str">
        <f t="shared" si="214"/>
        <v/>
      </c>
      <c r="AD213" s="56" t="str">
        <f t="shared" si="215"/>
        <v>&lt;device&gt;
&lt;name&gt;SxxRyy&lt;/name&gt;
&lt;type&gt;FCA_DN_FANUC&lt;/type&gt;
&lt;deviceNetwork&gt;201&lt;/deviceNetwork&gt;
&lt;deviceNode&gt;56&lt;/deviceNode&gt;
&lt;/device&gt;</v>
      </c>
      <c r="AE213" s="56" t="str">
        <f t="shared" si="216"/>
        <v/>
      </c>
      <c r="AF213" s="56" t="str">
        <f t="shared" si="217"/>
        <v/>
      </c>
      <c r="AG213" s="56" t="str">
        <f t="shared" si="218"/>
        <v/>
      </c>
      <c r="AH213" s="56" t="str">
        <f t="shared" si="219"/>
        <v/>
      </c>
      <c r="AI213" s="56" t="str">
        <f t="shared" si="220"/>
        <v/>
      </c>
      <c r="AJ213" s="56" t="str">
        <f t="shared" si="221"/>
        <v/>
      </c>
      <c r="AK213" s="56" t="str">
        <f t="shared" si="222"/>
        <v/>
      </c>
      <c r="AL213" s="56" t="str">
        <f t="shared" si="223"/>
        <v/>
      </c>
      <c r="AM213" s="56" t="str">
        <f t="shared" si="224"/>
        <v/>
      </c>
      <c r="AN213" s="56" t="str">
        <f t="shared" si="225"/>
        <v/>
      </c>
      <c r="AO213" s="56" t="str">
        <f t="shared" si="226"/>
        <v/>
      </c>
      <c r="AP213" s="56" t="str">
        <f t="shared" si="227"/>
        <v>LBS</v>
      </c>
      <c r="AQ213" s="56" t="str">
        <f t="shared" si="228"/>
        <v>EXIT</v>
      </c>
      <c r="AR213" s="39" t="s">
        <v>130</v>
      </c>
      <c r="AT213" s="44" t="str">
        <f t="shared" si="229"/>
        <v>BOOL</v>
      </c>
      <c r="AU213" s="23" t="str">
        <f t="shared" si="230"/>
        <v/>
      </c>
      <c r="AV213" s="23" t="str">
        <f t="shared" si="231"/>
        <v/>
      </c>
      <c r="AW213" s="23" t="str">
        <f t="shared" ref="AW213:AW216" si="235">IF(OR(BC213="PLC",BC213="PSF"),""&amp;AV213&amp;IF(AT213="BOOL",BY213&amp;"."&amp;BZ213,BY213)&amp; IF(CA213&lt;&gt;"",": &lt;"&amp;CA213&amp;"&gt; - ",": "),"")</f>
        <v/>
      </c>
      <c r="AX213" s="23" t="str">
        <f t="shared" si="233"/>
        <v/>
      </c>
      <c r="AY213" s="36" t="str">
        <f t="shared" si="234"/>
        <v/>
      </c>
      <c r="BB213" s="42" t="s">
        <v>17</v>
      </c>
      <c r="BC213" t="s">
        <v>63</v>
      </c>
      <c r="BD213" t="str">
        <f>"LBS_"&amp;SUBSTITUTE(Header_LB_Unique_ID,":","_")&amp;"_AUX_NMP"</f>
        <v>LBS_SxxRyy_AUX_NMP</v>
      </c>
      <c r="BE213" t="s">
        <v>64</v>
      </c>
      <c r="BU213" t="s">
        <v>105</v>
      </c>
      <c r="BV213" s="30" t="s">
        <v>741</v>
      </c>
      <c r="BY213" s="42"/>
      <c r="CB213" s="42"/>
      <c r="CE213" s="30"/>
      <c r="CH213" s="42"/>
      <c r="CN213" s="30"/>
      <c r="CP213" t="s">
        <v>12</v>
      </c>
      <c r="CQ213" s="40"/>
      <c r="CR213" s="30"/>
    </row>
    <row r="214" spans="2:96" x14ac:dyDescent="0.35">
      <c r="B214" s="4" t="str">
        <f t="shared" si="192"/>
        <v>FANUC_SxxRyy</v>
      </c>
      <c r="C214" s="4"/>
      <c r="D214" s="4" t="str">
        <f t="shared" si="193"/>
        <v>To_SIM_AUX_MP</v>
      </c>
      <c r="E214" s="4" t="str">
        <f t="shared" si="194"/>
        <v>LBS_SxxRyy_AUX_MP</v>
      </c>
      <c r="F214" s="4" t="str">
        <f t="shared" si="195"/>
        <v>I</v>
      </c>
      <c r="G214" s="4" t="str">
        <f t="shared" si="196"/>
        <v/>
      </c>
      <c r="H214" s="4" t="str">
        <f t="shared" si="197"/>
        <v/>
      </c>
      <c r="I214" s="4" t="str">
        <f t="shared" si="198"/>
        <v/>
      </c>
      <c r="J214" s="4"/>
      <c r="K214" s="56" t="str">
        <f t="shared" si="199"/>
        <v>BOOL</v>
      </c>
      <c r="L214" s="56" t="str">
        <f t="shared" si="200"/>
        <v>ROBOTS\SxxRyy</v>
      </c>
      <c r="M214" s="56" t="str">
        <f t="shared" si="201"/>
        <v>STELLANTIS\Common\ToolPrototype\Robots</v>
      </c>
      <c r="N214" s="56" t="str">
        <f t="shared" si="202"/>
        <v>STELLANTIS_DN_FANUC_ROBOT_128_BIT_INTEGRATED_SAFETY_SxxRyy.v00</v>
      </c>
      <c r="O214" s="56" t="str">
        <f t="shared" si="203"/>
        <v/>
      </c>
      <c r="P214" s="56" t="str">
        <f t="shared" si="204"/>
        <v/>
      </c>
      <c r="Q214" s="56" t="str">
        <f t="shared" si="205"/>
        <v/>
      </c>
      <c r="R214" s="56" t="str">
        <f t="shared" si="206"/>
        <v/>
      </c>
      <c r="S214" s="56" t="str">
        <f t="shared" si="207"/>
        <v/>
      </c>
      <c r="T214" s="56" t="str">
        <f t="shared" si="208"/>
        <v/>
      </c>
      <c r="U214" s="56" t="str">
        <f t="shared" si="209"/>
        <v/>
      </c>
      <c r="V214" s="56" t="str">
        <f t="shared" si="210"/>
        <v/>
      </c>
      <c r="W214" s="56"/>
      <c r="X214" s="56"/>
      <c r="Y214" s="56"/>
      <c r="Z214" s="56" t="str">
        <f t="shared" si="211"/>
        <v/>
      </c>
      <c r="AA214" s="56" t="str">
        <f t="shared" si="212"/>
        <v/>
      </c>
      <c r="AB214" s="56" t="str">
        <f t="shared" si="213"/>
        <v>ToolPrototype</v>
      </c>
      <c r="AC214" s="56" t="str">
        <f t="shared" si="214"/>
        <v/>
      </c>
      <c r="AD214" s="56" t="str">
        <f t="shared" si="215"/>
        <v>&lt;device&gt;
&lt;name&gt;SxxRyy&lt;/name&gt;
&lt;type&gt;FCA_DN_FANUC&lt;/type&gt;
&lt;deviceNetwork&gt;201&lt;/deviceNetwork&gt;
&lt;deviceNode&gt;56&lt;/deviceNode&gt;
&lt;/device&gt;</v>
      </c>
      <c r="AE214" s="56" t="str">
        <f t="shared" si="216"/>
        <v/>
      </c>
      <c r="AF214" s="56" t="str">
        <f t="shared" si="217"/>
        <v/>
      </c>
      <c r="AG214" s="56" t="str">
        <f t="shared" si="218"/>
        <v/>
      </c>
      <c r="AH214" s="56" t="str">
        <f t="shared" si="219"/>
        <v/>
      </c>
      <c r="AI214" s="56" t="str">
        <f t="shared" si="220"/>
        <v/>
      </c>
      <c r="AJ214" s="56" t="str">
        <f t="shared" si="221"/>
        <v/>
      </c>
      <c r="AK214" s="56" t="str">
        <f t="shared" si="222"/>
        <v/>
      </c>
      <c r="AL214" s="56" t="str">
        <f t="shared" si="223"/>
        <v/>
      </c>
      <c r="AM214" s="56" t="str">
        <f t="shared" si="224"/>
        <v/>
      </c>
      <c r="AN214" s="56" t="str">
        <f t="shared" si="225"/>
        <v/>
      </c>
      <c r="AO214" s="56" t="str">
        <f t="shared" si="226"/>
        <v/>
      </c>
      <c r="AP214" s="56" t="str">
        <f t="shared" si="227"/>
        <v>LBS</v>
      </c>
      <c r="AQ214" s="56" t="str">
        <f t="shared" si="228"/>
        <v>EXIT</v>
      </c>
      <c r="AR214" s="39" t="s">
        <v>130</v>
      </c>
      <c r="AT214" s="44" t="str">
        <f t="shared" si="229"/>
        <v>BOOL</v>
      </c>
      <c r="AU214" s="23" t="str">
        <f t="shared" si="230"/>
        <v/>
      </c>
      <c r="AV214" s="23" t="str">
        <f t="shared" si="231"/>
        <v/>
      </c>
      <c r="AW214" s="23" t="str">
        <f t="shared" si="235"/>
        <v/>
      </c>
      <c r="AX214" s="23" t="str">
        <f t="shared" si="233"/>
        <v/>
      </c>
      <c r="AY214" s="36" t="str">
        <f t="shared" si="234"/>
        <v/>
      </c>
      <c r="BB214" s="42" t="s">
        <v>17</v>
      </c>
      <c r="BC214" t="s">
        <v>63</v>
      </c>
      <c r="BD214" t="str">
        <f>"LBS_"&amp;SUBSTITUTE(Header_LB_Unique_ID,":","_")&amp;"_AUX_MP"</f>
        <v>LBS_SxxRyy_AUX_MP</v>
      </c>
      <c r="BE214" t="s">
        <v>64</v>
      </c>
      <c r="BU214" t="s">
        <v>105</v>
      </c>
      <c r="BV214" s="30" t="s">
        <v>742</v>
      </c>
      <c r="BY214" s="42"/>
      <c r="CB214" s="42"/>
      <c r="CE214" s="30"/>
      <c r="CH214" s="42"/>
      <c r="CN214" s="30"/>
      <c r="CP214" t="s">
        <v>12</v>
      </c>
      <c r="CQ214" s="40"/>
      <c r="CR214" s="30"/>
    </row>
    <row r="215" spans="2:96" x14ac:dyDescent="0.35">
      <c r="B215" s="4" t="str">
        <f t="shared" si="192"/>
        <v>FANUC_SxxRyy</v>
      </c>
      <c r="C215" s="4"/>
      <c r="D215" s="4" t="str">
        <f t="shared" si="193"/>
        <v>To_START_LB_StartProgram</v>
      </c>
      <c r="E215" s="4" t="str">
        <f t="shared" si="194"/>
        <v>LBS_FANUC_SxxRyy_To_SxxRyy.LB_StartProgram</v>
      </c>
      <c r="F215" s="4" t="str">
        <f t="shared" si="195"/>
        <v>I</v>
      </c>
      <c r="G215" s="4" t="str">
        <f t="shared" si="196"/>
        <v/>
      </c>
      <c r="H215" s="4" t="str">
        <f t="shared" si="197"/>
        <v/>
      </c>
      <c r="I215" s="4" t="str">
        <f t="shared" si="198"/>
        <v/>
      </c>
      <c r="J215" s="4"/>
      <c r="K215" s="56" t="str">
        <f t="shared" si="199"/>
        <v>BOOL</v>
      </c>
      <c r="L215" s="56" t="str">
        <f t="shared" si="200"/>
        <v>ROBOTS\SxxRyy</v>
      </c>
      <c r="M215" s="56" t="str">
        <f t="shared" si="201"/>
        <v>STELLANTIS\Common\ToolPrototype\Robots</v>
      </c>
      <c r="N215" s="56" t="str">
        <f t="shared" si="202"/>
        <v>STELLANTIS_DN_FANUC_ROBOT_128_BIT_INTEGRATED_SAFETY_SxxRyy.v00</v>
      </c>
      <c r="O215" s="56" t="str">
        <f t="shared" si="203"/>
        <v/>
      </c>
      <c r="P215" s="56" t="str">
        <f t="shared" si="204"/>
        <v/>
      </c>
      <c r="Q215" s="56" t="str">
        <f t="shared" si="205"/>
        <v/>
      </c>
      <c r="R215" s="56" t="str">
        <f t="shared" si="206"/>
        <v/>
      </c>
      <c r="S215" s="56" t="str">
        <f t="shared" si="207"/>
        <v/>
      </c>
      <c r="T215" s="56" t="str">
        <f t="shared" si="208"/>
        <v/>
      </c>
      <c r="U215" s="56" t="str">
        <f t="shared" si="209"/>
        <v/>
      </c>
      <c r="V215" s="56" t="str">
        <f t="shared" si="210"/>
        <v/>
      </c>
      <c r="W215" s="56"/>
      <c r="X215" s="56"/>
      <c r="Y215" s="56"/>
      <c r="Z215" s="56" t="str">
        <f t="shared" si="211"/>
        <v/>
      </c>
      <c r="AA215" s="56" t="str">
        <f t="shared" si="212"/>
        <v/>
      </c>
      <c r="AB215" s="56" t="str">
        <f t="shared" si="213"/>
        <v>ToolPrototype</v>
      </c>
      <c r="AC215" s="56" t="str">
        <f t="shared" si="214"/>
        <v/>
      </c>
      <c r="AD215" s="56" t="str">
        <f t="shared" si="215"/>
        <v>&lt;device&gt;
&lt;name&gt;SxxRyy&lt;/name&gt;
&lt;type&gt;FCA_DN_FANUC&lt;/type&gt;
&lt;deviceNetwork&gt;201&lt;/deviceNetwork&gt;
&lt;deviceNode&gt;56&lt;/deviceNode&gt;
&lt;/device&gt;</v>
      </c>
      <c r="AE215" s="56" t="str">
        <f t="shared" si="216"/>
        <v/>
      </c>
      <c r="AF215" s="56" t="str">
        <f t="shared" si="217"/>
        <v/>
      </c>
      <c r="AG215" s="56" t="str">
        <f t="shared" si="218"/>
        <v/>
      </c>
      <c r="AH215" s="56" t="str">
        <f t="shared" si="219"/>
        <v/>
      </c>
      <c r="AI215" s="56" t="str">
        <f t="shared" si="220"/>
        <v/>
      </c>
      <c r="AJ215" s="56" t="str">
        <f t="shared" si="221"/>
        <v/>
      </c>
      <c r="AK215" s="56" t="str">
        <f t="shared" si="222"/>
        <v/>
      </c>
      <c r="AL215" s="56" t="str">
        <f t="shared" si="223"/>
        <v/>
      </c>
      <c r="AM215" s="56" t="str">
        <f t="shared" si="224"/>
        <v/>
      </c>
      <c r="AN215" s="56" t="str">
        <f t="shared" si="225"/>
        <v/>
      </c>
      <c r="AO215" s="56" t="str">
        <f t="shared" si="226"/>
        <v/>
      </c>
      <c r="AP215" s="56" t="str">
        <f t="shared" si="227"/>
        <v>LBS</v>
      </c>
      <c r="AQ215" s="56" t="str">
        <f t="shared" si="228"/>
        <v>EXIT</v>
      </c>
      <c r="AR215" s="39" t="s">
        <v>130</v>
      </c>
      <c r="AT215" s="44" t="str">
        <f t="shared" si="229"/>
        <v>BOOL</v>
      </c>
      <c r="AU215" s="23" t="str">
        <f t="shared" si="230"/>
        <v/>
      </c>
      <c r="AV215" s="23" t="str">
        <f t="shared" si="231"/>
        <v/>
      </c>
      <c r="AW215" s="23" t="str">
        <f t="shared" si="235"/>
        <v/>
      </c>
      <c r="AX215" s="23" t="str">
        <f t="shared" si="233"/>
        <v/>
      </c>
      <c r="AY215" s="36" t="str">
        <f t="shared" si="234"/>
        <v/>
      </c>
      <c r="BB215" s="42" t="s">
        <v>17</v>
      </c>
      <c r="BC215" t="s">
        <v>105</v>
      </c>
      <c r="BD215" t="str">
        <f>Header_LB_Unique_ID&amp;".LB"</f>
        <v>SxxRyy.LB</v>
      </c>
      <c r="BE215" t="s">
        <v>419</v>
      </c>
      <c r="BV215" s="30" t="s">
        <v>743</v>
      </c>
      <c r="BY215" s="42"/>
      <c r="CB215" s="42"/>
      <c r="CE215" s="30"/>
      <c r="CH215" s="42"/>
      <c r="CN215" s="30"/>
      <c r="CP215" t="s">
        <v>12</v>
      </c>
      <c r="CQ215" s="40"/>
      <c r="CR215" s="30"/>
    </row>
    <row r="216" spans="2:96" x14ac:dyDescent="0.35">
      <c r="B216" s="4" t="str">
        <f t="shared" si="192"/>
        <v>FANUC_SxxRyy</v>
      </c>
      <c r="C216" s="4"/>
      <c r="D216" s="4" t="str">
        <f t="shared" si="193"/>
        <v>To_START_LB_ProgramNumber</v>
      </c>
      <c r="E216" s="4" t="str">
        <f t="shared" si="194"/>
        <v>LBS_FANUC_SxxRyy_To_SxxRyy.LB_ProgramNumber</v>
      </c>
      <c r="F216" s="4" t="str">
        <f t="shared" si="195"/>
        <v>I</v>
      </c>
      <c r="G216" s="4" t="str">
        <f t="shared" si="196"/>
        <v/>
      </c>
      <c r="H216" s="4" t="str">
        <f t="shared" si="197"/>
        <v/>
      </c>
      <c r="I216" s="4" t="str">
        <f t="shared" si="198"/>
        <v/>
      </c>
      <c r="J216" s="4"/>
      <c r="K216" s="56" t="str">
        <f t="shared" si="199"/>
        <v>BYTE</v>
      </c>
      <c r="L216" s="56" t="str">
        <f t="shared" si="200"/>
        <v>ROBOTS\SxxRyy</v>
      </c>
      <c r="M216" s="56" t="str">
        <f t="shared" si="201"/>
        <v>STELLANTIS\Common\ToolPrototype\Robots</v>
      </c>
      <c r="N216" s="56" t="str">
        <f t="shared" si="202"/>
        <v>STELLANTIS_DN_FANUC_ROBOT_128_BIT_INTEGRATED_SAFETY_SxxRyy.v00</v>
      </c>
      <c r="O216" s="56" t="str">
        <f t="shared" si="203"/>
        <v/>
      </c>
      <c r="P216" s="56" t="str">
        <f t="shared" si="204"/>
        <v/>
      </c>
      <c r="Q216" s="56" t="str">
        <f t="shared" si="205"/>
        <v/>
      </c>
      <c r="R216" s="56" t="str">
        <f t="shared" si="206"/>
        <v/>
      </c>
      <c r="S216" s="56" t="str">
        <f t="shared" si="207"/>
        <v/>
      </c>
      <c r="T216" s="56" t="str">
        <f t="shared" si="208"/>
        <v/>
      </c>
      <c r="U216" s="56" t="str">
        <f t="shared" si="209"/>
        <v/>
      </c>
      <c r="V216" s="56" t="str">
        <f t="shared" si="210"/>
        <v/>
      </c>
      <c r="W216" s="56"/>
      <c r="X216" s="56"/>
      <c r="Y216" s="56"/>
      <c r="Z216" s="56" t="str">
        <f t="shared" si="211"/>
        <v/>
      </c>
      <c r="AA216" s="56" t="str">
        <f t="shared" si="212"/>
        <v/>
      </c>
      <c r="AB216" s="56" t="str">
        <f t="shared" si="213"/>
        <v>ToolPrototype</v>
      </c>
      <c r="AC216" s="56" t="str">
        <f t="shared" si="214"/>
        <v/>
      </c>
      <c r="AD216" s="56" t="str">
        <f t="shared" si="215"/>
        <v>&lt;device&gt;
&lt;name&gt;SxxRyy&lt;/name&gt;
&lt;type&gt;FCA_DN_FANUC&lt;/type&gt;
&lt;deviceNetwork&gt;201&lt;/deviceNetwork&gt;
&lt;deviceNode&gt;56&lt;/deviceNode&gt;
&lt;/device&gt;</v>
      </c>
      <c r="AE216" s="56" t="str">
        <f t="shared" si="216"/>
        <v/>
      </c>
      <c r="AF216" s="56" t="str">
        <f t="shared" si="217"/>
        <v/>
      </c>
      <c r="AG216" s="56" t="str">
        <f t="shared" si="218"/>
        <v/>
      </c>
      <c r="AH216" s="56" t="str">
        <f t="shared" si="219"/>
        <v/>
      </c>
      <c r="AI216" s="56" t="str">
        <f t="shared" si="220"/>
        <v/>
      </c>
      <c r="AJ216" s="56" t="str">
        <f t="shared" si="221"/>
        <v/>
      </c>
      <c r="AK216" s="56" t="str">
        <f t="shared" si="222"/>
        <v/>
      </c>
      <c r="AL216" s="56" t="str">
        <f t="shared" si="223"/>
        <v/>
      </c>
      <c r="AM216" s="56" t="str">
        <f t="shared" si="224"/>
        <v/>
      </c>
      <c r="AN216" s="56" t="str">
        <f t="shared" si="225"/>
        <v/>
      </c>
      <c r="AO216" s="56" t="str">
        <f t="shared" si="226"/>
        <v/>
      </c>
      <c r="AP216" s="56" t="str">
        <f t="shared" si="227"/>
        <v>LBS</v>
      </c>
      <c r="AQ216" s="56" t="str">
        <f t="shared" si="228"/>
        <v>EXIT</v>
      </c>
      <c r="AR216" s="39" t="s">
        <v>130</v>
      </c>
      <c r="AT216" s="44" t="str">
        <f t="shared" si="229"/>
        <v>BYTE</v>
      </c>
      <c r="AU216" s="23" t="str">
        <f t="shared" si="230"/>
        <v/>
      </c>
      <c r="AV216" s="23" t="str">
        <f t="shared" si="231"/>
        <v/>
      </c>
      <c r="AW216" s="23" t="str">
        <f t="shared" si="235"/>
        <v/>
      </c>
      <c r="AX216" s="23" t="str">
        <f t="shared" si="233"/>
        <v/>
      </c>
      <c r="AY216" s="36" t="str">
        <f t="shared" si="234"/>
        <v/>
      </c>
      <c r="BB216" s="42" t="s">
        <v>17</v>
      </c>
      <c r="BC216" t="s">
        <v>105</v>
      </c>
      <c r="BD216" t="str">
        <f>Header_LB_Unique_ID&amp;".LB"</f>
        <v>SxxRyy.LB</v>
      </c>
      <c r="BE216" t="s">
        <v>419</v>
      </c>
      <c r="BV216" s="30" t="s">
        <v>744</v>
      </c>
      <c r="BY216" s="42"/>
      <c r="CB216" s="42"/>
      <c r="CE216" s="30"/>
      <c r="CH216" s="42"/>
      <c r="CN216" s="30"/>
      <c r="CP216" t="s">
        <v>86</v>
      </c>
      <c r="CQ216" s="40"/>
      <c r="CR216" s="30"/>
    </row>
    <row r="217" spans="2:96" x14ac:dyDescent="0.35">
      <c r="B217" s="4"/>
      <c r="C217" s="4"/>
      <c r="D217" s="4"/>
      <c r="E217" s="4"/>
      <c r="F217" s="4"/>
      <c r="G217" s="4"/>
      <c r="H217" s="4"/>
      <c r="I217" s="4"/>
      <c r="J217" s="4"/>
      <c r="K217" s="56"/>
      <c r="L217" s="56"/>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c r="AR217" s="39"/>
      <c r="AT217" s="44"/>
      <c r="AU217" s="23"/>
      <c r="AV217" s="23"/>
      <c r="AW217" s="23"/>
      <c r="AX217" s="23"/>
      <c r="AY217" s="36"/>
      <c r="BB217" s="42"/>
      <c r="BV217" s="30"/>
      <c r="BY217" s="42"/>
      <c r="CB217" s="42"/>
      <c r="CE217" s="30"/>
      <c r="CH217" s="42"/>
      <c r="CN217" s="30"/>
      <c r="CQ217" s="40"/>
      <c r="CR217" s="30"/>
    </row>
  </sheetData>
  <conditionalFormatting sqref="BF14:BF217">
    <cfRule type="expression" dxfId="24" priority="294">
      <formula>AND(OR(AND($BC14="LBS",$BB14="EXIT"),AND($BC14="CUSTOM",$BU14&lt;&gt;"PLC",$BU14&lt;&gt;"PSF")),$B14&lt;&gt;"")</formula>
    </cfRule>
  </conditionalFormatting>
  <conditionalFormatting sqref="CL14:CL217 CH14:CI217">
    <cfRule type="expression" dxfId="23" priority="316">
      <formula>AND(OR($BB14="ENTRY",$BC14&lt;&gt;"PSF"),$B14&lt;&gt;"")</formula>
    </cfRule>
  </conditionalFormatting>
  <conditionalFormatting sqref="CM14:CO217 BY14:BZ217 CJ14:CK217">
    <cfRule type="expression" dxfId="22" priority="319">
      <formula>AND($BC14&lt;&gt;"PLC",$BC14&lt;&gt;"PSF",$B14&lt;&gt;"")</formula>
    </cfRule>
  </conditionalFormatting>
  <conditionalFormatting sqref="BH14:BI217">
    <cfRule type="expression" dxfId="21" priority="296">
      <formula>AND($BC14&lt;&gt;"PLC",$BC14&lt;&gt;"PSF",$BC14&lt;&gt;"SNS",$BC14&lt;&gt;"OPR",$BC14&lt;&gt;"RBT",$BC14&lt;&gt;"CUSTOM",$B14&lt;&gt;"")</formula>
    </cfRule>
  </conditionalFormatting>
  <conditionalFormatting sqref="BU14:BU217">
    <cfRule type="expression" dxfId="20" priority="302">
      <formula>AND($BC14&lt;&gt;"CUSTOM",$B14&lt;&gt;"")</formula>
    </cfRule>
  </conditionalFormatting>
  <conditionalFormatting sqref="BG14:BG217">
    <cfRule type="expression" dxfId="19" priority="295">
      <formula>AND($BC14&lt;&gt;"PLC",$BC14&lt;&gt;"PSF",$BC14&lt;&gt;"RBT",$BC14&lt;&gt;"OPR",$BC14&lt;&gt;"SNS",$BC14&lt;&gt;"CUSTOM",$B14&lt;&gt;"")</formula>
    </cfRule>
  </conditionalFormatting>
  <conditionalFormatting sqref="BT14:BT217">
    <cfRule type="expression" dxfId="18" priority="6">
      <formula>NOT(ISBLANK($BT14))</formula>
    </cfRule>
  </conditionalFormatting>
  <conditionalFormatting sqref="BJ14:BL217">
    <cfRule type="expression" dxfId="17" priority="298">
      <formula>AND($BC14&lt;&gt;"SNS",$BC14&lt;&gt;"OPR",$B14&lt;&gt;"")</formula>
    </cfRule>
  </conditionalFormatting>
  <conditionalFormatting sqref="B14:J217">
    <cfRule type="expression" dxfId="16" priority="241">
      <formula>AND($BB14="ENTRY",$BC14="PLC")</formula>
    </cfRule>
    <cfRule type="expression" dxfId="15" priority="243">
      <formula>AND($BB14="EXIT",$BC14="PLC")</formula>
    </cfRule>
    <cfRule type="expression" dxfId="14" priority="245">
      <formula>AND($BB14="ENTRY",$BC14="PSF")</formula>
    </cfRule>
    <cfRule type="expression" dxfId="13" priority="247">
      <formula>AND($BB14="EXIT",$BC14="PSF")</formula>
    </cfRule>
    <cfRule type="expression" dxfId="12" priority="248">
      <formula>AND($BB14="ENTRY",$BC14="RBT")</formula>
    </cfRule>
    <cfRule type="expression" dxfId="11" priority="249">
      <formula>AND($BB14="EXIT",$BC14="RBT")</formula>
    </cfRule>
    <cfRule type="expression" dxfId="10" priority="250">
      <formula>AND($BB14="ENTRY",$BC14="OPR")</formula>
    </cfRule>
    <cfRule type="expression" dxfId="9" priority="251">
      <formula>AND($BB14="EXIT",$BC14="OPR")</formula>
    </cfRule>
    <cfRule type="expression" dxfId="8" priority="253">
      <formula>AND($BB14="ENTRY",$BC14="LBS")</formula>
    </cfRule>
    <cfRule type="expression" dxfId="7" priority="254">
      <formula>AND($BB14="EXIT",$BC14="LBS")</formula>
    </cfRule>
    <cfRule type="expression" dxfId="6" priority="255">
      <formula>AND($BB14="ENTRY",$BC14="SNS")</formula>
    </cfRule>
    <cfRule type="expression" dxfId="5" priority="256">
      <formula>AND($BB14="ENTRY",$BC14="KEY")</formula>
    </cfRule>
    <cfRule type="expression" dxfId="4" priority="291">
      <formula>AND($BB14="ENTRY",$BC14="CUSTOM")</formula>
    </cfRule>
    <cfRule type="expression" dxfId="3" priority="292">
      <formula>AND($BB14="EXIT",$BC14="CUSTOM")</formula>
    </cfRule>
  </conditionalFormatting>
  <conditionalFormatting sqref="B14:CR217">
    <cfRule type="expression" dxfId="2" priority="2">
      <formula>$B14=""</formula>
    </cfRule>
  </conditionalFormatting>
  <conditionalFormatting sqref="AT14:CR217">
    <cfRule type="expression" dxfId="1" priority="1">
      <formula>AND(OR($BB14&lt;&gt;$BB13,$BC14&lt;&gt;$BC13),AT$13&lt;&gt;"x")</formula>
    </cfRule>
  </conditionalFormatting>
  <conditionalFormatting sqref="BM14:BO217">
    <cfRule type="expression" dxfId="0" priority="5">
      <formula>AND(TRUE,$B14&lt;&gt;"")</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64" r:id="rId4" name="cmdGenerateLBEntriesExits">
          <controlPr autoLine="0" r:id="rId5">
            <anchor moveWithCells="1">
              <from>
                <xdr:col>3</xdr:col>
                <xdr:colOff>69850</xdr:colOff>
                <xdr:row>0</xdr:row>
                <xdr:rowOff>50800</xdr:rowOff>
              </from>
              <to>
                <xdr:col>3</xdr:col>
                <xdr:colOff>1295400</xdr:colOff>
                <xdr:row>2</xdr:row>
                <xdr:rowOff>158750</xdr:rowOff>
              </to>
            </anchor>
          </controlPr>
        </control>
      </mc:Choice>
      <mc:Fallback>
        <control shapeId="2064" r:id="rId4" name="cmdGenerateLBEntriesExits"/>
      </mc:Fallback>
    </mc:AlternateContent>
    <mc:AlternateContent xmlns:mc="http://schemas.openxmlformats.org/markup-compatibility/2006">
      <mc:Choice Requires="x14">
        <control shapeId="2071" r:id="rId6" name="cmdBackupLB">
          <controlPr autoLine="0" r:id="rId7">
            <anchor moveWithCells="1">
              <from>
                <xdr:col>3</xdr:col>
                <xdr:colOff>1466850</xdr:colOff>
                <xdr:row>0</xdr:row>
                <xdr:rowOff>50800</xdr:rowOff>
              </from>
              <to>
                <xdr:col>3</xdr:col>
                <xdr:colOff>2692400</xdr:colOff>
                <xdr:row>2</xdr:row>
                <xdr:rowOff>158750</xdr:rowOff>
              </to>
            </anchor>
          </controlPr>
        </control>
      </mc:Choice>
      <mc:Fallback>
        <control shapeId="2071" r:id="rId6" name="cmdBackupLB"/>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Lists!$B$3:$B$4</xm:f>
          </x14:formula1>
          <xm:sqref>BB14:BB216</xm:sqref>
        </x14:dataValidation>
        <x14:dataValidation type="list" allowBlank="1" showInputMessage="1" showErrorMessage="1" xr:uid="{00000000-0002-0000-0200-000001000000}">
          <x14:formula1>
            <xm:f>Lists!$C$3:$C$10</xm:f>
          </x14:formula1>
          <xm:sqref>BC14:BC216</xm:sqref>
        </x14:dataValidation>
        <x14:dataValidation type="list" allowBlank="1" showInputMessage="1" xr:uid="{00000000-0002-0000-0200-000002000000}">
          <x14:formula1>
            <xm:f>Lists!$E$3:$E$10</xm:f>
          </x14:formula1>
          <xm:sqref>BU14:BU216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C13"/>
  <sheetViews>
    <sheetView workbookViewId="0"/>
  </sheetViews>
  <sheetFormatPr defaultRowHeight="14.5" x14ac:dyDescent="0.35"/>
  <cols>
    <col min="1" max="1" width="2.81640625" customWidth="1"/>
    <col min="2" max="2" width="27" bestFit="1" customWidth="1"/>
    <col min="3" max="3" width="146.7265625" customWidth="1"/>
  </cols>
  <sheetData>
    <row r="2" spans="2:3" x14ac:dyDescent="0.35">
      <c r="C2" s="68" t="s">
        <v>210</v>
      </c>
    </row>
    <row r="4" spans="2:3" ht="87" x14ac:dyDescent="0.35">
      <c r="B4" s="66" t="s">
        <v>188</v>
      </c>
      <c r="C4" s="65" t="str">
        <f>IF(Prep!Y21,"&lt;device&gt;
"&amp;Prep!Z21&amp;"
"&amp;Prep!Z22&amp;"
"&amp;Prep!Z23&amp;"
"&amp;Prep!Z24&amp;"
&lt;/device&gt;","")</f>
        <v>&lt;device&gt;
&lt;name&gt;SxxRyy&lt;/name&gt;
&lt;type&gt;FCA_DN_FANUC&lt;/type&gt;
&lt;deviceNetwork&gt;201&lt;/deviceNetwork&gt;
&lt;deviceNode&gt;56&lt;/deviceNode&gt;
&lt;/device&gt;</v>
      </c>
    </row>
    <row r="5" spans="2:3" x14ac:dyDescent="0.35">
      <c r="B5" s="66" t="s">
        <v>198</v>
      </c>
      <c r="C5" s="65"/>
    </row>
    <row r="6" spans="2:3" x14ac:dyDescent="0.35">
      <c r="B6" s="66" t="s">
        <v>189</v>
      </c>
      <c r="C6" s="65"/>
    </row>
    <row r="7" spans="2:3" x14ac:dyDescent="0.35">
      <c r="B7" s="66" t="s">
        <v>191</v>
      </c>
      <c r="C7" s="65"/>
    </row>
    <row r="8" spans="2:3" x14ac:dyDescent="0.35">
      <c r="B8" s="66" t="s">
        <v>192</v>
      </c>
      <c r="C8" s="65"/>
    </row>
    <row r="9" spans="2:3" x14ac:dyDescent="0.35">
      <c r="B9" s="66" t="s">
        <v>193</v>
      </c>
      <c r="C9" s="65"/>
    </row>
    <row r="10" spans="2:3" x14ac:dyDescent="0.35">
      <c r="B10" s="66" t="s">
        <v>194</v>
      </c>
      <c r="C10" s="65"/>
    </row>
    <row r="11" spans="2:3" x14ac:dyDescent="0.35">
      <c r="B11" s="66" t="s">
        <v>195</v>
      </c>
      <c r="C11" s="65"/>
    </row>
    <row r="12" spans="2:3" x14ac:dyDescent="0.35">
      <c r="B12" s="66" t="s">
        <v>196</v>
      </c>
      <c r="C12" s="65"/>
    </row>
    <row r="13" spans="2:3" x14ac:dyDescent="0.35">
      <c r="B13" s="66" t="s">
        <v>197</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389"/>
  <sheetViews>
    <sheetView zoomScale="85" zoomScaleNormal="85" workbookViewId="0">
      <pane xSplit="2" topLeftCell="C1" activePane="topRight" state="frozenSplit"/>
      <selection activeCell="A34" sqref="A34"/>
      <selection pane="topRight"/>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59</v>
      </c>
      <c r="B1" s="14" t="s">
        <v>33</v>
      </c>
      <c r="C1" s="14" t="s">
        <v>11</v>
      </c>
      <c r="D1" s="14"/>
      <c r="E1" s="14"/>
      <c r="F1" s="14"/>
      <c r="G1" s="14"/>
      <c r="H1" s="14"/>
      <c r="I1" s="18"/>
      <c r="J1" s="18"/>
      <c r="K1" s="18"/>
      <c r="L1" s="18"/>
    </row>
    <row r="2" spans="1:12" s="15" customFormat="1" x14ac:dyDescent="0.35">
      <c r="A2" s="84" t="s">
        <v>1189</v>
      </c>
      <c r="B2" s="17" t="s">
        <v>12</v>
      </c>
      <c r="C2" s="84" t="s">
        <v>130</v>
      </c>
      <c r="D2" s="16"/>
      <c r="E2" s="16"/>
      <c r="F2" s="16"/>
      <c r="G2" s="16"/>
      <c r="H2" s="16"/>
      <c r="I2" s="11"/>
      <c r="J2" s="11"/>
      <c r="K2" s="11"/>
      <c r="L2" s="11"/>
    </row>
    <row r="3" spans="1:12" s="15" customFormat="1" x14ac:dyDescent="0.35">
      <c r="A3" s="84" t="s">
        <v>1190</v>
      </c>
      <c r="B3" s="17" t="s">
        <v>12</v>
      </c>
      <c r="C3" s="84" t="s">
        <v>130</v>
      </c>
      <c r="D3" s="16"/>
      <c r="E3" s="16"/>
      <c r="F3" s="16"/>
      <c r="G3" s="16"/>
      <c r="H3" s="16"/>
      <c r="I3" s="11"/>
      <c r="J3" s="11"/>
      <c r="K3" s="11"/>
      <c r="L3" s="11"/>
    </row>
    <row r="4" spans="1:12" s="15" customFormat="1" x14ac:dyDescent="0.35">
      <c r="A4" s="84" t="s">
        <v>745</v>
      </c>
      <c r="B4" s="17" t="s">
        <v>12</v>
      </c>
      <c r="C4" s="84" t="s">
        <v>130</v>
      </c>
      <c r="D4" s="16"/>
      <c r="E4" s="16"/>
      <c r="F4" s="16"/>
      <c r="G4" s="16"/>
      <c r="H4" s="16"/>
      <c r="I4" s="11"/>
      <c r="J4" s="11"/>
      <c r="K4" s="11"/>
      <c r="L4" s="11"/>
    </row>
    <row r="5" spans="1:12" s="15" customFormat="1" x14ac:dyDescent="0.35">
      <c r="A5" s="84" t="s">
        <v>746</v>
      </c>
      <c r="B5" s="17" t="s">
        <v>12</v>
      </c>
      <c r="C5" s="84" t="s">
        <v>130</v>
      </c>
      <c r="D5" s="16"/>
      <c r="E5" s="16"/>
      <c r="F5" s="16"/>
      <c r="G5" s="16"/>
      <c r="H5" s="16"/>
      <c r="I5" s="11"/>
      <c r="J5" s="11"/>
      <c r="K5" s="11"/>
      <c r="L5" s="11"/>
    </row>
    <row r="6" spans="1:12" s="15" customFormat="1" x14ac:dyDescent="0.35">
      <c r="A6" s="84" t="s">
        <v>1191</v>
      </c>
      <c r="B6" s="17" t="s">
        <v>12</v>
      </c>
      <c r="C6" s="84" t="s">
        <v>130</v>
      </c>
      <c r="D6" s="16"/>
      <c r="E6" s="16"/>
      <c r="F6" s="16"/>
      <c r="G6" s="16"/>
      <c r="H6" s="16"/>
      <c r="I6" s="11"/>
      <c r="J6" s="11"/>
      <c r="K6" s="11"/>
      <c r="L6" s="11"/>
    </row>
    <row r="7" spans="1:12" s="15" customFormat="1" x14ac:dyDescent="0.35">
      <c r="A7" s="84" t="s">
        <v>1192</v>
      </c>
      <c r="B7" s="17" t="s">
        <v>12</v>
      </c>
      <c r="C7" s="84" t="s">
        <v>130</v>
      </c>
      <c r="D7" s="16"/>
      <c r="E7" s="16"/>
      <c r="F7" s="16"/>
      <c r="G7" s="16"/>
      <c r="H7" s="16"/>
      <c r="I7" s="11"/>
      <c r="J7" s="11"/>
      <c r="K7" s="11"/>
      <c r="L7" s="11"/>
    </row>
    <row r="8" spans="1:12" s="15" customFormat="1" x14ac:dyDescent="0.35">
      <c r="A8" s="84" t="s">
        <v>747</v>
      </c>
      <c r="B8" s="17" t="s">
        <v>12</v>
      </c>
      <c r="C8" s="84" t="s">
        <v>130</v>
      </c>
      <c r="D8" s="16"/>
      <c r="E8" s="16"/>
      <c r="F8" s="16"/>
      <c r="G8" s="16"/>
      <c r="H8" s="16"/>
      <c r="I8" s="11"/>
      <c r="J8" s="11"/>
      <c r="K8" s="11"/>
      <c r="L8" s="11"/>
    </row>
    <row r="9" spans="1:12" s="15" customFormat="1" x14ac:dyDescent="0.35">
      <c r="A9" s="84" t="s">
        <v>748</v>
      </c>
      <c r="B9" s="17" t="s">
        <v>12</v>
      </c>
      <c r="C9" s="84" t="s">
        <v>130</v>
      </c>
      <c r="D9" s="16"/>
      <c r="E9" s="16"/>
      <c r="F9" s="16"/>
      <c r="G9" s="16"/>
      <c r="H9" s="16"/>
      <c r="I9" s="11"/>
      <c r="J9" s="11"/>
      <c r="K9" s="11"/>
      <c r="L9" s="11"/>
    </row>
    <row r="10" spans="1:12" s="15" customFormat="1" x14ac:dyDescent="0.35">
      <c r="A10" s="84" t="s">
        <v>265</v>
      </c>
      <c r="B10" s="17" t="s">
        <v>12</v>
      </c>
      <c r="C10" s="84" t="s">
        <v>130</v>
      </c>
      <c r="D10" s="16"/>
      <c r="E10" s="16"/>
      <c r="F10" s="16"/>
      <c r="G10" s="16"/>
      <c r="H10" s="16"/>
      <c r="I10" s="11"/>
      <c r="J10" s="11"/>
      <c r="K10" s="11"/>
      <c r="L10" s="11"/>
    </row>
    <row r="11" spans="1:12" s="15" customFormat="1" x14ac:dyDescent="0.35">
      <c r="A11" s="84" t="s">
        <v>749</v>
      </c>
      <c r="B11" s="17" t="s">
        <v>12</v>
      </c>
      <c r="C11" s="84" t="s">
        <v>130</v>
      </c>
      <c r="D11" s="16"/>
      <c r="E11" s="16"/>
      <c r="F11" s="16"/>
      <c r="G11" s="16"/>
      <c r="H11" s="16"/>
      <c r="I11" s="11"/>
      <c r="J11" s="11"/>
      <c r="K11" s="11"/>
      <c r="L11" s="11"/>
    </row>
    <row r="12" spans="1:12" s="15" customFormat="1" x14ac:dyDescent="0.35">
      <c r="A12" s="84" t="s">
        <v>750</v>
      </c>
      <c r="B12" s="17" t="s">
        <v>12</v>
      </c>
      <c r="C12" s="84" t="s">
        <v>130</v>
      </c>
      <c r="D12" s="16"/>
      <c r="E12" s="16"/>
      <c r="F12" s="16"/>
      <c r="G12" s="16"/>
      <c r="H12" s="16"/>
      <c r="I12" s="11"/>
      <c r="J12" s="11"/>
      <c r="K12" s="11"/>
      <c r="L12" s="11"/>
    </row>
    <row r="13" spans="1:12" s="15" customFormat="1" x14ac:dyDescent="0.35">
      <c r="A13" s="84" t="s">
        <v>751</v>
      </c>
      <c r="B13" s="17" t="s">
        <v>12</v>
      </c>
      <c r="C13" s="84" t="s">
        <v>130</v>
      </c>
      <c r="D13" s="16"/>
      <c r="E13" s="16"/>
      <c r="F13" s="16"/>
      <c r="G13" s="16"/>
      <c r="H13" s="16"/>
      <c r="I13" s="11"/>
      <c r="J13" s="11"/>
      <c r="K13" s="11"/>
      <c r="L13" s="11"/>
    </row>
    <row r="14" spans="1:12" s="15" customFormat="1" x14ac:dyDescent="0.35">
      <c r="A14" s="84" t="s">
        <v>752</v>
      </c>
      <c r="B14" s="17" t="s">
        <v>12</v>
      </c>
      <c r="C14" s="84" t="s">
        <v>130</v>
      </c>
      <c r="D14" s="16"/>
      <c r="E14" s="16"/>
      <c r="F14" s="16"/>
      <c r="G14" s="16"/>
      <c r="H14" s="16"/>
      <c r="I14" s="11"/>
      <c r="J14" s="11"/>
      <c r="K14" s="11"/>
      <c r="L14" s="11"/>
    </row>
    <row r="15" spans="1:12" s="15" customFormat="1" x14ac:dyDescent="0.35">
      <c r="A15" s="84" t="s">
        <v>753</v>
      </c>
      <c r="B15" s="17" t="s">
        <v>12</v>
      </c>
      <c r="C15" s="84" t="s">
        <v>130</v>
      </c>
      <c r="D15" s="16"/>
      <c r="E15" s="16"/>
      <c r="F15" s="16"/>
      <c r="G15" s="16"/>
      <c r="H15" s="16"/>
      <c r="I15" s="11"/>
      <c r="J15" s="11"/>
      <c r="K15" s="11"/>
      <c r="L15" s="11"/>
    </row>
    <row r="16" spans="1:12" s="15" customFormat="1" x14ac:dyDescent="0.35">
      <c r="A16" s="84" t="s">
        <v>754</v>
      </c>
      <c r="B16" s="17" t="s">
        <v>12</v>
      </c>
      <c r="C16" s="84" t="s">
        <v>130</v>
      </c>
      <c r="D16" s="16"/>
      <c r="E16" s="16"/>
      <c r="F16" s="16"/>
      <c r="G16" s="16"/>
      <c r="H16" s="16"/>
      <c r="I16" s="11"/>
      <c r="J16" s="11"/>
      <c r="K16" s="11"/>
      <c r="L16" s="11"/>
    </row>
    <row r="17" spans="1:12" s="15" customFormat="1" x14ac:dyDescent="0.35">
      <c r="A17" s="84" t="s">
        <v>755</v>
      </c>
      <c r="B17" s="17" t="s">
        <v>12</v>
      </c>
      <c r="C17" s="84" t="s">
        <v>130</v>
      </c>
      <c r="D17" s="16"/>
      <c r="E17" s="16"/>
      <c r="F17" s="16"/>
      <c r="G17" s="16"/>
      <c r="H17" s="16"/>
      <c r="I17" s="11"/>
      <c r="J17" s="11"/>
      <c r="K17" s="11"/>
      <c r="L17" s="11"/>
    </row>
    <row r="18" spans="1:12" s="15" customFormat="1" x14ac:dyDescent="0.35">
      <c r="A18" s="84" t="s">
        <v>756</v>
      </c>
      <c r="B18" s="17" t="s">
        <v>12</v>
      </c>
      <c r="C18" s="84" t="s">
        <v>130</v>
      </c>
      <c r="D18" s="16"/>
      <c r="E18" s="16"/>
      <c r="F18" s="16"/>
      <c r="G18" s="16"/>
      <c r="H18" s="16"/>
      <c r="I18" s="11"/>
      <c r="J18" s="11"/>
      <c r="K18" s="11"/>
      <c r="L18" s="11"/>
    </row>
    <row r="19" spans="1:12" s="15" customFormat="1" x14ac:dyDescent="0.35">
      <c r="A19" s="84" t="s">
        <v>757</v>
      </c>
      <c r="B19" s="17" t="s">
        <v>12</v>
      </c>
      <c r="C19" s="84" t="s">
        <v>130</v>
      </c>
      <c r="D19" s="16"/>
      <c r="E19" s="16"/>
      <c r="F19" s="16"/>
      <c r="G19" s="16"/>
      <c r="H19" s="16"/>
      <c r="I19" s="11"/>
      <c r="J19" s="11"/>
      <c r="K19" s="11"/>
      <c r="L19" s="11"/>
    </row>
    <row r="20" spans="1:12" s="15" customFormat="1" x14ac:dyDescent="0.35">
      <c r="A20" s="84" t="s">
        <v>758</v>
      </c>
      <c r="B20" s="17" t="s">
        <v>12</v>
      </c>
      <c r="C20" s="84" t="s">
        <v>130</v>
      </c>
      <c r="D20" s="16"/>
      <c r="E20" s="16"/>
      <c r="F20" s="16"/>
      <c r="G20" s="16"/>
      <c r="H20" s="16"/>
      <c r="I20" s="11"/>
      <c r="J20" s="11"/>
      <c r="K20" s="11"/>
      <c r="L20" s="11"/>
    </row>
    <row r="21" spans="1:12" s="15" customFormat="1" x14ac:dyDescent="0.35">
      <c r="A21" s="84" t="s">
        <v>759</v>
      </c>
      <c r="B21" s="17" t="s">
        <v>12</v>
      </c>
      <c r="C21" s="84" t="s">
        <v>130</v>
      </c>
      <c r="D21" s="16"/>
      <c r="E21" s="16"/>
      <c r="F21" s="16"/>
      <c r="G21" s="16"/>
      <c r="H21" s="16"/>
      <c r="I21" s="11"/>
      <c r="J21" s="11"/>
      <c r="K21" s="11"/>
      <c r="L21" s="11"/>
    </row>
    <row r="22" spans="1:12" s="15" customFormat="1" x14ac:dyDescent="0.35">
      <c r="A22" s="84" t="s">
        <v>760</v>
      </c>
      <c r="B22" s="17" t="s">
        <v>12</v>
      </c>
      <c r="C22" s="84" t="s">
        <v>130</v>
      </c>
      <c r="D22" s="16"/>
      <c r="E22" s="16"/>
      <c r="F22" s="16"/>
      <c r="G22" s="16"/>
      <c r="H22" s="16"/>
      <c r="I22" s="11"/>
      <c r="J22" s="11"/>
      <c r="K22" s="11"/>
      <c r="L22" s="11"/>
    </row>
    <row r="23" spans="1:12" s="15" customFormat="1" x14ac:dyDescent="0.35">
      <c r="A23" s="84" t="s">
        <v>761</v>
      </c>
      <c r="B23" s="17" t="s">
        <v>12</v>
      </c>
      <c r="C23" s="84" t="s">
        <v>165</v>
      </c>
      <c r="D23" s="16"/>
      <c r="E23" s="16"/>
      <c r="F23" s="16"/>
      <c r="G23" s="16"/>
      <c r="H23" s="16"/>
      <c r="I23" s="11"/>
      <c r="J23" s="11"/>
      <c r="K23" s="11"/>
      <c r="L23" s="11"/>
    </row>
    <row r="24" spans="1:12" s="15" customFormat="1" x14ac:dyDescent="0.35">
      <c r="A24" s="84" t="s">
        <v>762</v>
      </c>
      <c r="B24" s="17" t="s">
        <v>12</v>
      </c>
      <c r="C24" s="84" t="s">
        <v>165</v>
      </c>
      <c r="D24" s="16"/>
      <c r="E24" s="16"/>
      <c r="F24" s="16"/>
      <c r="G24" s="16"/>
      <c r="H24" s="16"/>
      <c r="I24" s="11"/>
      <c r="J24" s="11"/>
      <c r="K24" s="11"/>
      <c r="L24" s="11"/>
    </row>
    <row r="25" spans="1:12" s="15" customFormat="1" x14ac:dyDescent="0.35">
      <c r="A25" s="84" t="s">
        <v>763</v>
      </c>
      <c r="B25" s="17" t="s">
        <v>12</v>
      </c>
      <c r="C25" s="84" t="s">
        <v>165</v>
      </c>
      <c r="D25" s="16"/>
      <c r="E25" s="16"/>
      <c r="F25" s="16"/>
      <c r="G25" s="16"/>
      <c r="H25" s="16"/>
      <c r="I25" s="11"/>
      <c r="J25" s="11"/>
      <c r="K25" s="11"/>
      <c r="L25" s="11"/>
    </row>
    <row r="26" spans="1:12" s="15" customFormat="1" x14ac:dyDescent="0.35">
      <c r="A26" s="84" t="s">
        <v>764</v>
      </c>
      <c r="B26" s="17" t="s">
        <v>12</v>
      </c>
      <c r="C26" s="84" t="s">
        <v>165</v>
      </c>
      <c r="D26" s="16"/>
      <c r="E26" s="16"/>
      <c r="F26" s="16"/>
      <c r="G26" s="16"/>
      <c r="H26" s="16"/>
      <c r="I26" s="11"/>
      <c r="J26" s="11"/>
      <c r="K26" s="11"/>
      <c r="L26" s="11"/>
    </row>
    <row r="27" spans="1:12" s="15" customFormat="1" x14ac:dyDescent="0.35">
      <c r="A27" s="84" t="s">
        <v>765</v>
      </c>
      <c r="B27" s="17" t="s">
        <v>12</v>
      </c>
      <c r="C27" s="84" t="s">
        <v>130</v>
      </c>
      <c r="D27" s="16"/>
      <c r="E27" s="16"/>
      <c r="F27" s="16"/>
      <c r="G27" s="16"/>
      <c r="H27" s="16"/>
      <c r="I27" s="11"/>
      <c r="J27" s="11"/>
      <c r="K27" s="11"/>
      <c r="L27" s="11"/>
    </row>
    <row r="28" spans="1:12" s="15" customFormat="1" x14ac:dyDescent="0.35">
      <c r="A28" s="84" t="s">
        <v>766</v>
      </c>
      <c r="B28" s="17" t="s">
        <v>12</v>
      </c>
      <c r="C28" s="84" t="s">
        <v>130</v>
      </c>
      <c r="D28" s="16"/>
      <c r="E28" s="16"/>
      <c r="F28" s="16"/>
      <c r="G28" s="16"/>
      <c r="H28" s="16"/>
      <c r="I28" s="11"/>
      <c r="J28" s="11"/>
      <c r="K28" s="11"/>
      <c r="L28" s="11"/>
    </row>
    <row r="29" spans="1:12" s="15" customFormat="1" x14ac:dyDescent="0.35">
      <c r="A29" s="84" t="s">
        <v>767</v>
      </c>
      <c r="B29" s="17" t="s">
        <v>12</v>
      </c>
      <c r="C29" s="84" t="s">
        <v>130</v>
      </c>
      <c r="D29" s="16"/>
      <c r="E29" s="16"/>
      <c r="F29" s="16"/>
      <c r="G29" s="16"/>
      <c r="H29" s="16"/>
      <c r="I29" s="11"/>
      <c r="J29" s="11"/>
      <c r="K29" s="11"/>
      <c r="L29" s="11"/>
    </row>
    <row r="30" spans="1:12" s="15" customFormat="1" x14ac:dyDescent="0.35">
      <c r="A30" s="84" t="s">
        <v>768</v>
      </c>
      <c r="B30" s="17" t="s">
        <v>12</v>
      </c>
      <c r="C30" s="84" t="s">
        <v>165</v>
      </c>
      <c r="D30" s="16"/>
      <c r="E30" s="16"/>
      <c r="F30" s="16"/>
      <c r="G30" s="16"/>
      <c r="H30" s="16"/>
      <c r="I30" s="11"/>
      <c r="J30" s="11"/>
      <c r="K30" s="11"/>
      <c r="L30" s="11"/>
    </row>
    <row r="31" spans="1:12" s="15" customFormat="1" x14ac:dyDescent="0.35">
      <c r="A31" s="84" t="s">
        <v>769</v>
      </c>
      <c r="B31" s="17" t="s">
        <v>12</v>
      </c>
      <c r="C31" s="84" t="s">
        <v>165</v>
      </c>
      <c r="D31" s="16"/>
      <c r="E31" s="16"/>
      <c r="F31" s="16"/>
      <c r="G31" s="16"/>
      <c r="H31" s="16"/>
      <c r="I31" s="11"/>
      <c r="J31" s="11"/>
      <c r="K31" s="11"/>
      <c r="L31" s="11"/>
    </row>
    <row r="32" spans="1:12" s="15" customFormat="1" x14ac:dyDescent="0.35">
      <c r="A32" s="84" t="s">
        <v>770</v>
      </c>
      <c r="B32" s="17" t="s">
        <v>12</v>
      </c>
      <c r="C32" s="84" t="s">
        <v>165</v>
      </c>
      <c r="D32" s="16"/>
      <c r="E32" s="16"/>
      <c r="F32" s="16"/>
      <c r="G32" s="16"/>
      <c r="H32" s="16"/>
      <c r="I32" s="11"/>
      <c r="J32" s="11"/>
      <c r="K32" s="11"/>
      <c r="L32" s="11"/>
    </row>
    <row r="33" spans="1:12" s="15" customFormat="1" x14ac:dyDescent="0.35">
      <c r="A33" s="84" t="s">
        <v>771</v>
      </c>
      <c r="B33" s="17" t="s">
        <v>12</v>
      </c>
      <c r="C33" s="84" t="s">
        <v>165</v>
      </c>
      <c r="D33" s="16"/>
      <c r="E33" s="16"/>
      <c r="F33" s="16"/>
      <c r="G33" s="16"/>
      <c r="H33" s="16"/>
      <c r="I33" s="11"/>
      <c r="J33" s="11"/>
      <c r="K33" s="11"/>
      <c r="L33" s="11"/>
    </row>
    <row r="34" spans="1:12" s="15" customFormat="1" x14ac:dyDescent="0.35">
      <c r="A34" s="84" t="s">
        <v>772</v>
      </c>
      <c r="B34" s="17" t="s">
        <v>12</v>
      </c>
      <c r="C34" s="84" t="s">
        <v>165</v>
      </c>
      <c r="D34" s="16"/>
      <c r="E34" s="16"/>
      <c r="F34" s="16"/>
      <c r="G34" s="16"/>
      <c r="H34" s="16"/>
      <c r="I34" s="11"/>
      <c r="J34" s="11"/>
      <c r="K34" s="11"/>
      <c r="L34" s="11"/>
    </row>
    <row r="35" spans="1:12" s="15" customFormat="1" x14ac:dyDescent="0.35">
      <c r="A35" s="84" t="s">
        <v>773</v>
      </c>
      <c r="B35" s="17" t="s">
        <v>12</v>
      </c>
      <c r="C35" s="84" t="s">
        <v>165</v>
      </c>
      <c r="D35" s="16"/>
      <c r="E35" s="16"/>
      <c r="F35" s="16"/>
      <c r="G35" s="16"/>
      <c r="H35" s="16"/>
      <c r="I35" s="11"/>
      <c r="J35" s="11"/>
      <c r="K35" s="11"/>
      <c r="L35" s="11"/>
    </row>
    <row r="36" spans="1:12" s="15" customFormat="1" x14ac:dyDescent="0.35">
      <c r="A36" s="84" t="s">
        <v>774</v>
      </c>
      <c r="B36" s="17" t="s">
        <v>12</v>
      </c>
      <c r="C36" s="84" t="s">
        <v>165</v>
      </c>
      <c r="D36" s="16"/>
      <c r="E36" s="16"/>
      <c r="F36" s="16"/>
      <c r="G36" s="16"/>
      <c r="H36" s="16"/>
      <c r="I36" s="11"/>
      <c r="J36" s="11"/>
      <c r="K36" s="11"/>
      <c r="L36" s="11"/>
    </row>
    <row r="37" spans="1:12" s="15" customFormat="1" x14ac:dyDescent="0.35">
      <c r="A37" s="84" t="s">
        <v>775</v>
      </c>
      <c r="B37" s="17" t="s">
        <v>12</v>
      </c>
      <c r="C37" s="84" t="s">
        <v>165</v>
      </c>
      <c r="D37" s="16"/>
      <c r="E37" s="16"/>
      <c r="F37" s="16"/>
      <c r="G37" s="16"/>
      <c r="H37" s="16"/>
      <c r="I37" s="11"/>
      <c r="J37" s="11"/>
      <c r="K37" s="11"/>
      <c r="L37" s="11"/>
    </row>
    <row r="38" spans="1:12" s="15" customFormat="1" x14ac:dyDescent="0.35">
      <c r="A38" s="84" t="s">
        <v>776</v>
      </c>
      <c r="B38" s="17" t="s">
        <v>12</v>
      </c>
      <c r="C38" s="84" t="s">
        <v>165</v>
      </c>
      <c r="D38" s="16"/>
      <c r="E38" s="16"/>
      <c r="F38" s="16"/>
      <c r="G38" s="16"/>
      <c r="H38" s="16"/>
      <c r="I38" s="11"/>
      <c r="J38" s="11"/>
      <c r="K38" s="11"/>
      <c r="L38" s="11"/>
    </row>
    <row r="39" spans="1:12" s="15" customFormat="1" x14ac:dyDescent="0.35">
      <c r="A39" s="84" t="s">
        <v>777</v>
      </c>
      <c r="B39" s="17" t="s">
        <v>12</v>
      </c>
      <c r="C39" s="84" t="s">
        <v>130</v>
      </c>
      <c r="D39" s="16"/>
      <c r="E39" s="16"/>
      <c r="F39" s="16"/>
      <c r="G39" s="16"/>
      <c r="H39" s="16"/>
      <c r="I39" s="11"/>
      <c r="J39" s="11"/>
      <c r="K39" s="11"/>
      <c r="L39" s="11"/>
    </row>
    <row r="40" spans="1:12" s="15" customFormat="1" x14ac:dyDescent="0.35">
      <c r="A40" s="84" t="s">
        <v>778</v>
      </c>
      <c r="B40" s="17" t="s">
        <v>12</v>
      </c>
      <c r="C40" s="84" t="s">
        <v>165</v>
      </c>
      <c r="D40" s="16"/>
      <c r="E40" s="16"/>
      <c r="F40" s="16"/>
      <c r="G40" s="16"/>
      <c r="H40" s="16"/>
      <c r="I40" s="11"/>
      <c r="J40" s="11"/>
      <c r="K40" s="11"/>
      <c r="L40" s="11"/>
    </row>
    <row r="41" spans="1:12" s="15" customFormat="1" x14ac:dyDescent="0.35">
      <c r="A41" s="84" t="s">
        <v>779</v>
      </c>
      <c r="B41" s="17" t="s">
        <v>12</v>
      </c>
      <c r="C41" s="84" t="s">
        <v>165</v>
      </c>
      <c r="D41" s="16"/>
      <c r="E41" s="16"/>
      <c r="F41" s="16"/>
      <c r="G41" s="16"/>
      <c r="H41" s="16"/>
      <c r="I41" s="11"/>
      <c r="J41" s="11"/>
      <c r="K41" s="11"/>
      <c r="L41" s="11"/>
    </row>
    <row r="42" spans="1:12" s="15" customFormat="1" x14ac:dyDescent="0.35">
      <c r="A42" s="84" t="s">
        <v>780</v>
      </c>
      <c r="B42" s="17" t="s">
        <v>12</v>
      </c>
      <c r="C42" s="84" t="s">
        <v>165</v>
      </c>
      <c r="D42" s="16"/>
      <c r="E42" s="16"/>
      <c r="F42" s="16"/>
      <c r="G42" s="16"/>
      <c r="H42" s="16"/>
      <c r="I42" s="11"/>
      <c r="J42" s="11"/>
      <c r="K42" s="11"/>
      <c r="L42" s="11"/>
    </row>
    <row r="43" spans="1:12" s="15" customFormat="1" x14ac:dyDescent="0.35">
      <c r="A43" s="84" t="s">
        <v>781</v>
      </c>
      <c r="B43" s="17" t="s">
        <v>12</v>
      </c>
      <c r="C43" s="84" t="s">
        <v>165</v>
      </c>
      <c r="D43" s="16"/>
      <c r="E43" s="16"/>
      <c r="F43" s="16"/>
      <c r="G43" s="16"/>
      <c r="H43" s="16"/>
      <c r="I43" s="11"/>
      <c r="J43" s="11"/>
      <c r="K43" s="11"/>
      <c r="L43" s="11"/>
    </row>
    <row r="44" spans="1:12" s="15" customFormat="1" x14ac:dyDescent="0.35">
      <c r="A44" s="84" t="s">
        <v>782</v>
      </c>
      <c r="B44" s="17" t="s">
        <v>12</v>
      </c>
      <c r="C44" s="84" t="s">
        <v>165</v>
      </c>
      <c r="D44" s="16"/>
      <c r="E44" s="16"/>
      <c r="F44" s="16"/>
      <c r="G44" s="16"/>
      <c r="H44" s="16"/>
      <c r="I44" s="11"/>
      <c r="J44" s="11"/>
      <c r="K44" s="11"/>
      <c r="L44" s="11"/>
    </row>
    <row r="45" spans="1:12" s="15" customFormat="1" x14ac:dyDescent="0.35">
      <c r="A45" s="84" t="s">
        <v>783</v>
      </c>
      <c r="B45" s="17" t="s">
        <v>12</v>
      </c>
      <c r="C45" s="84" t="s">
        <v>165</v>
      </c>
      <c r="D45" s="16"/>
      <c r="E45" s="16"/>
      <c r="F45" s="16"/>
      <c r="G45" s="16"/>
      <c r="H45" s="16"/>
      <c r="I45" s="11"/>
      <c r="J45" s="11"/>
      <c r="K45" s="11"/>
      <c r="L45" s="11"/>
    </row>
    <row r="46" spans="1:12" s="15" customFormat="1" x14ac:dyDescent="0.35">
      <c r="A46" s="84" t="s">
        <v>784</v>
      </c>
      <c r="B46" s="17" t="s">
        <v>12</v>
      </c>
      <c r="C46" s="84" t="s">
        <v>130</v>
      </c>
      <c r="D46" s="16"/>
      <c r="E46" s="16"/>
      <c r="F46" s="16"/>
      <c r="G46" s="16"/>
      <c r="H46" s="16"/>
      <c r="I46" s="11"/>
      <c r="J46" s="11"/>
      <c r="K46" s="11"/>
      <c r="L46" s="11"/>
    </row>
    <row r="47" spans="1:12" s="15" customFormat="1" x14ac:dyDescent="0.35">
      <c r="A47" s="84" t="s">
        <v>785</v>
      </c>
      <c r="B47" s="17" t="s">
        <v>86</v>
      </c>
      <c r="C47" s="84" t="s">
        <v>130</v>
      </c>
      <c r="D47" s="16"/>
      <c r="E47" s="16"/>
      <c r="F47" s="16"/>
      <c r="G47" s="16"/>
      <c r="H47" s="16"/>
      <c r="I47" s="11"/>
      <c r="J47" s="11"/>
      <c r="K47" s="11"/>
      <c r="L47" s="11"/>
    </row>
    <row r="48" spans="1:12" s="15" customFormat="1" x14ac:dyDescent="0.35">
      <c r="A48" s="84" t="s">
        <v>786</v>
      </c>
      <c r="B48" s="17" t="s">
        <v>12</v>
      </c>
      <c r="C48" s="84" t="s">
        <v>130</v>
      </c>
      <c r="D48" s="16"/>
      <c r="E48" s="16"/>
      <c r="F48" s="16"/>
      <c r="G48" s="16"/>
      <c r="H48" s="16"/>
      <c r="I48" s="11"/>
      <c r="J48" s="11"/>
      <c r="K48" s="11"/>
      <c r="L48" s="11"/>
    </row>
    <row r="49" spans="1:12" s="15" customFormat="1" x14ac:dyDescent="0.35">
      <c r="A49" s="84" t="s">
        <v>787</v>
      </c>
      <c r="B49" s="17" t="s">
        <v>12</v>
      </c>
      <c r="C49" s="84" t="s">
        <v>130</v>
      </c>
      <c r="D49" s="16"/>
      <c r="E49" s="16"/>
      <c r="F49" s="16"/>
      <c r="G49" s="16"/>
      <c r="H49" s="16"/>
      <c r="I49" s="11"/>
      <c r="J49" s="11"/>
      <c r="K49" s="11"/>
      <c r="L49" s="11"/>
    </row>
    <row r="50" spans="1:12" s="15" customFormat="1" x14ac:dyDescent="0.35">
      <c r="A50" s="84" t="s">
        <v>788</v>
      </c>
      <c r="B50" s="17" t="s">
        <v>12</v>
      </c>
      <c r="C50" s="84" t="s">
        <v>130</v>
      </c>
      <c r="D50" s="16"/>
      <c r="E50" s="16"/>
      <c r="F50" s="16"/>
      <c r="G50" s="16"/>
      <c r="H50" s="16"/>
      <c r="I50" s="11"/>
      <c r="J50" s="11"/>
      <c r="K50" s="11"/>
      <c r="L50" s="11"/>
    </row>
    <row r="51" spans="1:12" s="15" customFormat="1" x14ac:dyDescent="0.35">
      <c r="A51" s="84" t="s">
        <v>789</v>
      </c>
      <c r="B51" s="17" t="s">
        <v>12</v>
      </c>
      <c r="C51" s="84" t="s">
        <v>165</v>
      </c>
      <c r="D51" s="16"/>
      <c r="E51" s="16"/>
      <c r="F51" s="16"/>
      <c r="G51" s="16"/>
      <c r="H51" s="16"/>
      <c r="I51" s="11"/>
      <c r="J51" s="11"/>
      <c r="K51" s="11"/>
      <c r="L51" s="11"/>
    </row>
    <row r="52" spans="1:12" s="15" customFormat="1" x14ac:dyDescent="0.35">
      <c r="A52" s="84" t="s">
        <v>790</v>
      </c>
      <c r="B52" s="17" t="s">
        <v>12</v>
      </c>
      <c r="C52" s="84" t="s">
        <v>165</v>
      </c>
      <c r="D52" s="16"/>
      <c r="E52" s="16"/>
      <c r="F52" s="16"/>
      <c r="G52" s="16"/>
      <c r="H52" s="16"/>
      <c r="I52" s="11"/>
      <c r="J52" s="11"/>
      <c r="K52" s="11"/>
      <c r="L52" s="11"/>
    </row>
    <row r="53" spans="1:12" s="15" customFormat="1" x14ac:dyDescent="0.35">
      <c r="A53" s="84" t="s">
        <v>791</v>
      </c>
      <c r="B53" s="17" t="s">
        <v>12</v>
      </c>
      <c r="C53" s="84" t="s">
        <v>165</v>
      </c>
      <c r="D53" s="16"/>
      <c r="E53" s="16"/>
      <c r="F53" s="16"/>
      <c r="G53" s="16"/>
      <c r="H53" s="16"/>
      <c r="I53" s="11"/>
      <c r="J53" s="11"/>
      <c r="K53" s="11"/>
      <c r="L53" s="11"/>
    </row>
    <row r="54" spans="1:12" s="15" customFormat="1" x14ac:dyDescent="0.35">
      <c r="A54" s="84" t="s">
        <v>792</v>
      </c>
      <c r="B54" s="17" t="s">
        <v>12</v>
      </c>
      <c r="C54" s="84" t="s">
        <v>165</v>
      </c>
      <c r="D54" s="16"/>
      <c r="E54" s="16"/>
      <c r="F54" s="16"/>
      <c r="G54" s="16"/>
      <c r="H54" s="16"/>
      <c r="I54" s="11"/>
      <c r="J54" s="11"/>
      <c r="K54" s="11"/>
      <c r="L54" s="11"/>
    </row>
    <row r="55" spans="1:12" s="15" customFormat="1" x14ac:dyDescent="0.35">
      <c r="A55" s="84" t="s">
        <v>793</v>
      </c>
      <c r="B55" s="17" t="s">
        <v>12</v>
      </c>
      <c r="C55" s="84" t="s">
        <v>165</v>
      </c>
      <c r="D55" s="16"/>
      <c r="E55" s="16"/>
      <c r="F55" s="16"/>
      <c r="G55" s="16"/>
      <c r="H55" s="16"/>
      <c r="I55" s="11"/>
      <c r="J55" s="11"/>
      <c r="K55" s="11"/>
      <c r="L55" s="11"/>
    </row>
    <row r="56" spans="1:12" s="15" customFormat="1" x14ac:dyDescent="0.35">
      <c r="A56" s="84" t="s">
        <v>794</v>
      </c>
      <c r="B56" s="17" t="s">
        <v>12</v>
      </c>
      <c r="C56" s="84" t="s">
        <v>130</v>
      </c>
      <c r="D56" s="16"/>
      <c r="E56" s="16"/>
      <c r="F56" s="16"/>
      <c r="G56" s="16"/>
      <c r="H56" s="16"/>
      <c r="I56" s="11"/>
      <c r="J56" s="11"/>
      <c r="K56" s="11"/>
      <c r="L56" s="11"/>
    </row>
    <row r="57" spans="1:12" s="15" customFormat="1" x14ac:dyDescent="0.35">
      <c r="A57" s="84" t="s">
        <v>795</v>
      </c>
      <c r="B57" s="17" t="s">
        <v>12</v>
      </c>
      <c r="C57" s="84" t="s">
        <v>130</v>
      </c>
      <c r="D57" s="16"/>
      <c r="E57" s="16"/>
      <c r="F57" s="16"/>
      <c r="G57" s="16"/>
      <c r="H57" s="16"/>
      <c r="I57" s="11"/>
      <c r="J57" s="11"/>
      <c r="K57" s="11"/>
      <c r="L57" s="11"/>
    </row>
    <row r="58" spans="1:12" s="15" customFormat="1" x14ac:dyDescent="0.35">
      <c r="A58" s="84" t="s">
        <v>796</v>
      </c>
      <c r="B58" s="17" t="s">
        <v>12</v>
      </c>
      <c r="C58" s="84" t="s">
        <v>130</v>
      </c>
      <c r="D58" s="16"/>
      <c r="E58" s="16"/>
      <c r="F58" s="16"/>
      <c r="G58" s="16"/>
      <c r="H58" s="16"/>
      <c r="I58" s="11"/>
      <c r="J58" s="11"/>
      <c r="K58" s="11"/>
      <c r="L58" s="11"/>
    </row>
    <row r="59" spans="1:12" s="15" customFormat="1" x14ac:dyDescent="0.35">
      <c r="A59" s="84" t="s">
        <v>797</v>
      </c>
      <c r="B59" s="17" t="s">
        <v>12</v>
      </c>
      <c r="C59" s="84" t="s">
        <v>165</v>
      </c>
      <c r="D59" s="16"/>
      <c r="E59" s="16"/>
      <c r="F59" s="16"/>
      <c r="G59" s="16"/>
      <c r="H59" s="16"/>
      <c r="I59" s="11"/>
      <c r="J59" s="11"/>
      <c r="K59" s="11"/>
      <c r="L59" s="11"/>
    </row>
    <row r="60" spans="1:12" s="15" customFormat="1" x14ac:dyDescent="0.35">
      <c r="A60" s="84" t="s">
        <v>798</v>
      </c>
      <c r="B60" s="17" t="s">
        <v>12</v>
      </c>
      <c r="C60" s="84" t="s">
        <v>130</v>
      </c>
      <c r="D60" s="16"/>
      <c r="E60" s="16"/>
      <c r="F60" s="16"/>
      <c r="G60" s="16"/>
      <c r="H60" s="16"/>
      <c r="I60" s="11"/>
      <c r="J60" s="11"/>
      <c r="K60" s="11"/>
      <c r="L60" s="11"/>
    </row>
    <row r="61" spans="1:12" s="15" customFormat="1" x14ac:dyDescent="0.35">
      <c r="A61" s="84" t="s">
        <v>799</v>
      </c>
      <c r="B61" s="17" t="s">
        <v>12</v>
      </c>
      <c r="C61" s="84" t="s">
        <v>165</v>
      </c>
      <c r="D61" s="16"/>
      <c r="E61" s="16"/>
      <c r="F61" s="16"/>
      <c r="G61" s="16"/>
      <c r="H61" s="16"/>
      <c r="I61" s="11"/>
      <c r="J61" s="11"/>
      <c r="K61" s="11"/>
      <c r="L61" s="11"/>
    </row>
    <row r="62" spans="1:12" s="15" customFormat="1" x14ac:dyDescent="0.35">
      <c r="A62" s="84" t="s">
        <v>800</v>
      </c>
      <c r="B62" s="17" t="s">
        <v>12</v>
      </c>
      <c r="C62" s="84" t="s">
        <v>130</v>
      </c>
      <c r="D62" s="16"/>
      <c r="E62" s="16"/>
      <c r="F62" s="16"/>
      <c r="G62" s="16"/>
      <c r="H62" s="16"/>
      <c r="I62" s="11"/>
      <c r="J62" s="11"/>
      <c r="K62" s="11"/>
      <c r="L62" s="11"/>
    </row>
    <row r="63" spans="1:12" s="15" customFormat="1" x14ac:dyDescent="0.35">
      <c r="A63" s="84" t="s">
        <v>801</v>
      </c>
      <c r="B63" s="17" t="s">
        <v>12</v>
      </c>
      <c r="C63" s="84" t="s">
        <v>130</v>
      </c>
      <c r="D63" s="16"/>
      <c r="E63" s="16"/>
      <c r="F63" s="16"/>
      <c r="G63" s="16"/>
      <c r="H63" s="16"/>
      <c r="I63" s="11"/>
      <c r="J63" s="11"/>
      <c r="K63" s="11"/>
      <c r="L63" s="11"/>
    </row>
    <row r="64" spans="1:12" s="15" customFormat="1" x14ac:dyDescent="0.35">
      <c r="A64" s="84" t="s">
        <v>298</v>
      </c>
      <c r="B64" s="17" t="s">
        <v>12</v>
      </c>
      <c r="C64" s="84" t="s">
        <v>130</v>
      </c>
      <c r="D64" s="16"/>
      <c r="E64" s="16"/>
      <c r="F64" s="16"/>
      <c r="G64" s="16"/>
      <c r="H64" s="16"/>
      <c r="I64" s="11"/>
      <c r="J64" s="11"/>
      <c r="K64" s="11"/>
      <c r="L64" s="11"/>
    </row>
    <row r="65" spans="1:12" s="15" customFormat="1" x14ac:dyDescent="0.35">
      <c r="A65" s="84" t="s">
        <v>543</v>
      </c>
      <c r="B65" s="17" t="s">
        <v>12</v>
      </c>
      <c r="C65" s="84" t="s">
        <v>165</v>
      </c>
      <c r="D65" s="16"/>
      <c r="E65" s="16"/>
      <c r="F65" s="16"/>
      <c r="G65" s="16"/>
      <c r="H65" s="16"/>
      <c r="I65" s="11"/>
      <c r="J65" s="11"/>
      <c r="K65" s="11"/>
      <c r="L65" s="11"/>
    </row>
    <row r="66" spans="1:12" s="15" customFormat="1" x14ac:dyDescent="0.35">
      <c r="A66" s="84" t="s">
        <v>544</v>
      </c>
      <c r="B66" s="17" t="s">
        <v>12</v>
      </c>
      <c r="C66" s="84" t="s">
        <v>165</v>
      </c>
      <c r="D66" s="16"/>
      <c r="E66" s="16"/>
      <c r="F66" s="16"/>
      <c r="G66" s="16"/>
      <c r="H66" s="16"/>
      <c r="I66" s="11"/>
      <c r="J66" s="11"/>
      <c r="K66" s="11"/>
      <c r="L66" s="11"/>
    </row>
    <row r="67" spans="1:12" s="15" customFormat="1" x14ac:dyDescent="0.35">
      <c r="A67" s="84" t="s">
        <v>545</v>
      </c>
      <c r="B67" s="17" t="s">
        <v>12</v>
      </c>
      <c r="C67" s="84" t="s">
        <v>165</v>
      </c>
      <c r="D67" s="16"/>
      <c r="E67" s="16"/>
      <c r="F67" s="16"/>
      <c r="G67" s="16"/>
      <c r="H67" s="16"/>
      <c r="I67" s="11"/>
      <c r="J67" s="11"/>
      <c r="K67" s="11"/>
      <c r="L67" s="11"/>
    </row>
    <row r="68" spans="1:12" s="15" customFormat="1" x14ac:dyDescent="0.35">
      <c r="A68" s="84" t="s">
        <v>802</v>
      </c>
      <c r="B68" s="17" t="s">
        <v>12</v>
      </c>
      <c r="C68" s="84" t="s">
        <v>165</v>
      </c>
      <c r="D68" s="16"/>
      <c r="E68" s="16"/>
      <c r="F68" s="16"/>
      <c r="G68" s="16"/>
      <c r="H68" s="16"/>
      <c r="I68" s="11"/>
      <c r="J68" s="11"/>
      <c r="K68" s="11"/>
      <c r="L68" s="11"/>
    </row>
    <row r="69" spans="1:12" s="15" customFormat="1" x14ac:dyDescent="0.35">
      <c r="A69" s="84" t="s">
        <v>803</v>
      </c>
      <c r="B69" s="17" t="s">
        <v>12</v>
      </c>
      <c r="C69" s="84" t="s">
        <v>165</v>
      </c>
      <c r="D69" s="16"/>
      <c r="E69" s="16"/>
      <c r="F69" s="16"/>
      <c r="G69" s="16"/>
      <c r="H69" s="16"/>
      <c r="I69" s="11"/>
      <c r="J69" s="11"/>
      <c r="K69" s="11"/>
      <c r="L69" s="11"/>
    </row>
    <row r="70" spans="1:12" s="15" customFormat="1" x14ac:dyDescent="0.35">
      <c r="A70" s="84" t="s">
        <v>804</v>
      </c>
      <c r="B70" s="17" t="s">
        <v>12</v>
      </c>
      <c r="C70" s="84" t="s">
        <v>165</v>
      </c>
      <c r="D70" s="16"/>
      <c r="E70" s="16"/>
      <c r="F70" s="16"/>
      <c r="G70" s="16"/>
      <c r="H70" s="16"/>
      <c r="I70" s="11"/>
      <c r="J70" s="11"/>
      <c r="K70" s="11"/>
      <c r="L70" s="11"/>
    </row>
    <row r="71" spans="1:12" s="15" customFormat="1" x14ac:dyDescent="0.35">
      <c r="A71" s="84" t="s">
        <v>805</v>
      </c>
      <c r="B71" s="17" t="s">
        <v>12</v>
      </c>
      <c r="C71" s="84" t="s">
        <v>165</v>
      </c>
      <c r="D71" s="16"/>
      <c r="E71" s="16"/>
      <c r="F71" s="16"/>
      <c r="G71" s="16"/>
      <c r="H71" s="16"/>
      <c r="I71" s="11"/>
      <c r="J71" s="11"/>
      <c r="K71" s="11"/>
      <c r="L71" s="11"/>
    </row>
    <row r="72" spans="1:12" s="15" customFormat="1" x14ac:dyDescent="0.35">
      <c r="A72" s="84" t="s">
        <v>806</v>
      </c>
      <c r="B72" s="17" t="s">
        <v>12</v>
      </c>
      <c r="C72" s="84" t="s">
        <v>165</v>
      </c>
      <c r="D72" s="16"/>
      <c r="E72" s="16"/>
      <c r="F72" s="16"/>
      <c r="G72" s="16"/>
      <c r="H72" s="16"/>
      <c r="I72" s="11"/>
      <c r="J72" s="11"/>
      <c r="K72" s="11"/>
      <c r="L72" s="11"/>
    </row>
    <row r="73" spans="1:12" s="15" customFormat="1" x14ac:dyDescent="0.35">
      <c r="A73" s="84" t="s">
        <v>807</v>
      </c>
      <c r="B73" s="17" t="s">
        <v>12</v>
      </c>
      <c r="C73" s="84" t="s">
        <v>165</v>
      </c>
      <c r="D73" s="16"/>
      <c r="E73" s="16"/>
      <c r="F73" s="16"/>
      <c r="G73" s="16"/>
      <c r="H73" s="16"/>
      <c r="I73" s="11"/>
      <c r="J73" s="11"/>
      <c r="K73" s="11"/>
      <c r="L73" s="11"/>
    </row>
    <row r="74" spans="1:12" s="15" customFormat="1" x14ac:dyDescent="0.35">
      <c r="A74" s="84" t="s">
        <v>808</v>
      </c>
      <c r="B74" s="17" t="s">
        <v>12</v>
      </c>
      <c r="C74" s="84" t="s">
        <v>165</v>
      </c>
      <c r="D74" s="16"/>
      <c r="E74" s="16"/>
      <c r="F74" s="16"/>
      <c r="G74" s="16"/>
      <c r="H74" s="16"/>
      <c r="I74" s="11"/>
      <c r="J74" s="11"/>
      <c r="K74" s="11"/>
      <c r="L74" s="11"/>
    </row>
    <row r="75" spans="1:12" s="15" customFormat="1" x14ac:dyDescent="0.35">
      <c r="A75" s="84" t="s">
        <v>809</v>
      </c>
      <c r="B75" s="17" t="s">
        <v>12</v>
      </c>
      <c r="C75" s="84" t="s">
        <v>165</v>
      </c>
      <c r="D75" s="16"/>
      <c r="E75" s="16"/>
      <c r="F75" s="16"/>
      <c r="G75" s="16"/>
      <c r="H75" s="16"/>
      <c r="I75" s="11"/>
      <c r="J75" s="11"/>
      <c r="K75" s="11"/>
      <c r="L75" s="11"/>
    </row>
    <row r="76" spans="1:12" s="15" customFormat="1" x14ac:dyDescent="0.35">
      <c r="A76" s="84" t="s">
        <v>810</v>
      </c>
      <c r="B76" s="17" t="s">
        <v>12</v>
      </c>
      <c r="C76" s="84" t="s">
        <v>165</v>
      </c>
      <c r="D76" s="16"/>
      <c r="E76" s="16"/>
      <c r="F76" s="16"/>
      <c r="G76" s="16"/>
      <c r="H76" s="16"/>
      <c r="I76" s="11"/>
      <c r="J76" s="11"/>
      <c r="K76" s="11"/>
      <c r="L76" s="11"/>
    </row>
    <row r="77" spans="1:12" s="15" customFormat="1" x14ac:dyDescent="0.35">
      <c r="A77" s="84" t="s">
        <v>811</v>
      </c>
      <c r="B77" s="17" t="s">
        <v>12</v>
      </c>
      <c r="C77" s="84" t="s">
        <v>165</v>
      </c>
      <c r="D77" s="16"/>
      <c r="E77" s="16"/>
      <c r="F77" s="16"/>
      <c r="G77" s="16"/>
      <c r="H77" s="16"/>
      <c r="I77" s="11"/>
      <c r="J77" s="11"/>
      <c r="K77" s="11"/>
      <c r="L77" s="11"/>
    </row>
    <row r="78" spans="1:12" s="15" customFormat="1" x14ac:dyDescent="0.35">
      <c r="A78" s="84" t="s">
        <v>812</v>
      </c>
      <c r="B78" s="17" t="s">
        <v>12</v>
      </c>
      <c r="C78" s="84" t="s">
        <v>165</v>
      </c>
      <c r="D78" s="16"/>
      <c r="E78" s="16"/>
      <c r="F78" s="16"/>
      <c r="G78" s="16"/>
      <c r="H78" s="16"/>
      <c r="I78" s="11"/>
      <c r="J78" s="11"/>
      <c r="K78" s="11"/>
      <c r="L78" s="11"/>
    </row>
    <row r="79" spans="1:12" s="15" customFormat="1" x14ac:dyDescent="0.35">
      <c r="A79" s="84" t="s">
        <v>813</v>
      </c>
      <c r="B79" s="17" t="s">
        <v>12</v>
      </c>
      <c r="C79" s="84" t="s">
        <v>165</v>
      </c>
      <c r="D79" s="16"/>
      <c r="E79" s="16"/>
      <c r="F79" s="16"/>
      <c r="G79" s="16"/>
      <c r="H79" s="16"/>
      <c r="I79" s="11"/>
      <c r="J79" s="11"/>
      <c r="K79" s="11"/>
      <c r="L79" s="11"/>
    </row>
    <row r="80" spans="1:12" s="15" customFormat="1" x14ac:dyDescent="0.35">
      <c r="A80" s="84" t="s">
        <v>814</v>
      </c>
      <c r="B80" s="17" t="s">
        <v>12</v>
      </c>
      <c r="C80" s="84" t="s">
        <v>165</v>
      </c>
      <c r="D80" s="16"/>
      <c r="E80" s="16"/>
      <c r="F80" s="16"/>
      <c r="G80" s="16"/>
      <c r="H80" s="16"/>
      <c r="I80" s="11"/>
      <c r="J80" s="11"/>
      <c r="K80" s="11"/>
      <c r="L80" s="11"/>
    </row>
    <row r="81" spans="1:12" s="15" customFormat="1" x14ac:dyDescent="0.35">
      <c r="A81" s="84" t="s">
        <v>815</v>
      </c>
      <c r="B81" s="17" t="s">
        <v>12</v>
      </c>
      <c r="C81" s="84" t="s">
        <v>165</v>
      </c>
      <c r="D81" s="16"/>
      <c r="E81" s="16"/>
      <c r="F81" s="16"/>
      <c r="G81" s="16"/>
      <c r="H81" s="16"/>
      <c r="I81" s="11"/>
      <c r="J81" s="11"/>
      <c r="K81" s="11"/>
      <c r="L81" s="11"/>
    </row>
    <row r="82" spans="1:12" s="15" customFormat="1" x14ac:dyDescent="0.35">
      <c r="A82" s="84" t="s">
        <v>816</v>
      </c>
      <c r="B82" s="17" t="s">
        <v>12</v>
      </c>
      <c r="C82" s="84" t="s">
        <v>165</v>
      </c>
      <c r="D82" s="16"/>
      <c r="E82" s="16"/>
      <c r="F82" s="16"/>
      <c r="G82" s="16"/>
      <c r="H82" s="16"/>
      <c r="I82" s="11"/>
      <c r="J82" s="11"/>
      <c r="K82" s="11"/>
      <c r="L82" s="11"/>
    </row>
    <row r="83" spans="1:12" s="15" customFormat="1" x14ac:dyDescent="0.35">
      <c r="A83" s="84" t="s">
        <v>817</v>
      </c>
      <c r="B83" s="17" t="s">
        <v>12</v>
      </c>
      <c r="C83" s="84" t="s">
        <v>165</v>
      </c>
      <c r="D83" s="16"/>
      <c r="E83" s="16"/>
      <c r="F83" s="16"/>
      <c r="G83" s="16"/>
      <c r="H83" s="16"/>
      <c r="I83" s="11"/>
      <c r="J83" s="11"/>
      <c r="K83" s="11"/>
      <c r="L83" s="11"/>
    </row>
    <row r="84" spans="1:12" s="15" customFormat="1" x14ac:dyDescent="0.35">
      <c r="A84" s="84" t="s">
        <v>818</v>
      </c>
      <c r="B84" s="17" t="s">
        <v>12</v>
      </c>
      <c r="C84" s="84" t="s">
        <v>165</v>
      </c>
      <c r="D84" s="16"/>
      <c r="E84" s="16"/>
      <c r="F84" s="16"/>
      <c r="G84" s="16"/>
      <c r="H84" s="16"/>
      <c r="I84" s="11"/>
      <c r="J84" s="11"/>
      <c r="K84" s="11"/>
      <c r="L84" s="11"/>
    </row>
    <row r="85" spans="1:12" s="15" customFormat="1" x14ac:dyDescent="0.35">
      <c r="A85" s="84" t="s">
        <v>819</v>
      </c>
      <c r="B85" s="17" t="s">
        <v>12</v>
      </c>
      <c r="C85" s="84" t="s">
        <v>165</v>
      </c>
      <c r="D85" s="16"/>
      <c r="E85" s="16"/>
      <c r="F85" s="16"/>
      <c r="G85" s="16"/>
      <c r="H85" s="16"/>
      <c r="I85" s="11"/>
      <c r="J85" s="11"/>
      <c r="K85" s="11"/>
      <c r="L85" s="11"/>
    </row>
    <row r="86" spans="1:12" s="15" customFormat="1" x14ac:dyDescent="0.35">
      <c r="A86" s="84" t="s">
        <v>820</v>
      </c>
      <c r="B86" s="17" t="s">
        <v>12</v>
      </c>
      <c r="C86" s="84" t="s">
        <v>165</v>
      </c>
      <c r="D86" s="16"/>
      <c r="E86" s="16"/>
      <c r="F86" s="16"/>
      <c r="G86" s="16"/>
      <c r="H86" s="16"/>
      <c r="I86" s="11"/>
      <c r="J86" s="11"/>
      <c r="K86" s="11"/>
      <c r="L86" s="11"/>
    </row>
    <row r="87" spans="1:12" s="15" customFormat="1" x14ac:dyDescent="0.35">
      <c r="A87" s="84" t="s">
        <v>821</v>
      </c>
      <c r="B87" s="17" t="s">
        <v>12</v>
      </c>
      <c r="C87" s="84" t="s">
        <v>165</v>
      </c>
      <c r="D87" s="16"/>
      <c r="E87" s="16"/>
      <c r="F87" s="16"/>
      <c r="G87" s="16"/>
      <c r="H87" s="16"/>
      <c r="I87" s="11"/>
      <c r="J87" s="11"/>
      <c r="K87" s="11"/>
      <c r="L87" s="11"/>
    </row>
    <row r="88" spans="1:12" s="15" customFormat="1" x14ac:dyDescent="0.35">
      <c r="A88" s="84" t="s">
        <v>266</v>
      </c>
      <c r="B88" s="17" t="s">
        <v>12</v>
      </c>
      <c r="C88" s="84" t="s">
        <v>130</v>
      </c>
      <c r="D88" s="16"/>
      <c r="E88" s="16"/>
      <c r="F88" s="16"/>
      <c r="G88" s="16"/>
      <c r="H88" s="16"/>
      <c r="I88" s="11"/>
      <c r="J88" s="11"/>
      <c r="K88" s="11"/>
      <c r="L88" s="11"/>
    </row>
    <row r="89" spans="1:12" s="15" customFormat="1" x14ac:dyDescent="0.35">
      <c r="A89" s="84" t="s">
        <v>822</v>
      </c>
      <c r="B89" s="17" t="s">
        <v>12</v>
      </c>
      <c r="C89" s="84" t="s">
        <v>130</v>
      </c>
      <c r="D89" s="16"/>
      <c r="E89" s="16"/>
      <c r="F89" s="16"/>
      <c r="G89" s="16"/>
      <c r="H89" s="16"/>
      <c r="I89" s="11"/>
      <c r="J89" s="11"/>
      <c r="K89" s="11"/>
      <c r="L89" s="11"/>
    </row>
    <row r="90" spans="1:12" s="15" customFormat="1" x14ac:dyDescent="0.35">
      <c r="A90" s="84" t="s">
        <v>823</v>
      </c>
      <c r="B90" s="17" t="s">
        <v>12</v>
      </c>
      <c r="C90" s="84" t="s">
        <v>130</v>
      </c>
      <c r="D90" s="16"/>
      <c r="E90" s="16"/>
      <c r="F90" s="16"/>
      <c r="G90" s="16"/>
      <c r="H90" s="16"/>
      <c r="I90" s="11"/>
      <c r="J90" s="11"/>
      <c r="K90" s="11"/>
      <c r="L90" s="11"/>
    </row>
    <row r="91" spans="1:12" s="15" customFormat="1" x14ac:dyDescent="0.35">
      <c r="A91" s="84" t="s">
        <v>268</v>
      </c>
      <c r="B91" s="17" t="s">
        <v>12</v>
      </c>
      <c r="C91" s="84" t="s">
        <v>130</v>
      </c>
      <c r="D91" s="16"/>
      <c r="E91" s="16"/>
      <c r="F91" s="16"/>
      <c r="G91" s="16"/>
      <c r="H91" s="16"/>
      <c r="I91" s="11"/>
      <c r="J91" s="11"/>
      <c r="K91" s="11"/>
      <c r="L91" s="11"/>
    </row>
    <row r="92" spans="1:12" s="15" customFormat="1" x14ac:dyDescent="0.35">
      <c r="A92" s="84" t="s">
        <v>267</v>
      </c>
      <c r="B92" s="17" t="s">
        <v>12</v>
      </c>
      <c r="C92" s="84" t="s">
        <v>130</v>
      </c>
      <c r="D92" s="16"/>
      <c r="E92" s="16"/>
      <c r="F92" s="16"/>
      <c r="G92" s="16"/>
      <c r="H92" s="16"/>
      <c r="I92" s="11"/>
      <c r="J92" s="11"/>
      <c r="K92" s="11"/>
      <c r="L92" s="11"/>
    </row>
    <row r="93" spans="1:12" s="15" customFormat="1" x14ac:dyDescent="0.35">
      <c r="A93" s="84" t="s">
        <v>824</v>
      </c>
      <c r="B93" s="17" t="s">
        <v>12</v>
      </c>
      <c r="C93" s="84" t="s">
        <v>130</v>
      </c>
      <c r="D93" s="16"/>
      <c r="E93" s="16"/>
      <c r="F93" s="16"/>
      <c r="G93" s="16"/>
      <c r="H93" s="16"/>
      <c r="I93" s="11"/>
      <c r="J93" s="11"/>
      <c r="K93" s="11"/>
      <c r="L93" s="11"/>
    </row>
    <row r="94" spans="1:12" s="15" customFormat="1" x14ac:dyDescent="0.35">
      <c r="A94" s="84" t="s">
        <v>825</v>
      </c>
      <c r="B94" s="17" t="s">
        <v>12</v>
      </c>
      <c r="C94" s="84" t="s">
        <v>130</v>
      </c>
      <c r="D94" s="16"/>
      <c r="E94" s="16"/>
      <c r="F94" s="16"/>
      <c r="G94" s="16"/>
      <c r="H94" s="16"/>
      <c r="I94" s="11"/>
      <c r="J94" s="11"/>
      <c r="K94" s="11"/>
      <c r="L94" s="11"/>
    </row>
    <row r="95" spans="1:12" s="15" customFormat="1" x14ac:dyDescent="0.35">
      <c r="A95" s="84" t="s">
        <v>826</v>
      </c>
      <c r="B95" s="17" t="s">
        <v>12</v>
      </c>
      <c r="C95" s="84" t="s">
        <v>130</v>
      </c>
      <c r="D95" s="16"/>
      <c r="E95" s="16"/>
      <c r="F95" s="16"/>
      <c r="G95" s="16"/>
      <c r="H95" s="16"/>
      <c r="I95" s="11"/>
      <c r="J95" s="11"/>
      <c r="K95" s="11"/>
      <c r="L95" s="11"/>
    </row>
    <row r="96" spans="1:12" s="15" customFormat="1" x14ac:dyDescent="0.35">
      <c r="A96" s="84" t="s">
        <v>827</v>
      </c>
      <c r="B96" s="17" t="s">
        <v>12</v>
      </c>
      <c r="C96" s="84" t="s">
        <v>130</v>
      </c>
      <c r="D96" s="16"/>
      <c r="E96" s="16"/>
      <c r="F96" s="16"/>
      <c r="G96" s="16"/>
      <c r="H96" s="16"/>
      <c r="I96" s="11"/>
      <c r="J96" s="11"/>
      <c r="K96" s="11"/>
      <c r="L96" s="11"/>
    </row>
    <row r="97" spans="1:12" s="15" customFormat="1" x14ac:dyDescent="0.35">
      <c r="A97" s="84" t="s">
        <v>828</v>
      </c>
      <c r="B97" s="17" t="s">
        <v>12</v>
      </c>
      <c r="C97" s="84" t="s">
        <v>130</v>
      </c>
      <c r="D97" s="16"/>
      <c r="E97" s="16"/>
      <c r="F97" s="16"/>
      <c r="G97" s="16"/>
      <c r="H97" s="16"/>
      <c r="I97" s="11"/>
      <c r="J97" s="11"/>
      <c r="K97" s="11"/>
      <c r="L97" s="11"/>
    </row>
    <row r="98" spans="1:12" s="15" customFormat="1" x14ac:dyDescent="0.35">
      <c r="A98" s="84" t="s">
        <v>829</v>
      </c>
      <c r="B98" s="17" t="s">
        <v>12</v>
      </c>
      <c r="C98" s="84" t="s">
        <v>130</v>
      </c>
      <c r="D98" s="16"/>
      <c r="E98" s="16"/>
      <c r="F98" s="16"/>
      <c r="G98" s="16"/>
      <c r="H98" s="16"/>
      <c r="I98" s="11"/>
      <c r="J98" s="11"/>
      <c r="K98" s="11"/>
      <c r="L98" s="11"/>
    </row>
    <row r="99" spans="1:12" s="15" customFormat="1" x14ac:dyDescent="0.35">
      <c r="A99" s="84" t="s">
        <v>830</v>
      </c>
      <c r="B99" s="17" t="s">
        <v>12</v>
      </c>
      <c r="C99" s="84" t="s">
        <v>130</v>
      </c>
      <c r="D99" s="16"/>
      <c r="E99" s="16"/>
      <c r="F99" s="16"/>
      <c r="G99" s="16"/>
      <c r="H99" s="16"/>
      <c r="I99" s="11"/>
      <c r="J99" s="11"/>
      <c r="K99" s="11"/>
      <c r="L99" s="11"/>
    </row>
    <row r="100" spans="1:12" s="15" customFormat="1" x14ac:dyDescent="0.35">
      <c r="A100" s="84" t="s">
        <v>831</v>
      </c>
      <c r="B100" s="17" t="s">
        <v>86</v>
      </c>
      <c r="C100" s="84" t="s">
        <v>130</v>
      </c>
      <c r="D100" s="16"/>
      <c r="E100" s="16"/>
      <c r="F100" s="16"/>
      <c r="G100" s="16"/>
      <c r="H100" s="16"/>
      <c r="I100" s="11"/>
      <c r="J100" s="11"/>
      <c r="K100" s="11"/>
      <c r="L100" s="11"/>
    </row>
    <row r="101" spans="1:12" s="15" customFormat="1" x14ac:dyDescent="0.35">
      <c r="A101" s="84" t="s">
        <v>832</v>
      </c>
      <c r="B101" s="17" t="s">
        <v>87</v>
      </c>
      <c r="C101" s="84" t="s">
        <v>130</v>
      </c>
      <c r="D101" s="16"/>
      <c r="E101" s="16"/>
      <c r="F101" s="16"/>
      <c r="G101" s="16"/>
      <c r="H101" s="16"/>
      <c r="I101" s="11"/>
      <c r="J101" s="11"/>
      <c r="K101" s="11"/>
      <c r="L101" s="11"/>
    </row>
    <row r="102" spans="1:12" s="15" customFormat="1" x14ac:dyDescent="0.35">
      <c r="A102" s="84" t="s">
        <v>833</v>
      </c>
      <c r="B102" s="17" t="s">
        <v>12</v>
      </c>
      <c r="C102" s="84" t="s">
        <v>165</v>
      </c>
      <c r="D102" s="16"/>
      <c r="E102" s="16"/>
      <c r="F102" s="16"/>
      <c r="G102" s="16"/>
      <c r="H102" s="16"/>
      <c r="I102" s="11"/>
      <c r="J102" s="11"/>
      <c r="K102" s="11"/>
      <c r="L102" s="11"/>
    </row>
    <row r="103" spans="1:12" s="15" customFormat="1" x14ac:dyDescent="0.35">
      <c r="A103" s="84" t="s">
        <v>834</v>
      </c>
      <c r="B103" s="17" t="s">
        <v>12</v>
      </c>
      <c r="C103" s="84" t="s">
        <v>165</v>
      </c>
      <c r="D103" s="16"/>
      <c r="E103" s="16"/>
      <c r="F103" s="16"/>
      <c r="G103" s="16"/>
      <c r="H103" s="16"/>
      <c r="I103" s="11"/>
      <c r="J103" s="11"/>
      <c r="K103" s="11"/>
      <c r="L103" s="11"/>
    </row>
    <row r="104" spans="1:12" s="15" customFormat="1" x14ac:dyDescent="0.35">
      <c r="A104" s="84" t="s">
        <v>835</v>
      </c>
      <c r="B104" s="17" t="s">
        <v>12</v>
      </c>
      <c r="C104" s="84" t="s">
        <v>130</v>
      </c>
      <c r="D104" s="16"/>
      <c r="E104" s="16"/>
      <c r="F104" s="16"/>
      <c r="G104" s="16"/>
      <c r="H104" s="16"/>
      <c r="I104" s="11"/>
      <c r="J104" s="11"/>
      <c r="K104" s="11"/>
      <c r="L104" s="11"/>
    </row>
    <row r="105" spans="1:12" s="15" customFormat="1" x14ac:dyDescent="0.35">
      <c r="A105" s="84" t="s">
        <v>836</v>
      </c>
      <c r="B105" s="17" t="s">
        <v>12</v>
      </c>
      <c r="C105" s="84" t="s">
        <v>130</v>
      </c>
      <c r="D105" s="16"/>
      <c r="E105" s="16"/>
      <c r="F105" s="16"/>
      <c r="G105" s="16"/>
      <c r="H105" s="16"/>
      <c r="I105" s="11"/>
      <c r="J105" s="11"/>
      <c r="K105" s="11"/>
      <c r="L105" s="11"/>
    </row>
    <row r="106" spans="1:12" s="15" customFormat="1" x14ac:dyDescent="0.35">
      <c r="A106" s="84" t="s">
        <v>837</v>
      </c>
      <c r="B106" s="17" t="s">
        <v>12</v>
      </c>
      <c r="C106" s="84" t="s">
        <v>130</v>
      </c>
      <c r="D106" s="16"/>
      <c r="E106" s="16"/>
      <c r="F106" s="16"/>
      <c r="G106" s="16"/>
      <c r="H106" s="16"/>
      <c r="I106" s="11"/>
      <c r="J106" s="11"/>
      <c r="K106" s="11"/>
      <c r="L106" s="11"/>
    </row>
    <row r="107" spans="1:12" s="15" customFormat="1" x14ac:dyDescent="0.35">
      <c r="A107" s="84" t="s">
        <v>562</v>
      </c>
      <c r="B107" s="17" t="s">
        <v>12</v>
      </c>
      <c r="C107" s="84" t="s">
        <v>130</v>
      </c>
      <c r="D107" s="16"/>
      <c r="E107" s="16"/>
      <c r="F107" s="16"/>
      <c r="G107" s="16"/>
      <c r="H107" s="16"/>
      <c r="I107" s="11"/>
      <c r="J107" s="11"/>
      <c r="K107" s="11"/>
      <c r="L107" s="11"/>
    </row>
    <row r="108" spans="1:12" s="15" customFormat="1" x14ac:dyDescent="0.35">
      <c r="A108" s="84" t="s">
        <v>290</v>
      </c>
      <c r="B108" s="17" t="s">
        <v>12</v>
      </c>
      <c r="C108" s="84" t="s">
        <v>130</v>
      </c>
      <c r="D108" s="16"/>
      <c r="E108" s="16"/>
      <c r="F108" s="16"/>
      <c r="G108" s="16"/>
      <c r="H108" s="16"/>
      <c r="I108" s="11"/>
      <c r="J108" s="11"/>
      <c r="K108" s="11"/>
      <c r="L108" s="11"/>
    </row>
    <row r="109" spans="1:12" s="15" customFormat="1" x14ac:dyDescent="0.35">
      <c r="A109" s="84" t="s">
        <v>256</v>
      </c>
      <c r="B109" s="17" t="s">
        <v>12</v>
      </c>
      <c r="C109" s="84" t="s">
        <v>130</v>
      </c>
      <c r="D109" s="16"/>
      <c r="E109" s="16"/>
      <c r="F109" s="16"/>
      <c r="G109" s="16"/>
      <c r="H109" s="16"/>
      <c r="I109" s="11"/>
      <c r="J109" s="11"/>
      <c r="K109" s="11"/>
      <c r="L109" s="11"/>
    </row>
    <row r="110" spans="1:12" s="15" customFormat="1" x14ac:dyDescent="0.35">
      <c r="A110" s="84"/>
      <c r="B110" s="17"/>
      <c r="C110" s="84"/>
      <c r="D110" s="16"/>
      <c r="E110" s="16"/>
      <c r="F110" s="16"/>
      <c r="G110" s="16"/>
      <c r="H110" s="16"/>
      <c r="I110" s="11"/>
      <c r="J110" s="11"/>
      <c r="K110" s="11"/>
      <c r="L110" s="11"/>
    </row>
    <row r="111" spans="1:12" s="15" customFormat="1" x14ac:dyDescent="0.35">
      <c r="A111" s="84"/>
      <c r="B111" s="17"/>
      <c r="C111" s="84"/>
      <c r="D111" s="16"/>
      <c r="E111" s="16"/>
      <c r="F111" s="16"/>
      <c r="G111" s="16"/>
      <c r="H111" s="16"/>
      <c r="I111" s="11"/>
      <c r="J111" s="11"/>
      <c r="K111" s="11"/>
      <c r="L111" s="11"/>
    </row>
    <row r="112" spans="1:12" s="15" customFormat="1" x14ac:dyDescent="0.35">
      <c r="A112" s="84"/>
      <c r="B112" s="17"/>
      <c r="C112" s="84"/>
      <c r="D112" s="16"/>
      <c r="E112" s="16"/>
      <c r="F112" s="16"/>
      <c r="G112" s="16"/>
      <c r="H112" s="16"/>
      <c r="I112" s="11"/>
      <c r="J112" s="11"/>
      <c r="K112" s="11"/>
      <c r="L112" s="11"/>
    </row>
    <row r="113" spans="1:12" s="15" customFormat="1" x14ac:dyDescent="0.35">
      <c r="A113" s="84"/>
      <c r="B113" s="17"/>
      <c r="C113" s="84"/>
      <c r="D113" s="16"/>
      <c r="E113" s="16"/>
      <c r="F113" s="16"/>
      <c r="G113" s="16"/>
      <c r="H113" s="16"/>
      <c r="I113" s="11"/>
      <c r="J113" s="11"/>
      <c r="K113" s="11"/>
      <c r="L113" s="11"/>
    </row>
    <row r="114" spans="1:12" s="15" customFormat="1" x14ac:dyDescent="0.35">
      <c r="A114" s="84"/>
      <c r="B114" s="17"/>
      <c r="C114" s="84"/>
      <c r="D114" s="16"/>
      <c r="E114" s="16"/>
      <c r="F114" s="16"/>
      <c r="G114" s="16"/>
      <c r="H114" s="16"/>
      <c r="I114" s="11"/>
      <c r="J114" s="11"/>
      <c r="K114" s="11"/>
      <c r="L114" s="11"/>
    </row>
    <row r="115" spans="1:12" x14ac:dyDescent="0.35">
      <c r="A115" s="14" t="s">
        <v>58</v>
      </c>
      <c r="B115" s="14" t="s">
        <v>33</v>
      </c>
      <c r="C115" s="14" t="s">
        <v>11</v>
      </c>
      <c r="D115" s="14" t="s">
        <v>31</v>
      </c>
      <c r="E115" s="14" t="s">
        <v>156</v>
      </c>
      <c r="F115" s="14"/>
      <c r="G115" s="14"/>
      <c r="H115" s="14"/>
      <c r="I115" s="14"/>
      <c r="J115" s="14"/>
      <c r="K115" s="14"/>
      <c r="L115" s="14"/>
    </row>
    <row r="116" spans="1:12" s="15" customFormat="1" x14ac:dyDescent="0.35">
      <c r="A116" s="84" t="s">
        <v>1193</v>
      </c>
      <c r="B116" s="17" t="s">
        <v>12</v>
      </c>
      <c r="C116" s="84" t="s">
        <v>130</v>
      </c>
      <c r="D116" s="85" t="s">
        <v>838</v>
      </c>
      <c r="E116" s="84"/>
      <c r="F116" s="16"/>
      <c r="G116" s="16"/>
      <c r="H116" s="16"/>
      <c r="I116" s="16"/>
      <c r="J116" s="20"/>
      <c r="K116" s="16"/>
      <c r="L116" s="16"/>
    </row>
    <row r="117" spans="1:12" s="15" customFormat="1" x14ac:dyDescent="0.35">
      <c r="A117" s="84" t="s">
        <v>1194</v>
      </c>
      <c r="B117" s="17" t="s">
        <v>12</v>
      </c>
      <c r="C117" s="84" t="s">
        <v>130</v>
      </c>
      <c r="D117" s="85" t="s">
        <v>839</v>
      </c>
      <c r="E117" s="84"/>
      <c r="F117" s="16"/>
      <c r="G117" s="16"/>
      <c r="H117" s="16"/>
      <c r="I117" s="16"/>
      <c r="J117" s="20"/>
      <c r="K117" s="16"/>
      <c r="L117" s="16"/>
    </row>
    <row r="118" spans="1:12" s="15" customFormat="1" x14ac:dyDescent="0.35">
      <c r="A118" s="84" t="s">
        <v>1195</v>
      </c>
      <c r="B118" s="17" t="s">
        <v>12</v>
      </c>
      <c r="C118" s="84" t="s">
        <v>130</v>
      </c>
      <c r="D118" s="85" t="s">
        <v>840</v>
      </c>
      <c r="E118" s="84"/>
      <c r="F118" s="16"/>
      <c r="G118" s="16"/>
      <c r="H118" s="16"/>
      <c r="I118" s="16"/>
      <c r="J118" s="20"/>
      <c r="K118" s="16"/>
      <c r="L118" s="16"/>
    </row>
    <row r="119" spans="1:12" s="15" customFormat="1" x14ac:dyDescent="0.35">
      <c r="A119" s="84" t="s">
        <v>841</v>
      </c>
      <c r="B119" s="17" t="s">
        <v>12</v>
      </c>
      <c r="C119" s="84" t="s">
        <v>130</v>
      </c>
      <c r="D119" s="85" t="s">
        <v>1196</v>
      </c>
      <c r="E119" s="84"/>
      <c r="F119" s="16"/>
      <c r="G119" s="16"/>
      <c r="H119" s="16"/>
      <c r="I119" s="16"/>
      <c r="J119" s="20"/>
      <c r="K119" s="16"/>
      <c r="L119" s="16"/>
    </row>
    <row r="120" spans="1:12" s="15" customFormat="1" x14ac:dyDescent="0.35">
      <c r="A120" s="84" t="s">
        <v>1197</v>
      </c>
      <c r="B120" s="17" t="s">
        <v>12</v>
      </c>
      <c r="C120" s="84" t="s">
        <v>130</v>
      </c>
      <c r="D120" s="85" t="s">
        <v>1198</v>
      </c>
      <c r="E120" s="84"/>
      <c r="F120" s="16"/>
      <c r="G120" s="16"/>
      <c r="H120" s="16"/>
      <c r="I120" s="16"/>
      <c r="J120" s="20"/>
      <c r="K120" s="16"/>
      <c r="L120" s="16"/>
    </row>
    <row r="121" spans="1:12" s="15" customFormat="1" x14ac:dyDescent="0.35">
      <c r="A121" s="84" t="s">
        <v>842</v>
      </c>
      <c r="B121" s="17" t="s">
        <v>12</v>
      </c>
      <c r="C121" s="84" t="s">
        <v>130</v>
      </c>
      <c r="D121" s="85" t="s">
        <v>843</v>
      </c>
      <c r="E121" s="84"/>
      <c r="F121" s="16"/>
      <c r="G121" s="16"/>
      <c r="H121" s="16"/>
      <c r="I121" s="16"/>
      <c r="J121" s="20"/>
      <c r="K121" s="16"/>
      <c r="L121" s="16"/>
    </row>
    <row r="122" spans="1:12" s="15" customFormat="1" x14ac:dyDescent="0.35">
      <c r="A122" s="84" t="s">
        <v>844</v>
      </c>
      <c r="B122" s="17" t="s">
        <v>12</v>
      </c>
      <c r="C122" s="84" t="s">
        <v>130</v>
      </c>
      <c r="D122" s="85" t="s">
        <v>845</v>
      </c>
      <c r="E122" s="84"/>
      <c r="F122" s="16"/>
      <c r="G122" s="16"/>
      <c r="H122" s="16"/>
      <c r="I122" s="16"/>
      <c r="J122" s="20"/>
      <c r="K122" s="16"/>
      <c r="L122" s="16"/>
    </row>
    <row r="123" spans="1:12" s="15" customFormat="1" x14ac:dyDescent="0.35">
      <c r="A123" s="84" t="s">
        <v>1199</v>
      </c>
      <c r="B123" s="17" t="s">
        <v>12</v>
      </c>
      <c r="C123" s="84" t="s">
        <v>130</v>
      </c>
      <c r="D123" s="85" t="s">
        <v>1200</v>
      </c>
      <c r="E123" s="84"/>
      <c r="F123" s="16"/>
      <c r="G123" s="16"/>
      <c r="H123" s="16"/>
      <c r="I123" s="16"/>
      <c r="J123" s="20"/>
      <c r="K123" s="16"/>
      <c r="L123" s="16"/>
    </row>
    <row r="124" spans="1:12" s="15" customFormat="1" x14ac:dyDescent="0.35">
      <c r="A124" s="84" t="s">
        <v>1201</v>
      </c>
      <c r="B124" s="17" t="s">
        <v>12</v>
      </c>
      <c r="C124" s="84" t="s">
        <v>130</v>
      </c>
      <c r="D124" s="85" t="s">
        <v>270</v>
      </c>
      <c r="E124" s="84"/>
      <c r="F124" s="16"/>
      <c r="G124" s="16"/>
      <c r="H124" s="16"/>
      <c r="I124" s="16"/>
      <c r="J124" s="20"/>
      <c r="K124" s="16"/>
      <c r="L124" s="16"/>
    </row>
    <row r="125" spans="1:12" s="15" customFormat="1" x14ac:dyDescent="0.35">
      <c r="A125" s="84" t="s">
        <v>1202</v>
      </c>
      <c r="B125" s="17" t="s">
        <v>12</v>
      </c>
      <c r="C125" s="84" t="s">
        <v>130</v>
      </c>
      <c r="D125" s="85" t="s">
        <v>1203</v>
      </c>
      <c r="E125" s="84"/>
      <c r="F125" s="16"/>
      <c r="G125" s="16"/>
      <c r="H125" s="16"/>
      <c r="I125" s="16"/>
      <c r="J125" s="20"/>
      <c r="K125" s="16"/>
      <c r="L125" s="16"/>
    </row>
    <row r="126" spans="1:12" s="15" customFormat="1" x14ac:dyDescent="0.35">
      <c r="A126" s="84" t="s">
        <v>1204</v>
      </c>
      <c r="B126" s="17" t="s">
        <v>12</v>
      </c>
      <c r="C126" s="84" t="s">
        <v>130</v>
      </c>
      <c r="D126" s="85" t="s">
        <v>1205</v>
      </c>
      <c r="E126" s="84"/>
      <c r="F126" s="16"/>
      <c r="G126" s="16"/>
      <c r="H126" s="16"/>
      <c r="I126" s="16"/>
      <c r="J126" s="20"/>
      <c r="K126" s="16"/>
      <c r="L126" s="16"/>
    </row>
    <row r="127" spans="1:12" s="15" customFormat="1" x14ac:dyDescent="0.35">
      <c r="A127" s="84" t="s">
        <v>846</v>
      </c>
      <c r="B127" s="17" t="s">
        <v>12</v>
      </c>
      <c r="C127" s="84" t="s">
        <v>130</v>
      </c>
      <c r="D127" s="85" t="s">
        <v>838</v>
      </c>
      <c r="E127" s="84"/>
      <c r="F127" s="16"/>
      <c r="G127" s="16"/>
      <c r="H127" s="16"/>
      <c r="I127" s="16"/>
      <c r="J127" s="20"/>
      <c r="K127" s="16"/>
      <c r="L127" s="16"/>
    </row>
    <row r="128" spans="1:12" s="15" customFormat="1" x14ac:dyDescent="0.35">
      <c r="A128" s="84" t="s">
        <v>847</v>
      </c>
      <c r="B128" s="17" t="s">
        <v>12</v>
      </c>
      <c r="C128" s="84" t="s">
        <v>130</v>
      </c>
      <c r="D128" s="85" t="s">
        <v>839</v>
      </c>
      <c r="E128" s="84"/>
      <c r="F128" s="16"/>
      <c r="G128" s="16"/>
      <c r="H128" s="16"/>
      <c r="I128" s="16"/>
      <c r="J128" s="20"/>
      <c r="K128" s="16"/>
      <c r="L128" s="16"/>
    </row>
    <row r="129" spans="1:12" s="15" customFormat="1" x14ac:dyDescent="0.35">
      <c r="A129" s="84" t="s">
        <v>848</v>
      </c>
      <c r="B129" s="17" t="s">
        <v>88</v>
      </c>
      <c r="C129" s="84" t="s">
        <v>130</v>
      </c>
      <c r="D129" s="85" t="s">
        <v>849</v>
      </c>
      <c r="E129" s="84"/>
      <c r="F129" s="16"/>
      <c r="G129" s="16"/>
      <c r="H129" s="16"/>
      <c r="I129" s="16"/>
      <c r="J129" s="20"/>
      <c r="K129" s="16"/>
      <c r="L129" s="16"/>
    </row>
    <row r="130" spans="1:12" s="15" customFormat="1" x14ac:dyDescent="0.35">
      <c r="A130" s="84" t="s">
        <v>850</v>
      </c>
      <c r="B130" s="17" t="s">
        <v>88</v>
      </c>
      <c r="C130" s="84" t="s">
        <v>130</v>
      </c>
      <c r="D130" s="85" t="s">
        <v>851</v>
      </c>
      <c r="E130" s="84"/>
      <c r="F130" s="16"/>
      <c r="G130" s="16"/>
      <c r="H130" s="16"/>
      <c r="I130" s="16"/>
      <c r="J130" s="20"/>
      <c r="K130" s="16"/>
      <c r="L130" s="16"/>
    </row>
    <row r="131" spans="1:12" s="15" customFormat="1" x14ac:dyDescent="0.35">
      <c r="A131" s="84" t="s">
        <v>853</v>
      </c>
      <c r="B131" s="17" t="s">
        <v>12</v>
      </c>
      <c r="C131" s="84" t="s">
        <v>130</v>
      </c>
      <c r="D131" s="85" t="s">
        <v>854</v>
      </c>
      <c r="E131" s="84"/>
      <c r="F131" s="16"/>
      <c r="G131" s="16"/>
      <c r="H131" s="16"/>
      <c r="I131" s="16"/>
      <c r="J131" s="20"/>
      <c r="K131" s="16"/>
      <c r="L131" s="16"/>
    </row>
    <row r="132" spans="1:12" s="15" customFormat="1" x14ac:dyDescent="0.35">
      <c r="A132" s="84" t="s">
        <v>855</v>
      </c>
      <c r="B132" s="17" t="s">
        <v>12</v>
      </c>
      <c r="C132" s="84" t="s">
        <v>130</v>
      </c>
      <c r="D132" s="85" t="s">
        <v>270</v>
      </c>
      <c r="E132" s="84"/>
      <c r="F132" s="16"/>
      <c r="G132" s="16"/>
      <c r="H132" s="16"/>
      <c r="I132" s="16"/>
      <c r="J132" s="20"/>
      <c r="K132" s="16"/>
      <c r="L132" s="16"/>
    </row>
    <row r="133" spans="1:12" s="15" customFormat="1" x14ac:dyDescent="0.35">
      <c r="A133" s="84" t="s">
        <v>856</v>
      </c>
      <c r="B133" s="17" t="s">
        <v>12</v>
      </c>
      <c r="C133" s="84" t="s">
        <v>130</v>
      </c>
      <c r="D133" s="85" t="s">
        <v>270</v>
      </c>
      <c r="E133" s="84"/>
      <c r="F133" s="16"/>
      <c r="G133" s="16"/>
      <c r="H133" s="16"/>
      <c r="I133" s="16"/>
      <c r="J133" s="20"/>
      <c r="K133" s="16"/>
      <c r="L133" s="16"/>
    </row>
    <row r="134" spans="1:12" s="15" customFormat="1" x14ac:dyDescent="0.35">
      <c r="A134" s="84" t="s">
        <v>857</v>
      </c>
      <c r="B134" s="17" t="s">
        <v>12</v>
      </c>
      <c r="C134" s="84" t="s">
        <v>130</v>
      </c>
      <c r="D134" s="85" t="s">
        <v>858</v>
      </c>
      <c r="E134" s="84"/>
      <c r="F134" s="16"/>
      <c r="G134" s="16"/>
      <c r="H134" s="16"/>
      <c r="I134" s="16"/>
      <c r="J134" s="20"/>
      <c r="K134" s="16"/>
      <c r="L134" s="16"/>
    </row>
    <row r="135" spans="1:12" s="15" customFormat="1" x14ac:dyDescent="0.35">
      <c r="A135" s="84" t="s">
        <v>859</v>
      </c>
      <c r="B135" s="17" t="s">
        <v>12</v>
      </c>
      <c r="C135" s="84" t="s">
        <v>130</v>
      </c>
      <c r="D135" s="85" t="s">
        <v>270</v>
      </c>
      <c r="E135" s="84"/>
      <c r="F135" s="16"/>
      <c r="G135" s="16"/>
      <c r="H135" s="16"/>
      <c r="I135" s="16"/>
      <c r="J135" s="20"/>
      <c r="K135" s="16"/>
      <c r="L135" s="16"/>
    </row>
    <row r="136" spans="1:12" s="15" customFormat="1" x14ac:dyDescent="0.35">
      <c r="A136" s="84" t="s">
        <v>860</v>
      </c>
      <c r="B136" s="17" t="s">
        <v>12</v>
      </c>
      <c r="C136" s="84" t="s">
        <v>130</v>
      </c>
      <c r="D136" s="85" t="s">
        <v>270</v>
      </c>
      <c r="E136" s="84"/>
      <c r="F136" s="16"/>
      <c r="G136" s="16"/>
      <c r="H136" s="16"/>
      <c r="I136" s="16"/>
      <c r="J136" s="20"/>
      <c r="K136" s="16"/>
      <c r="L136" s="16"/>
    </row>
    <row r="137" spans="1:12" s="15" customFormat="1" x14ac:dyDescent="0.35">
      <c r="A137" s="84" t="s">
        <v>861</v>
      </c>
      <c r="B137" s="17" t="s">
        <v>12</v>
      </c>
      <c r="C137" s="84" t="s">
        <v>165</v>
      </c>
      <c r="D137" s="85" t="s">
        <v>862</v>
      </c>
      <c r="E137" s="84"/>
      <c r="F137" s="16"/>
      <c r="G137" s="16"/>
      <c r="H137" s="16"/>
      <c r="I137" s="16"/>
      <c r="J137" s="20"/>
      <c r="K137" s="16"/>
      <c r="L137" s="16"/>
    </row>
    <row r="138" spans="1:12" s="15" customFormat="1" x14ac:dyDescent="0.35">
      <c r="A138" s="84" t="s">
        <v>863</v>
      </c>
      <c r="B138" s="17" t="s">
        <v>12</v>
      </c>
      <c r="C138" s="84" t="s">
        <v>130</v>
      </c>
      <c r="D138" s="85" t="s">
        <v>852</v>
      </c>
      <c r="E138" s="84"/>
      <c r="F138" s="16"/>
      <c r="G138" s="16"/>
      <c r="H138" s="16"/>
      <c r="I138" s="16"/>
      <c r="J138" s="20"/>
      <c r="K138" s="16"/>
      <c r="L138" s="16"/>
    </row>
    <row r="139" spans="1:12" s="15" customFormat="1" x14ac:dyDescent="0.35">
      <c r="A139" s="84" t="s">
        <v>864</v>
      </c>
      <c r="B139" s="17" t="s">
        <v>12</v>
      </c>
      <c r="C139" s="84" t="s">
        <v>130</v>
      </c>
      <c r="D139" s="85" t="s">
        <v>865</v>
      </c>
      <c r="E139" s="84"/>
      <c r="F139" s="16"/>
      <c r="G139" s="16"/>
      <c r="H139" s="16"/>
      <c r="I139" s="16"/>
      <c r="J139" s="20"/>
      <c r="K139" s="16"/>
      <c r="L139" s="16"/>
    </row>
    <row r="140" spans="1:12" s="15" customFormat="1" x14ac:dyDescent="0.35">
      <c r="A140" s="84" t="s">
        <v>866</v>
      </c>
      <c r="B140" s="17" t="s">
        <v>12</v>
      </c>
      <c r="C140" s="84" t="s">
        <v>130</v>
      </c>
      <c r="D140" s="85" t="s">
        <v>867</v>
      </c>
      <c r="E140" s="84"/>
      <c r="F140" s="16"/>
      <c r="G140" s="16"/>
      <c r="H140" s="16"/>
      <c r="I140" s="16"/>
      <c r="J140" s="20"/>
      <c r="K140" s="16"/>
      <c r="L140" s="16"/>
    </row>
    <row r="141" spans="1:12" s="15" customFormat="1" x14ac:dyDescent="0.35">
      <c r="A141" s="84" t="s">
        <v>868</v>
      </c>
      <c r="B141" s="17" t="s">
        <v>12</v>
      </c>
      <c r="C141" s="84" t="s">
        <v>130</v>
      </c>
      <c r="D141" s="85" t="s">
        <v>869</v>
      </c>
      <c r="E141" s="84"/>
      <c r="F141" s="16"/>
      <c r="G141" s="16"/>
      <c r="H141" s="16"/>
      <c r="I141" s="16"/>
      <c r="J141" s="20"/>
      <c r="K141" s="16"/>
      <c r="L141" s="16"/>
    </row>
    <row r="142" spans="1:12" s="15" customFormat="1" x14ac:dyDescent="0.35">
      <c r="A142" s="84" t="s">
        <v>870</v>
      </c>
      <c r="B142" s="17" t="s">
        <v>12</v>
      </c>
      <c r="C142" s="84" t="s">
        <v>130</v>
      </c>
      <c r="D142" s="85" t="s">
        <v>871</v>
      </c>
      <c r="E142" s="84"/>
      <c r="F142" s="16"/>
      <c r="G142" s="16"/>
      <c r="H142" s="16"/>
      <c r="I142" s="16"/>
      <c r="J142" s="20"/>
      <c r="K142" s="16"/>
      <c r="L142" s="16"/>
    </row>
    <row r="143" spans="1:12" s="15" customFormat="1" x14ac:dyDescent="0.35">
      <c r="A143" s="84" t="s">
        <v>872</v>
      </c>
      <c r="B143" s="17" t="s">
        <v>12</v>
      </c>
      <c r="C143" s="84" t="s">
        <v>130</v>
      </c>
      <c r="D143" s="85" t="s">
        <v>873</v>
      </c>
      <c r="E143" s="84"/>
      <c r="F143" s="16"/>
      <c r="G143" s="16"/>
      <c r="H143" s="16"/>
      <c r="I143" s="16"/>
      <c r="J143" s="20"/>
      <c r="K143" s="16"/>
      <c r="L143" s="16"/>
    </row>
    <row r="144" spans="1:12" s="15" customFormat="1" x14ac:dyDescent="0.35">
      <c r="A144" s="84" t="s">
        <v>874</v>
      </c>
      <c r="B144" s="17" t="s">
        <v>12</v>
      </c>
      <c r="C144" s="84" t="s">
        <v>130</v>
      </c>
      <c r="D144" s="85" t="s">
        <v>875</v>
      </c>
      <c r="E144" s="84"/>
      <c r="F144" s="16"/>
      <c r="G144" s="16"/>
      <c r="H144" s="16"/>
      <c r="I144" s="16"/>
      <c r="J144" s="20"/>
      <c r="K144" s="16"/>
      <c r="L144" s="16"/>
    </row>
    <row r="145" spans="1:12" s="15" customFormat="1" x14ac:dyDescent="0.35">
      <c r="A145" s="84" t="s">
        <v>876</v>
      </c>
      <c r="B145" s="17" t="s">
        <v>12</v>
      </c>
      <c r="C145" s="84" t="s">
        <v>130</v>
      </c>
      <c r="D145" s="85" t="s">
        <v>877</v>
      </c>
      <c r="E145" s="84"/>
      <c r="F145" s="16"/>
      <c r="G145" s="16"/>
      <c r="H145" s="16"/>
      <c r="I145" s="16"/>
      <c r="J145" s="20"/>
      <c r="K145" s="16"/>
      <c r="L145" s="16"/>
    </row>
    <row r="146" spans="1:12" s="15" customFormat="1" x14ac:dyDescent="0.35">
      <c r="A146" s="84" t="s">
        <v>878</v>
      </c>
      <c r="B146" s="17" t="s">
        <v>12</v>
      </c>
      <c r="C146" s="84" t="s">
        <v>130</v>
      </c>
      <c r="D146" s="85" t="s">
        <v>879</v>
      </c>
      <c r="E146" s="84"/>
      <c r="F146" s="16"/>
      <c r="G146" s="16"/>
      <c r="H146" s="16"/>
      <c r="I146" s="16"/>
      <c r="J146" s="20"/>
      <c r="K146" s="16"/>
      <c r="L146" s="16"/>
    </row>
    <row r="147" spans="1:12" s="15" customFormat="1" x14ac:dyDescent="0.35">
      <c r="A147" s="84" t="s">
        <v>880</v>
      </c>
      <c r="B147" s="17" t="s">
        <v>12</v>
      </c>
      <c r="C147" s="84" t="s">
        <v>130</v>
      </c>
      <c r="D147" s="85" t="s">
        <v>881</v>
      </c>
      <c r="E147" s="84"/>
      <c r="F147" s="16"/>
      <c r="G147" s="16"/>
      <c r="H147" s="16"/>
      <c r="I147" s="16"/>
      <c r="J147" s="20"/>
      <c r="K147" s="16"/>
      <c r="L147" s="16"/>
    </row>
    <row r="148" spans="1:12" s="15" customFormat="1" x14ac:dyDescent="0.35">
      <c r="A148" s="84" t="s">
        <v>882</v>
      </c>
      <c r="B148" s="17" t="s">
        <v>12</v>
      </c>
      <c r="C148" s="84" t="s">
        <v>130</v>
      </c>
      <c r="D148" s="85" t="s">
        <v>883</v>
      </c>
      <c r="E148" s="84"/>
      <c r="F148" s="16"/>
      <c r="G148" s="16"/>
      <c r="H148" s="16"/>
      <c r="I148" s="16"/>
      <c r="J148" s="20"/>
      <c r="K148" s="16"/>
      <c r="L148" s="16"/>
    </row>
    <row r="149" spans="1:12" s="15" customFormat="1" x14ac:dyDescent="0.35">
      <c r="A149" s="84" t="s">
        <v>884</v>
      </c>
      <c r="B149" s="17" t="s">
        <v>12</v>
      </c>
      <c r="C149" s="84" t="s">
        <v>130</v>
      </c>
      <c r="D149" s="85" t="s">
        <v>270</v>
      </c>
      <c r="E149" s="84"/>
      <c r="F149" s="16"/>
      <c r="G149" s="16"/>
      <c r="H149" s="16"/>
      <c r="I149" s="16"/>
      <c r="J149" s="20"/>
      <c r="K149" s="16"/>
      <c r="L149" s="16"/>
    </row>
    <row r="150" spans="1:12" s="15" customFormat="1" x14ac:dyDescent="0.35">
      <c r="A150" s="84" t="s">
        <v>885</v>
      </c>
      <c r="B150" s="17" t="s">
        <v>12</v>
      </c>
      <c r="C150" s="84" t="s">
        <v>130</v>
      </c>
      <c r="D150" s="85" t="s">
        <v>270</v>
      </c>
      <c r="E150" s="84"/>
      <c r="F150" s="16"/>
      <c r="G150" s="16"/>
      <c r="H150" s="16"/>
      <c r="I150" s="16"/>
      <c r="J150" s="20"/>
      <c r="K150" s="16"/>
      <c r="L150" s="16"/>
    </row>
    <row r="151" spans="1:12" s="15" customFormat="1" x14ac:dyDescent="0.35">
      <c r="A151" s="84" t="s">
        <v>886</v>
      </c>
      <c r="B151" s="17" t="s">
        <v>12</v>
      </c>
      <c r="C151" s="84" t="s">
        <v>130</v>
      </c>
      <c r="D151" s="85" t="s">
        <v>270</v>
      </c>
      <c r="E151" s="84"/>
      <c r="F151" s="16"/>
      <c r="G151" s="16"/>
      <c r="H151" s="16"/>
      <c r="I151" s="16"/>
      <c r="J151" s="20"/>
      <c r="K151" s="16"/>
      <c r="L151" s="16"/>
    </row>
    <row r="152" spans="1:12" s="15" customFormat="1" x14ac:dyDescent="0.35">
      <c r="A152" s="84" t="s">
        <v>887</v>
      </c>
      <c r="B152" s="17" t="s">
        <v>12</v>
      </c>
      <c r="C152" s="84" t="s">
        <v>130</v>
      </c>
      <c r="D152" s="85" t="s">
        <v>270</v>
      </c>
      <c r="E152" s="84"/>
      <c r="F152" s="16"/>
      <c r="G152" s="16"/>
      <c r="H152" s="16"/>
      <c r="I152" s="16"/>
      <c r="J152" s="20"/>
      <c r="K152" s="16"/>
      <c r="L152" s="16"/>
    </row>
    <row r="153" spans="1:12" s="15" customFormat="1" x14ac:dyDescent="0.35">
      <c r="A153" s="84" t="s">
        <v>888</v>
      </c>
      <c r="B153" s="17" t="s">
        <v>12</v>
      </c>
      <c r="C153" s="84" t="s">
        <v>130</v>
      </c>
      <c r="D153" s="85" t="s">
        <v>889</v>
      </c>
      <c r="E153" s="84"/>
      <c r="F153" s="16"/>
      <c r="G153" s="16"/>
      <c r="H153" s="16"/>
      <c r="I153" s="16"/>
      <c r="J153" s="20"/>
      <c r="K153" s="16"/>
      <c r="L153" s="16"/>
    </row>
    <row r="154" spans="1:12" s="15" customFormat="1" x14ac:dyDescent="0.35">
      <c r="A154" s="84" t="s">
        <v>890</v>
      </c>
      <c r="B154" s="17" t="s">
        <v>12</v>
      </c>
      <c r="C154" s="84" t="s">
        <v>130</v>
      </c>
      <c r="D154" s="85" t="s">
        <v>891</v>
      </c>
      <c r="E154" s="84"/>
      <c r="F154" s="16"/>
      <c r="G154" s="16"/>
      <c r="H154" s="16"/>
      <c r="I154" s="16"/>
      <c r="J154" s="20"/>
      <c r="K154" s="16"/>
      <c r="L154" s="16"/>
    </row>
    <row r="155" spans="1:12" s="15" customFormat="1" x14ac:dyDescent="0.35">
      <c r="A155" s="84" t="s">
        <v>892</v>
      </c>
      <c r="B155" s="17" t="s">
        <v>12</v>
      </c>
      <c r="C155" s="84" t="s">
        <v>130</v>
      </c>
      <c r="D155" s="85" t="s">
        <v>893</v>
      </c>
      <c r="E155" s="84"/>
      <c r="F155" s="16"/>
      <c r="G155" s="16"/>
      <c r="H155" s="16"/>
      <c r="I155" s="16"/>
      <c r="J155" s="20"/>
      <c r="K155" s="16"/>
      <c r="L155" s="16"/>
    </row>
    <row r="156" spans="1:12" s="15" customFormat="1" x14ac:dyDescent="0.35">
      <c r="A156" s="84" t="s">
        <v>894</v>
      </c>
      <c r="B156" s="17" t="s">
        <v>12</v>
      </c>
      <c r="C156" s="84" t="s">
        <v>165</v>
      </c>
      <c r="D156" s="85" t="s">
        <v>895</v>
      </c>
      <c r="E156" s="84"/>
      <c r="F156" s="16"/>
      <c r="G156" s="16"/>
      <c r="H156" s="16"/>
      <c r="I156" s="16"/>
      <c r="J156" s="20"/>
      <c r="K156" s="16"/>
      <c r="L156" s="16"/>
    </row>
    <row r="157" spans="1:12" s="15" customFormat="1" x14ac:dyDescent="0.35">
      <c r="A157" s="84" t="s">
        <v>896</v>
      </c>
      <c r="B157" s="17" t="s">
        <v>12</v>
      </c>
      <c r="C157" s="84" t="s">
        <v>165</v>
      </c>
      <c r="D157" s="85" t="s">
        <v>897</v>
      </c>
      <c r="E157" s="84"/>
      <c r="F157" s="16"/>
      <c r="G157" s="16"/>
      <c r="H157" s="16"/>
      <c r="I157" s="16"/>
      <c r="J157" s="20"/>
      <c r="K157" s="16"/>
      <c r="L157" s="16"/>
    </row>
    <row r="158" spans="1:12" s="15" customFormat="1" x14ac:dyDescent="0.35">
      <c r="A158" s="84" t="s">
        <v>898</v>
      </c>
      <c r="B158" s="17" t="s">
        <v>12</v>
      </c>
      <c r="C158" s="84" t="s">
        <v>165</v>
      </c>
      <c r="D158" s="85" t="s">
        <v>899</v>
      </c>
      <c r="E158" s="84"/>
      <c r="F158" s="16"/>
      <c r="G158" s="16"/>
      <c r="H158" s="16"/>
      <c r="I158" s="16"/>
      <c r="J158" s="20"/>
      <c r="K158" s="16"/>
      <c r="L158" s="16"/>
    </row>
    <row r="159" spans="1:12" s="15" customFormat="1" x14ac:dyDescent="0.35">
      <c r="A159" s="84" t="s">
        <v>900</v>
      </c>
      <c r="B159" s="17" t="s">
        <v>12</v>
      </c>
      <c r="C159" s="84" t="s">
        <v>165</v>
      </c>
      <c r="D159" s="85" t="s">
        <v>901</v>
      </c>
      <c r="E159" s="84"/>
      <c r="F159" s="16"/>
      <c r="G159" s="16"/>
      <c r="H159" s="16"/>
      <c r="I159" s="16"/>
      <c r="J159" s="20"/>
      <c r="K159" s="16"/>
      <c r="L159" s="16"/>
    </row>
    <row r="160" spans="1:12" s="15" customFormat="1" x14ac:dyDescent="0.35">
      <c r="A160" s="84" t="s">
        <v>902</v>
      </c>
      <c r="B160" s="17" t="s">
        <v>12</v>
      </c>
      <c r="C160" s="84" t="s">
        <v>165</v>
      </c>
      <c r="D160" s="85" t="s">
        <v>903</v>
      </c>
      <c r="E160" s="84"/>
      <c r="F160" s="16"/>
      <c r="G160" s="16"/>
      <c r="H160" s="16"/>
      <c r="I160" s="16"/>
      <c r="J160" s="20"/>
      <c r="K160" s="16"/>
      <c r="L160" s="16"/>
    </row>
    <row r="161" spans="1:12" s="15" customFormat="1" x14ac:dyDescent="0.35">
      <c r="A161" s="84" t="s">
        <v>904</v>
      </c>
      <c r="B161" s="17" t="s">
        <v>12</v>
      </c>
      <c r="C161" s="84" t="s">
        <v>165</v>
      </c>
      <c r="D161" s="85" t="s">
        <v>905</v>
      </c>
      <c r="E161" s="84"/>
      <c r="F161" s="16"/>
      <c r="G161" s="16"/>
      <c r="H161" s="16"/>
      <c r="I161" s="16"/>
      <c r="J161" s="20"/>
      <c r="K161" s="16"/>
      <c r="L161" s="16"/>
    </row>
    <row r="162" spans="1:12" s="15" customFormat="1" x14ac:dyDescent="0.35">
      <c r="A162" s="84" t="s">
        <v>906</v>
      </c>
      <c r="B162" s="17" t="s">
        <v>12</v>
      </c>
      <c r="C162" s="84" t="s">
        <v>165</v>
      </c>
      <c r="D162" s="85" t="s">
        <v>907</v>
      </c>
      <c r="E162" s="84"/>
      <c r="F162" s="16"/>
      <c r="G162" s="16"/>
      <c r="H162" s="16"/>
      <c r="I162" s="16"/>
      <c r="J162" s="20"/>
      <c r="K162" s="16"/>
      <c r="L162" s="16"/>
    </row>
    <row r="163" spans="1:12" s="15" customFormat="1" x14ac:dyDescent="0.35">
      <c r="A163" s="84" t="s">
        <v>908</v>
      </c>
      <c r="B163" s="17" t="s">
        <v>12</v>
      </c>
      <c r="C163" s="84" t="s">
        <v>165</v>
      </c>
      <c r="D163" s="85" t="s">
        <v>909</v>
      </c>
      <c r="E163" s="84"/>
      <c r="F163" s="16"/>
      <c r="G163" s="16"/>
      <c r="H163" s="16"/>
      <c r="I163" s="16"/>
      <c r="J163" s="20"/>
      <c r="K163" s="16"/>
      <c r="L163" s="16"/>
    </row>
    <row r="164" spans="1:12" s="15" customFormat="1" x14ac:dyDescent="0.35">
      <c r="A164" s="84" t="s">
        <v>910</v>
      </c>
      <c r="B164" s="17" t="s">
        <v>12</v>
      </c>
      <c r="C164" s="84" t="s">
        <v>165</v>
      </c>
      <c r="D164" s="85" t="s">
        <v>911</v>
      </c>
      <c r="E164" s="84"/>
      <c r="F164" s="16"/>
      <c r="G164" s="16"/>
      <c r="H164" s="16"/>
      <c r="I164" s="16"/>
      <c r="J164" s="20"/>
      <c r="K164" s="16"/>
      <c r="L164" s="16"/>
    </row>
    <row r="165" spans="1:12" s="15" customFormat="1" x14ac:dyDescent="0.35">
      <c r="A165" s="84" t="s">
        <v>912</v>
      </c>
      <c r="B165" s="17" t="s">
        <v>12</v>
      </c>
      <c r="C165" s="84" t="s">
        <v>165</v>
      </c>
      <c r="D165" s="85" t="s">
        <v>913</v>
      </c>
      <c r="E165" s="84"/>
      <c r="F165" s="16"/>
      <c r="G165" s="16"/>
      <c r="H165" s="16"/>
      <c r="I165" s="16"/>
      <c r="J165" s="20"/>
      <c r="K165" s="16"/>
      <c r="L165" s="16"/>
    </row>
    <row r="166" spans="1:12" s="15" customFormat="1" x14ac:dyDescent="0.35">
      <c r="A166" s="84" t="s">
        <v>914</v>
      </c>
      <c r="B166" s="17" t="s">
        <v>12</v>
      </c>
      <c r="C166" s="84" t="s">
        <v>165</v>
      </c>
      <c r="D166" s="85" t="s">
        <v>915</v>
      </c>
      <c r="E166" s="84"/>
      <c r="F166" s="16"/>
      <c r="G166" s="16"/>
      <c r="H166" s="16"/>
      <c r="I166" s="16"/>
      <c r="J166" s="20"/>
      <c r="K166" s="16"/>
      <c r="L166" s="16"/>
    </row>
    <row r="167" spans="1:12" s="15" customFormat="1" x14ac:dyDescent="0.35">
      <c r="A167" s="84" t="s">
        <v>916</v>
      </c>
      <c r="B167" s="17" t="s">
        <v>12</v>
      </c>
      <c r="C167" s="84" t="s">
        <v>165</v>
      </c>
      <c r="D167" s="85" t="s">
        <v>917</v>
      </c>
      <c r="E167" s="84"/>
      <c r="F167" s="16"/>
      <c r="G167" s="16"/>
      <c r="H167" s="16"/>
      <c r="I167" s="16"/>
      <c r="J167" s="20"/>
      <c r="K167" s="16"/>
      <c r="L167" s="16"/>
    </row>
    <row r="168" spans="1:12" s="15" customFormat="1" x14ac:dyDescent="0.35">
      <c r="A168" s="84" t="s">
        <v>918</v>
      </c>
      <c r="B168" s="17" t="s">
        <v>12</v>
      </c>
      <c r="C168" s="84" t="s">
        <v>165</v>
      </c>
      <c r="D168" s="85" t="s">
        <v>270</v>
      </c>
      <c r="E168" s="84"/>
      <c r="F168" s="16"/>
      <c r="G168" s="16"/>
      <c r="H168" s="16"/>
      <c r="I168" s="16"/>
      <c r="J168" s="20"/>
      <c r="K168" s="16"/>
      <c r="L168" s="16"/>
    </row>
    <row r="169" spans="1:12" s="15" customFormat="1" x14ac:dyDescent="0.35">
      <c r="A169" s="84" t="s">
        <v>919</v>
      </c>
      <c r="B169" s="17" t="s">
        <v>12</v>
      </c>
      <c r="C169" s="84" t="s">
        <v>130</v>
      </c>
      <c r="D169" s="85" t="s">
        <v>852</v>
      </c>
      <c r="E169" s="84"/>
      <c r="F169" s="16"/>
      <c r="G169" s="16"/>
      <c r="H169" s="16"/>
      <c r="I169" s="16"/>
      <c r="J169" s="20"/>
      <c r="K169" s="16"/>
      <c r="L169" s="16"/>
    </row>
    <row r="170" spans="1:12" s="15" customFormat="1" x14ac:dyDescent="0.35">
      <c r="A170" s="84" t="s">
        <v>920</v>
      </c>
      <c r="B170" s="17" t="s">
        <v>12</v>
      </c>
      <c r="C170" s="84" t="s">
        <v>165</v>
      </c>
      <c r="D170" s="85" t="s">
        <v>270</v>
      </c>
      <c r="E170" s="84"/>
      <c r="F170" s="16"/>
      <c r="G170" s="16"/>
      <c r="H170" s="16"/>
      <c r="I170" s="16"/>
      <c r="J170" s="20"/>
      <c r="K170" s="16"/>
      <c r="L170" s="16"/>
    </row>
    <row r="171" spans="1:12" s="15" customFormat="1" x14ac:dyDescent="0.35">
      <c r="A171" s="84" t="s">
        <v>921</v>
      </c>
      <c r="B171" s="17" t="s">
        <v>12</v>
      </c>
      <c r="C171" s="84" t="s">
        <v>165</v>
      </c>
      <c r="D171" s="85" t="s">
        <v>922</v>
      </c>
      <c r="E171" s="84"/>
      <c r="F171" s="16"/>
      <c r="G171" s="16"/>
      <c r="H171" s="16"/>
      <c r="I171" s="16"/>
      <c r="J171" s="20"/>
      <c r="K171" s="16"/>
      <c r="L171" s="16"/>
    </row>
    <row r="172" spans="1:12" s="15" customFormat="1" x14ac:dyDescent="0.35">
      <c r="A172" s="84" t="s">
        <v>923</v>
      </c>
      <c r="B172" s="17" t="s">
        <v>12</v>
      </c>
      <c r="C172" s="84" t="s">
        <v>165</v>
      </c>
      <c r="D172" s="85" t="s">
        <v>924</v>
      </c>
      <c r="E172" s="84"/>
      <c r="F172" s="16"/>
      <c r="G172" s="16"/>
      <c r="H172" s="16"/>
      <c r="I172" s="16"/>
      <c r="J172" s="20"/>
      <c r="K172" s="16"/>
      <c r="L172" s="16"/>
    </row>
    <row r="173" spans="1:12" s="15" customFormat="1" x14ac:dyDescent="0.35">
      <c r="A173" s="84" t="s">
        <v>925</v>
      </c>
      <c r="B173" s="17" t="s">
        <v>12</v>
      </c>
      <c r="C173" s="84" t="s">
        <v>165</v>
      </c>
      <c r="D173" s="85" t="s">
        <v>270</v>
      </c>
      <c r="E173" s="84"/>
      <c r="F173" s="16"/>
      <c r="G173" s="16"/>
      <c r="H173" s="16"/>
      <c r="I173" s="16"/>
      <c r="J173" s="20"/>
      <c r="K173" s="16"/>
      <c r="L173" s="16"/>
    </row>
    <row r="174" spans="1:12" s="15" customFormat="1" x14ac:dyDescent="0.35">
      <c r="A174" s="84" t="s">
        <v>926</v>
      </c>
      <c r="B174" s="17" t="s">
        <v>12</v>
      </c>
      <c r="C174" s="84" t="s">
        <v>165</v>
      </c>
      <c r="D174" s="85" t="s">
        <v>927</v>
      </c>
      <c r="E174" s="84"/>
      <c r="F174" s="16"/>
      <c r="G174" s="16"/>
      <c r="H174" s="16"/>
      <c r="I174" s="16"/>
      <c r="J174" s="20"/>
      <c r="K174" s="16"/>
      <c r="L174" s="16"/>
    </row>
    <row r="175" spans="1:12" s="15" customFormat="1" x14ac:dyDescent="0.35">
      <c r="A175" s="84" t="s">
        <v>928</v>
      </c>
      <c r="B175" s="17" t="s">
        <v>12</v>
      </c>
      <c r="C175" s="84" t="s">
        <v>165</v>
      </c>
      <c r="D175" s="85" t="s">
        <v>270</v>
      </c>
      <c r="E175" s="84"/>
      <c r="F175" s="16"/>
      <c r="G175" s="16"/>
      <c r="H175" s="16"/>
      <c r="I175" s="16"/>
      <c r="J175" s="20"/>
      <c r="K175" s="16"/>
      <c r="L175" s="16"/>
    </row>
    <row r="176" spans="1:12" s="15" customFormat="1" x14ac:dyDescent="0.35">
      <c r="A176" s="84" t="s">
        <v>929</v>
      </c>
      <c r="B176" s="17" t="s">
        <v>12</v>
      </c>
      <c r="C176" s="84" t="s">
        <v>130</v>
      </c>
      <c r="D176" s="85" t="s">
        <v>270</v>
      </c>
      <c r="E176" s="84"/>
      <c r="F176" s="16"/>
      <c r="G176" s="16"/>
      <c r="H176" s="16"/>
      <c r="I176" s="16"/>
      <c r="J176" s="20"/>
      <c r="K176" s="16"/>
      <c r="L176" s="16"/>
    </row>
    <row r="177" spans="1:12" s="15" customFormat="1" x14ac:dyDescent="0.35">
      <c r="A177" s="84" t="s">
        <v>930</v>
      </c>
      <c r="B177" s="17" t="s">
        <v>12</v>
      </c>
      <c r="C177" s="84" t="s">
        <v>130</v>
      </c>
      <c r="D177" s="85" t="s">
        <v>270</v>
      </c>
      <c r="E177" s="84"/>
      <c r="F177" s="16"/>
      <c r="G177" s="16"/>
      <c r="H177" s="16"/>
      <c r="I177" s="16"/>
      <c r="J177" s="20"/>
      <c r="K177" s="16"/>
      <c r="L177" s="16"/>
    </row>
    <row r="178" spans="1:12" s="15" customFormat="1" x14ac:dyDescent="0.35">
      <c r="A178" s="84" t="s">
        <v>931</v>
      </c>
      <c r="B178" s="17" t="s">
        <v>12</v>
      </c>
      <c r="C178" s="84" t="s">
        <v>130</v>
      </c>
      <c r="D178" s="85" t="s">
        <v>932</v>
      </c>
      <c r="E178" s="84"/>
      <c r="F178" s="16"/>
      <c r="G178" s="16"/>
      <c r="H178" s="16"/>
      <c r="I178" s="16"/>
      <c r="J178" s="20"/>
      <c r="K178" s="16"/>
      <c r="L178" s="16"/>
    </row>
    <row r="179" spans="1:12" s="15" customFormat="1" x14ac:dyDescent="0.35">
      <c r="A179" s="84" t="s">
        <v>933</v>
      </c>
      <c r="B179" s="17" t="s">
        <v>12</v>
      </c>
      <c r="C179" s="84" t="s">
        <v>130</v>
      </c>
      <c r="D179" s="85" t="s">
        <v>934</v>
      </c>
      <c r="E179" s="84"/>
      <c r="F179" s="16"/>
      <c r="G179" s="16"/>
      <c r="H179" s="16"/>
      <c r="I179" s="16"/>
      <c r="J179" s="20"/>
      <c r="K179" s="16"/>
      <c r="L179" s="16"/>
    </row>
    <row r="180" spans="1:12" s="15" customFormat="1" x14ac:dyDescent="0.35">
      <c r="A180" s="84" t="s">
        <v>935</v>
      </c>
      <c r="B180" s="17" t="s">
        <v>12</v>
      </c>
      <c r="C180" s="84" t="s">
        <v>130</v>
      </c>
      <c r="D180" s="85" t="s">
        <v>936</v>
      </c>
      <c r="E180" s="84"/>
      <c r="F180" s="16"/>
      <c r="G180" s="16"/>
      <c r="H180" s="16"/>
      <c r="I180" s="16"/>
      <c r="J180" s="20"/>
      <c r="K180" s="16"/>
      <c r="L180" s="16"/>
    </row>
    <row r="181" spans="1:12" s="15" customFormat="1" x14ac:dyDescent="0.35">
      <c r="A181" s="84" t="s">
        <v>937</v>
      </c>
      <c r="B181" s="17" t="s">
        <v>12</v>
      </c>
      <c r="C181" s="84" t="s">
        <v>130</v>
      </c>
      <c r="D181" s="85" t="s">
        <v>938</v>
      </c>
      <c r="E181" s="84"/>
      <c r="F181" s="16"/>
      <c r="G181" s="16"/>
      <c r="H181" s="16"/>
      <c r="I181" s="16"/>
      <c r="J181" s="20"/>
      <c r="K181" s="16"/>
      <c r="L181" s="16"/>
    </row>
    <row r="182" spans="1:12" s="15" customFormat="1" x14ac:dyDescent="0.35">
      <c r="A182" s="84" t="s">
        <v>939</v>
      </c>
      <c r="B182" s="17" t="s">
        <v>12</v>
      </c>
      <c r="C182" s="84" t="s">
        <v>165</v>
      </c>
      <c r="D182" s="85" t="s">
        <v>940</v>
      </c>
      <c r="E182" s="84"/>
      <c r="F182" s="16"/>
      <c r="G182" s="16"/>
      <c r="H182" s="16"/>
      <c r="I182" s="16"/>
      <c r="J182" s="20"/>
      <c r="K182" s="16"/>
      <c r="L182" s="16"/>
    </row>
    <row r="183" spans="1:12" s="15" customFormat="1" x14ac:dyDescent="0.35">
      <c r="A183" s="84" t="s">
        <v>941</v>
      </c>
      <c r="B183" s="17" t="s">
        <v>12</v>
      </c>
      <c r="C183" s="84" t="s">
        <v>165</v>
      </c>
      <c r="D183" s="85" t="s">
        <v>942</v>
      </c>
      <c r="E183" s="84"/>
      <c r="F183" s="16"/>
      <c r="G183" s="16"/>
      <c r="H183" s="16"/>
      <c r="I183" s="16"/>
      <c r="J183" s="20"/>
      <c r="K183" s="16"/>
      <c r="L183" s="16"/>
    </row>
    <row r="184" spans="1:12" s="15" customFormat="1" x14ac:dyDescent="0.35">
      <c r="A184" s="84" t="s">
        <v>943</v>
      </c>
      <c r="B184" s="17" t="s">
        <v>12</v>
      </c>
      <c r="C184" s="84" t="s">
        <v>165</v>
      </c>
      <c r="D184" s="85" t="s">
        <v>944</v>
      </c>
      <c r="E184" s="84"/>
      <c r="F184" s="16"/>
      <c r="G184" s="16"/>
      <c r="H184" s="16"/>
      <c r="I184" s="16"/>
      <c r="J184" s="20"/>
      <c r="K184" s="16"/>
      <c r="L184" s="16"/>
    </row>
    <row r="185" spans="1:12" s="15" customFormat="1" x14ac:dyDescent="0.35">
      <c r="A185" s="84" t="s">
        <v>945</v>
      </c>
      <c r="B185" s="17" t="s">
        <v>12</v>
      </c>
      <c r="C185" s="84" t="s">
        <v>165</v>
      </c>
      <c r="D185" s="85" t="s">
        <v>946</v>
      </c>
      <c r="E185" s="84"/>
      <c r="F185" s="16"/>
      <c r="G185" s="16"/>
      <c r="H185" s="16"/>
      <c r="I185" s="16"/>
      <c r="J185" s="20"/>
      <c r="K185" s="16"/>
      <c r="L185" s="16"/>
    </row>
    <row r="186" spans="1:12" s="15" customFormat="1" x14ac:dyDescent="0.35">
      <c r="A186" s="84" t="s">
        <v>947</v>
      </c>
      <c r="B186" s="17" t="s">
        <v>12</v>
      </c>
      <c r="C186" s="84" t="s">
        <v>165</v>
      </c>
      <c r="D186" s="85" t="s">
        <v>948</v>
      </c>
      <c r="E186" s="84"/>
      <c r="F186" s="16"/>
      <c r="G186" s="16"/>
      <c r="H186" s="16"/>
      <c r="I186" s="16"/>
      <c r="J186" s="20"/>
      <c r="K186" s="16"/>
      <c r="L186" s="16"/>
    </row>
    <row r="187" spans="1:12" s="15" customFormat="1" x14ac:dyDescent="0.35">
      <c r="A187" s="84" t="s">
        <v>949</v>
      </c>
      <c r="B187" s="17" t="s">
        <v>12</v>
      </c>
      <c r="C187" s="84" t="s">
        <v>165</v>
      </c>
      <c r="D187" s="85" t="s">
        <v>950</v>
      </c>
      <c r="E187" s="84"/>
      <c r="F187" s="16"/>
      <c r="G187" s="16"/>
      <c r="H187" s="16"/>
      <c r="I187" s="16"/>
      <c r="J187" s="20"/>
      <c r="K187" s="16"/>
      <c r="L187" s="16"/>
    </row>
    <row r="188" spans="1:12" s="15" customFormat="1" x14ac:dyDescent="0.35">
      <c r="A188" s="84" t="s">
        <v>951</v>
      </c>
      <c r="B188" s="17" t="s">
        <v>12</v>
      </c>
      <c r="C188" s="84" t="s">
        <v>130</v>
      </c>
      <c r="D188" s="85" t="s">
        <v>952</v>
      </c>
      <c r="E188" s="84"/>
      <c r="F188" s="16"/>
      <c r="G188" s="16"/>
      <c r="H188" s="16"/>
      <c r="I188" s="16"/>
      <c r="J188" s="20"/>
      <c r="K188" s="16"/>
      <c r="L188" s="16"/>
    </row>
    <row r="189" spans="1:12" s="15" customFormat="1" ht="21" x14ac:dyDescent="0.35">
      <c r="A189" s="84" t="s">
        <v>953</v>
      </c>
      <c r="B189" s="17" t="s">
        <v>12</v>
      </c>
      <c r="C189" s="84" t="s">
        <v>130</v>
      </c>
      <c r="D189" s="85" t="s">
        <v>954</v>
      </c>
      <c r="E189" s="84"/>
      <c r="F189" s="16"/>
      <c r="G189" s="16"/>
      <c r="H189" s="16"/>
      <c r="I189" s="16"/>
      <c r="J189" s="20"/>
      <c r="K189" s="16"/>
      <c r="L189" s="16"/>
    </row>
    <row r="190" spans="1:12" s="15" customFormat="1" ht="21" x14ac:dyDescent="0.35">
      <c r="A190" s="84" t="s">
        <v>955</v>
      </c>
      <c r="B190" s="17" t="s">
        <v>12</v>
      </c>
      <c r="C190" s="84" t="s">
        <v>130</v>
      </c>
      <c r="D190" s="85" t="s">
        <v>956</v>
      </c>
      <c r="E190" s="84"/>
      <c r="F190" s="16"/>
      <c r="G190" s="16"/>
      <c r="H190" s="16"/>
      <c r="I190" s="16"/>
      <c r="J190" s="20"/>
      <c r="K190" s="16"/>
      <c r="L190" s="16"/>
    </row>
    <row r="191" spans="1:12" s="15" customFormat="1" ht="21" x14ac:dyDescent="0.35">
      <c r="A191" s="84" t="s">
        <v>957</v>
      </c>
      <c r="B191" s="17" t="s">
        <v>12</v>
      </c>
      <c r="C191" s="84" t="s">
        <v>130</v>
      </c>
      <c r="D191" s="85" t="s">
        <v>958</v>
      </c>
      <c r="E191" s="84"/>
      <c r="F191" s="16"/>
      <c r="G191" s="16"/>
      <c r="H191" s="16"/>
      <c r="I191" s="16"/>
      <c r="J191" s="20"/>
      <c r="K191" s="16"/>
      <c r="L191" s="16"/>
    </row>
    <row r="192" spans="1:12" s="15" customFormat="1" ht="21" x14ac:dyDescent="0.35">
      <c r="A192" s="84" t="s">
        <v>959</v>
      </c>
      <c r="B192" s="17" t="s">
        <v>12</v>
      </c>
      <c r="C192" s="84" t="s">
        <v>130</v>
      </c>
      <c r="D192" s="85" t="s">
        <v>960</v>
      </c>
      <c r="E192" s="84"/>
      <c r="F192" s="16"/>
      <c r="G192" s="16"/>
      <c r="H192" s="16"/>
      <c r="I192" s="16"/>
      <c r="J192" s="20"/>
      <c r="K192" s="16"/>
      <c r="L192" s="16"/>
    </row>
    <row r="193" spans="1:12" s="15" customFormat="1" ht="21" x14ac:dyDescent="0.35">
      <c r="A193" s="84" t="s">
        <v>961</v>
      </c>
      <c r="B193" s="17" t="s">
        <v>12</v>
      </c>
      <c r="C193" s="84" t="s">
        <v>130</v>
      </c>
      <c r="D193" s="85" t="s">
        <v>962</v>
      </c>
      <c r="E193" s="84"/>
      <c r="F193" s="16"/>
      <c r="G193" s="16"/>
      <c r="H193" s="16"/>
      <c r="I193" s="16"/>
      <c r="J193" s="20"/>
      <c r="K193" s="16"/>
      <c r="L193" s="16"/>
    </row>
    <row r="194" spans="1:12" s="15" customFormat="1" ht="21" x14ac:dyDescent="0.35">
      <c r="A194" s="84" t="s">
        <v>963</v>
      </c>
      <c r="B194" s="17" t="s">
        <v>12</v>
      </c>
      <c r="C194" s="84" t="s">
        <v>130</v>
      </c>
      <c r="D194" s="85" t="s">
        <v>964</v>
      </c>
      <c r="E194" s="84"/>
      <c r="F194" s="16"/>
      <c r="G194" s="16"/>
      <c r="H194" s="16"/>
      <c r="I194" s="16"/>
      <c r="J194" s="20"/>
      <c r="K194" s="16"/>
      <c r="L194" s="16"/>
    </row>
    <row r="195" spans="1:12" s="15" customFormat="1" ht="21" x14ac:dyDescent="0.35">
      <c r="A195" s="84" t="s">
        <v>965</v>
      </c>
      <c r="B195" s="17" t="s">
        <v>12</v>
      </c>
      <c r="C195" s="84" t="s">
        <v>130</v>
      </c>
      <c r="D195" s="85" t="s">
        <v>966</v>
      </c>
      <c r="E195" s="84"/>
      <c r="F195" s="16"/>
      <c r="G195" s="16"/>
      <c r="H195" s="16"/>
      <c r="I195" s="16"/>
      <c r="J195" s="20"/>
      <c r="K195" s="16"/>
      <c r="L195" s="16"/>
    </row>
    <row r="196" spans="1:12" s="15" customFormat="1" ht="21" x14ac:dyDescent="0.35">
      <c r="A196" s="84" t="s">
        <v>967</v>
      </c>
      <c r="B196" s="17" t="s">
        <v>12</v>
      </c>
      <c r="C196" s="84" t="s">
        <v>130</v>
      </c>
      <c r="D196" s="85" t="s">
        <v>968</v>
      </c>
      <c r="E196" s="84"/>
      <c r="F196" s="16"/>
      <c r="G196" s="16"/>
      <c r="H196" s="16"/>
      <c r="I196" s="16"/>
      <c r="J196" s="20"/>
      <c r="K196" s="16"/>
      <c r="L196" s="16"/>
    </row>
    <row r="197" spans="1:12" s="15" customFormat="1" x14ac:dyDescent="0.35">
      <c r="A197" s="84" t="s">
        <v>969</v>
      </c>
      <c r="B197" s="17" t="s">
        <v>12</v>
      </c>
      <c r="C197" s="84" t="s">
        <v>130</v>
      </c>
      <c r="D197" s="85" t="s">
        <v>970</v>
      </c>
      <c r="E197" s="84"/>
      <c r="F197" s="16"/>
      <c r="G197" s="16"/>
      <c r="H197" s="16"/>
      <c r="I197" s="16"/>
      <c r="J197" s="20"/>
      <c r="K197" s="16"/>
      <c r="L197" s="16"/>
    </row>
    <row r="198" spans="1:12" s="15" customFormat="1" x14ac:dyDescent="0.35">
      <c r="A198" s="84" t="s">
        <v>971</v>
      </c>
      <c r="B198" s="17" t="s">
        <v>12</v>
      </c>
      <c r="C198" s="84" t="s">
        <v>130</v>
      </c>
      <c r="D198" s="85" t="s">
        <v>972</v>
      </c>
      <c r="E198" s="84"/>
      <c r="F198" s="16"/>
      <c r="G198" s="16"/>
      <c r="H198" s="16"/>
      <c r="I198" s="16"/>
      <c r="J198" s="20"/>
      <c r="K198" s="16"/>
      <c r="L198" s="16"/>
    </row>
    <row r="199" spans="1:12" s="15" customFormat="1" x14ac:dyDescent="0.35">
      <c r="A199" s="84" t="s">
        <v>973</v>
      </c>
      <c r="B199" s="17" t="s">
        <v>86</v>
      </c>
      <c r="C199" s="84" t="s">
        <v>130</v>
      </c>
      <c r="D199" s="85" t="s">
        <v>974</v>
      </c>
      <c r="E199" s="84"/>
      <c r="F199" s="16"/>
      <c r="G199" s="16"/>
      <c r="H199" s="16"/>
      <c r="I199" s="16"/>
      <c r="J199" s="20"/>
      <c r="K199" s="16"/>
      <c r="L199" s="16"/>
    </row>
    <row r="200" spans="1:12" s="15" customFormat="1" x14ac:dyDescent="0.35">
      <c r="A200" s="84" t="s">
        <v>975</v>
      </c>
      <c r="B200" s="17" t="s">
        <v>86</v>
      </c>
      <c r="C200" s="84" t="s">
        <v>130</v>
      </c>
      <c r="D200" s="85" t="s">
        <v>976</v>
      </c>
      <c r="E200" s="84"/>
      <c r="F200" s="16"/>
      <c r="G200" s="16"/>
      <c r="H200" s="16"/>
      <c r="I200" s="16"/>
      <c r="J200" s="20"/>
      <c r="K200" s="16"/>
      <c r="L200" s="16"/>
    </row>
    <row r="201" spans="1:12" s="15" customFormat="1" x14ac:dyDescent="0.35">
      <c r="A201" s="84" t="s">
        <v>977</v>
      </c>
      <c r="B201" s="17" t="s">
        <v>86</v>
      </c>
      <c r="C201" s="84" t="s">
        <v>165</v>
      </c>
      <c r="D201" s="85" t="s">
        <v>978</v>
      </c>
      <c r="E201" s="84"/>
      <c r="F201" s="16"/>
      <c r="G201" s="16"/>
      <c r="H201" s="16"/>
      <c r="I201" s="16"/>
      <c r="J201" s="20"/>
      <c r="K201" s="16"/>
      <c r="L201" s="16"/>
    </row>
    <row r="202" spans="1:12" s="15" customFormat="1" x14ac:dyDescent="0.35">
      <c r="A202" s="84" t="s">
        <v>979</v>
      </c>
      <c r="B202" s="17" t="s">
        <v>12</v>
      </c>
      <c r="C202" s="84" t="s">
        <v>130</v>
      </c>
      <c r="D202" s="85" t="s">
        <v>980</v>
      </c>
      <c r="E202" s="84"/>
      <c r="F202" s="16"/>
      <c r="G202" s="16"/>
      <c r="H202" s="16"/>
      <c r="I202" s="16"/>
      <c r="J202" s="20"/>
      <c r="K202" s="16"/>
      <c r="L202" s="16"/>
    </row>
    <row r="203" spans="1:12" s="15" customFormat="1" x14ac:dyDescent="0.35">
      <c r="A203" s="84" t="s">
        <v>981</v>
      </c>
      <c r="B203" s="17" t="s">
        <v>12</v>
      </c>
      <c r="C203" s="84" t="s">
        <v>165</v>
      </c>
      <c r="D203" s="85" t="s">
        <v>416</v>
      </c>
      <c r="E203" s="84"/>
      <c r="F203" s="16"/>
      <c r="G203" s="16"/>
      <c r="H203" s="16"/>
      <c r="I203" s="16"/>
      <c r="J203" s="20"/>
      <c r="K203" s="16"/>
      <c r="L203" s="16"/>
    </row>
    <row r="204" spans="1:12" s="15" customFormat="1" x14ac:dyDescent="0.35">
      <c r="A204" s="84" t="s">
        <v>982</v>
      </c>
      <c r="B204" s="17" t="s">
        <v>12</v>
      </c>
      <c r="C204" s="84" t="s">
        <v>165</v>
      </c>
      <c r="D204" s="85" t="s">
        <v>417</v>
      </c>
      <c r="E204" s="84"/>
      <c r="F204" s="16"/>
      <c r="G204" s="16"/>
      <c r="H204" s="16"/>
      <c r="I204" s="16"/>
      <c r="J204" s="20"/>
      <c r="K204" s="16"/>
      <c r="L204" s="16"/>
    </row>
    <row r="205" spans="1:12" s="15" customFormat="1" x14ac:dyDescent="0.35">
      <c r="A205" s="84" t="s">
        <v>983</v>
      </c>
      <c r="B205" s="17" t="s">
        <v>86</v>
      </c>
      <c r="C205" s="84" t="s">
        <v>130</v>
      </c>
      <c r="D205" s="85" t="s">
        <v>418</v>
      </c>
      <c r="E205" s="84"/>
      <c r="F205" s="16"/>
      <c r="G205" s="16"/>
      <c r="H205" s="16"/>
      <c r="I205" s="16"/>
      <c r="J205" s="20"/>
      <c r="K205" s="16"/>
      <c r="L205" s="16"/>
    </row>
    <row r="206" spans="1:12" s="15" customFormat="1" x14ac:dyDescent="0.35">
      <c r="A206" s="84" t="s">
        <v>740</v>
      </c>
      <c r="B206" s="17" t="s">
        <v>12</v>
      </c>
      <c r="C206" s="84" t="s">
        <v>130</v>
      </c>
      <c r="D206" s="85" t="s">
        <v>270</v>
      </c>
      <c r="E206" s="84"/>
      <c r="F206" s="16"/>
      <c r="G206" s="16"/>
      <c r="H206" s="16"/>
      <c r="I206" s="16"/>
      <c r="J206" s="20"/>
      <c r="K206" s="16"/>
      <c r="L206" s="16"/>
    </row>
    <row r="207" spans="1:12" s="15" customFormat="1" x14ac:dyDescent="0.35">
      <c r="A207" s="84" t="s">
        <v>741</v>
      </c>
      <c r="B207" s="17" t="s">
        <v>12</v>
      </c>
      <c r="C207" s="84" t="s">
        <v>130</v>
      </c>
      <c r="D207" s="85" t="s">
        <v>271</v>
      </c>
      <c r="E207" s="84"/>
      <c r="F207" s="16"/>
      <c r="G207" s="16"/>
      <c r="H207" s="16"/>
      <c r="I207" s="16"/>
      <c r="J207" s="20"/>
      <c r="K207" s="16"/>
      <c r="L207" s="16"/>
    </row>
    <row r="208" spans="1:12" s="15" customFormat="1" x14ac:dyDescent="0.35">
      <c r="A208" s="84" t="s">
        <v>742</v>
      </c>
      <c r="B208" s="17" t="s">
        <v>12</v>
      </c>
      <c r="C208" s="84" t="s">
        <v>130</v>
      </c>
      <c r="D208" s="85" t="s">
        <v>984</v>
      </c>
      <c r="E208" s="84"/>
      <c r="F208" s="16"/>
      <c r="G208" s="16"/>
      <c r="H208" s="16"/>
      <c r="I208" s="16"/>
      <c r="J208" s="20"/>
      <c r="K208" s="16"/>
      <c r="L208" s="16"/>
    </row>
    <row r="209" spans="1:12" s="15" customFormat="1" x14ac:dyDescent="0.35">
      <c r="A209" s="84" t="s">
        <v>985</v>
      </c>
      <c r="B209" s="17" t="s">
        <v>12</v>
      </c>
      <c r="C209" s="84" t="s">
        <v>130</v>
      </c>
      <c r="D209" s="85" t="s">
        <v>986</v>
      </c>
      <c r="E209" s="84"/>
      <c r="F209" s="16"/>
      <c r="G209" s="16"/>
      <c r="H209" s="16"/>
      <c r="I209" s="16"/>
      <c r="J209" s="20"/>
      <c r="K209" s="16"/>
      <c r="L209" s="16"/>
    </row>
    <row r="210" spans="1:12" s="15" customFormat="1" x14ac:dyDescent="0.35">
      <c r="A210" s="84" t="s">
        <v>987</v>
      </c>
      <c r="B210" s="17" t="s">
        <v>86</v>
      </c>
      <c r="C210" s="84" t="s">
        <v>130</v>
      </c>
      <c r="D210" s="85" t="s">
        <v>988</v>
      </c>
      <c r="E210" s="84"/>
      <c r="F210" s="16"/>
      <c r="G210" s="16"/>
      <c r="H210" s="16"/>
      <c r="I210" s="16"/>
      <c r="J210" s="20"/>
      <c r="K210" s="16"/>
      <c r="L210" s="16"/>
    </row>
    <row r="211" spans="1:12" s="15" customFormat="1" x14ac:dyDescent="0.35">
      <c r="A211" s="84"/>
      <c r="B211" s="17"/>
      <c r="C211" s="84"/>
      <c r="D211" s="85"/>
      <c r="E211" s="84"/>
      <c r="F211" s="16"/>
      <c r="G211" s="16"/>
      <c r="H211" s="16"/>
      <c r="I211" s="16"/>
      <c r="J211" s="20"/>
      <c r="K211" s="16"/>
      <c r="L211" s="16"/>
    </row>
    <row r="212" spans="1:12" s="15" customFormat="1" x14ac:dyDescent="0.35">
      <c r="A212" s="84"/>
      <c r="B212" s="17"/>
      <c r="C212" s="84"/>
      <c r="D212" s="85"/>
      <c r="E212" s="84"/>
      <c r="F212" s="16"/>
      <c r="G212" s="16"/>
      <c r="H212" s="16"/>
      <c r="I212" s="16"/>
      <c r="J212" s="20"/>
      <c r="K212" s="16"/>
      <c r="L212" s="16"/>
    </row>
    <row r="213" spans="1:12" s="15" customFormat="1" x14ac:dyDescent="0.35">
      <c r="A213" s="84"/>
      <c r="B213" s="17"/>
      <c r="C213" s="84"/>
      <c r="D213" s="85"/>
      <c r="E213" s="84"/>
      <c r="F213" s="16"/>
      <c r="G213" s="16"/>
      <c r="H213" s="16"/>
      <c r="I213" s="16"/>
      <c r="J213" s="20"/>
      <c r="K213" s="16"/>
      <c r="L213" s="16"/>
    </row>
    <row r="214" spans="1:12" s="15" customFormat="1" x14ac:dyDescent="0.35">
      <c r="A214" s="84"/>
      <c r="B214" s="17"/>
      <c r="C214" s="84"/>
      <c r="D214" s="85"/>
      <c r="E214" s="84"/>
      <c r="F214" s="16"/>
      <c r="G214" s="16"/>
      <c r="H214" s="16"/>
      <c r="I214" s="16"/>
      <c r="J214" s="20"/>
      <c r="K214" s="16"/>
      <c r="L214" s="16"/>
    </row>
    <row r="215" spans="1:12" s="15" customFormat="1" x14ac:dyDescent="0.35">
      <c r="A215" s="84"/>
      <c r="B215" s="17"/>
      <c r="C215" s="84"/>
      <c r="D215" s="85"/>
      <c r="E215" s="84"/>
      <c r="F215" s="16"/>
      <c r="G215" s="16"/>
      <c r="H215" s="16"/>
      <c r="I215" s="16"/>
      <c r="J215" s="20"/>
      <c r="K215" s="16"/>
      <c r="L215" s="16"/>
    </row>
    <row r="216" spans="1:12" x14ac:dyDescent="0.35">
      <c r="A216" s="14" t="s">
        <v>57</v>
      </c>
      <c r="B216" s="14" t="s">
        <v>33</v>
      </c>
      <c r="C216" s="14" t="s">
        <v>32</v>
      </c>
      <c r="D216" s="14"/>
      <c r="E216" s="14"/>
      <c r="F216" s="14"/>
      <c r="G216" s="14"/>
      <c r="H216" s="14"/>
      <c r="I216" s="14"/>
      <c r="J216" s="14"/>
      <c r="K216" s="14"/>
      <c r="L216" s="14"/>
    </row>
    <row r="217" spans="1:12" s="15" customFormat="1" x14ac:dyDescent="0.35">
      <c r="A217" s="17"/>
      <c r="B217" s="17"/>
      <c r="C217" s="17"/>
      <c r="D217" s="16"/>
      <c r="E217" s="16"/>
      <c r="F217" s="16"/>
      <c r="G217" s="16"/>
      <c r="H217" s="16"/>
      <c r="I217" s="16"/>
      <c r="J217" s="20"/>
      <c r="K217" s="16"/>
      <c r="L217" s="16"/>
    </row>
    <row r="218" spans="1:12" s="15" customFormat="1" x14ac:dyDescent="0.35">
      <c r="A218" s="17"/>
      <c r="B218" s="17"/>
      <c r="C218" s="17"/>
      <c r="D218" s="16"/>
      <c r="E218" s="16"/>
      <c r="F218" s="16"/>
      <c r="G218" s="16"/>
      <c r="H218" s="16"/>
      <c r="I218" s="16"/>
      <c r="J218" s="20"/>
      <c r="K218" s="16"/>
      <c r="L218" s="16"/>
    </row>
    <row r="219" spans="1:12" s="15" customFormat="1" x14ac:dyDescent="0.35">
      <c r="A219" s="17"/>
      <c r="B219" s="17"/>
      <c r="C219" s="17"/>
      <c r="D219" s="16"/>
      <c r="E219" s="16"/>
      <c r="F219" s="16"/>
      <c r="G219" s="16"/>
      <c r="H219" s="16"/>
      <c r="I219" s="16"/>
      <c r="J219" s="20"/>
      <c r="K219" s="16"/>
      <c r="L219" s="16"/>
    </row>
    <row r="220" spans="1:12" s="15" customFormat="1" x14ac:dyDescent="0.35">
      <c r="A220" s="17"/>
      <c r="B220" s="17"/>
      <c r="C220" s="17"/>
      <c r="D220" s="16"/>
      <c r="E220" s="16"/>
      <c r="F220" s="16"/>
      <c r="G220" s="16"/>
      <c r="H220" s="16"/>
      <c r="I220" s="16"/>
      <c r="J220" s="20"/>
      <c r="K220" s="16"/>
      <c r="L220" s="16"/>
    </row>
    <row r="221" spans="1:12" s="15" customFormat="1" x14ac:dyDescent="0.35">
      <c r="A221" s="17"/>
      <c r="B221" s="17"/>
      <c r="C221" s="17"/>
      <c r="D221" s="16"/>
      <c r="E221" s="16"/>
      <c r="F221" s="16"/>
      <c r="G221" s="16"/>
      <c r="H221" s="16"/>
      <c r="I221" s="16"/>
      <c r="J221" s="20"/>
      <c r="K221" s="16"/>
      <c r="L221" s="16"/>
    </row>
    <row r="222" spans="1:12" x14ac:dyDescent="0.35">
      <c r="A222" s="14" t="s">
        <v>56</v>
      </c>
      <c r="B222" s="14" t="s">
        <v>33</v>
      </c>
      <c r="C222" s="14" t="s">
        <v>32</v>
      </c>
      <c r="D222" s="14" t="s">
        <v>47</v>
      </c>
      <c r="E222" s="14" t="s">
        <v>55</v>
      </c>
      <c r="F222" s="14" t="s">
        <v>54</v>
      </c>
      <c r="G222" s="14" t="s">
        <v>53</v>
      </c>
      <c r="H222" s="14"/>
      <c r="I222" s="14"/>
      <c r="J222" s="14"/>
      <c r="K222" s="14"/>
      <c r="L222" s="14"/>
    </row>
    <row r="223" spans="1:12" s="15" customFormat="1" x14ac:dyDescent="0.35">
      <c r="A223" s="17"/>
      <c r="B223" s="17"/>
      <c r="C223" s="17"/>
      <c r="D223" s="85"/>
      <c r="E223" s="85"/>
      <c r="F223" s="85"/>
      <c r="G223" s="85"/>
      <c r="H223" s="20"/>
      <c r="I223" s="11"/>
      <c r="J223" s="11"/>
      <c r="K223" s="11"/>
      <c r="L223" s="11"/>
    </row>
    <row r="224" spans="1:12" s="15" customFormat="1" x14ac:dyDescent="0.35">
      <c r="A224" s="17"/>
      <c r="B224" s="17"/>
      <c r="C224" s="17"/>
      <c r="D224" s="85"/>
      <c r="E224" s="85"/>
      <c r="F224" s="85"/>
      <c r="G224" s="85"/>
      <c r="H224" s="20"/>
      <c r="I224" s="11"/>
      <c r="J224" s="11"/>
      <c r="K224" s="11"/>
      <c r="L224" s="11"/>
    </row>
    <row r="225" spans="1:12" s="15" customFormat="1" x14ac:dyDescent="0.35">
      <c r="A225" s="17"/>
      <c r="B225" s="17"/>
      <c r="C225" s="17"/>
      <c r="D225" s="85"/>
      <c r="E225" s="85"/>
      <c r="F225" s="85"/>
      <c r="G225" s="85"/>
      <c r="H225" s="20"/>
      <c r="I225" s="11"/>
      <c r="J225" s="11"/>
      <c r="K225" s="11"/>
      <c r="L225" s="11"/>
    </row>
    <row r="226" spans="1:12" s="15" customFormat="1" x14ac:dyDescent="0.35">
      <c r="A226" s="17"/>
      <c r="B226" s="17"/>
      <c r="C226" s="17"/>
      <c r="D226" s="85"/>
      <c r="E226" s="85"/>
      <c r="F226" s="85"/>
      <c r="G226" s="85"/>
      <c r="H226" s="20"/>
      <c r="I226" s="11"/>
      <c r="J226" s="11"/>
      <c r="K226" s="11"/>
      <c r="L226" s="11"/>
    </row>
    <row r="227" spans="1:12" s="15" customFormat="1" x14ac:dyDescent="0.35">
      <c r="A227" s="17"/>
      <c r="B227" s="17"/>
      <c r="C227" s="17"/>
      <c r="D227" s="85"/>
      <c r="E227" s="85"/>
      <c r="F227" s="85"/>
      <c r="G227" s="85"/>
      <c r="H227" s="20"/>
      <c r="I227" s="11"/>
      <c r="J227" s="11"/>
      <c r="K227" s="11"/>
      <c r="L227" s="11"/>
    </row>
    <row r="228" spans="1:12" x14ac:dyDescent="0.35">
      <c r="A228" s="14" t="s">
        <v>52</v>
      </c>
      <c r="B228" s="14" t="s">
        <v>33</v>
      </c>
      <c r="C228" s="14"/>
      <c r="D228" s="14" t="s">
        <v>31</v>
      </c>
      <c r="E228" s="14"/>
      <c r="F228" s="14"/>
      <c r="G228" s="14"/>
      <c r="H228" s="14"/>
      <c r="I228" s="14"/>
      <c r="J228" s="14"/>
      <c r="K228" s="14"/>
      <c r="L228" s="14"/>
    </row>
    <row r="229" spans="1:12" s="15" customFormat="1" x14ac:dyDescent="0.35">
      <c r="A229" s="84" t="s">
        <v>271</v>
      </c>
      <c r="B229" s="17" t="s">
        <v>12</v>
      </c>
      <c r="C229" s="16"/>
      <c r="D229" s="85" t="s">
        <v>989</v>
      </c>
      <c r="E229" s="11"/>
      <c r="F229" s="11"/>
      <c r="G229" s="11"/>
      <c r="H229" s="11"/>
      <c r="I229" s="11"/>
      <c r="J229" s="11"/>
      <c r="K229" s="11"/>
      <c r="L229" s="11"/>
    </row>
    <row r="230" spans="1:12" s="15" customFormat="1" x14ac:dyDescent="0.35">
      <c r="A230" s="84" t="s">
        <v>269</v>
      </c>
      <c r="B230" s="17" t="s">
        <v>12</v>
      </c>
      <c r="C230" s="16"/>
      <c r="D230" s="85" t="s">
        <v>990</v>
      </c>
      <c r="E230" s="11"/>
      <c r="F230" s="11"/>
      <c r="G230" s="11"/>
      <c r="H230" s="11"/>
      <c r="I230" s="11"/>
      <c r="J230" s="11"/>
      <c r="K230" s="11"/>
      <c r="L230" s="11"/>
    </row>
    <row r="231" spans="1:12" s="15" customFormat="1" x14ac:dyDescent="0.35">
      <c r="A231" s="84" t="s">
        <v>852</v>
      </c>
      <c r="B231" s="17" t="s">
        <v>12</v>
      </c>
      <c r="C231" s="16"/>
      <c r="D231" s="85" t="s">
        <v>991</v>
      </c>
      <c r="E231" s="11"/>
      <c r="F231" s="11"/>
      <c r="G231" s="11"/>
      <c r="H231" s="11"/>
      <c r="I231" s="11"/>
      <c r="J231" s="11"/>
      <c r="K231" s="11"/>
      <c r="L231" s="11"/>
    </row>
    <row r="232" spans="1:12" x14ac:dyDescent="0.35">
      <c r="A232" s="84" t="s">
        <v>838</v>
      </c>
      <c r="B232" s="17" t="s">
        <v>12</v>
      </c>
      <c r="C232" s="16"/>
      <c r="D232" s="85" t="s">
        <v>992</v>
      </c>
      <c r="E232" s="11"/>
      <c r="F232" s="11"/>
      <c r="G232" s="11"/>
      <c r="H232" s="11"/>
      <c r="I232" s="11"/>
      <c r="J232" s="11"/>
      <c r="K232" s="11"/>
      <c r="L232" s="11"/>
    </row>
    <row r="233" spans="1:12" s="15" customFormat="1" ht="21" x14ac:dyDescent="0.35">
      <c r="A233" s="84" t="s">
        <v>993</v>
      </c>
      <c r="B233" s="17" t="s">
        <v>12</v>
      </c>
      <c r="C233" s="16"/>
      <c r="D233" s="85" t="s">
        <v>1206</v>
      </c>
      <c r="E233" s="11"/>
      <c r="F233" s="11"/>
      <c r="G233" s="11"/>
      <c r="H233" s="11"/>
      <c r="I233" s="11"/>
      <c r="J233" s="11"/>
      <c r="K233" s="11"/>
      <c r="L233" s="11"/>
    </row>
    <row r="234" spans="1:12" s="15" customFormat="1" x14ac:dyDescent="0.35">
      <c r="A234" s="84" t="s">
        <v>994</v>
      </c>
      <c r="B234" s="17" t="s">
        <v>12</v>
      </c>
      <c r="C234" s="16"/>
      <c r="D234" s="85" t="s">
        <v>1207</v>
      </c>
      <c r="E234" s="11"/>
      <c r="F234" s="11"/>
      <c r="G234" s="11"/>
      <c r="H234" s="11"/>
      <c r="I234" s="11"/>
      <c r="J234" s="11"/>
      <c r="K234" s="11"/>
      <c r="L234" s="11"/>
    </row>
    <row r="235" spans="1:12" s="15" customFormat="1" ht="24" customHeight="1" x14ac:dyDescent="0.35">
      <c r="A235" s="84" t="s">
        <v>995</v>
      </c>
      <c r="B235" s="17" t="s">
        <v>86</v>
      </c>
      <c r="C235" s="16"/>
      <c r="D235" s="85" t="s">
        <v>996</v>
      </c>
      <c r="E235" s="11"/>
      <c r="F235" s="11"/>
      <c r="G235" s="11"/>
      <c r="H235" s="11"/>
      <c r="I235" s="11"/>
      <c r="J235" s="11"/>
      <c r="K235" s="11"/>
      <c r="L235" s="11"/>
    </row>
    <row r="236" spans="1:12" s="15" customFormat="1" x14ac:dyDescent="0.35">
      <c r="A236" s="84" t="s">
        <v>997</v>
      </c>
      <c r="B236" s="17" t="s">
        <v>12</v>
      </c>
      <c r="C236" s="16"/>
      <c r="D236" s="85" t="s">
        <v>998</v>
      </c>
      <c r="E236" s="11"/>
      <c r="F236" s="11"/>
      <c r="G236" s="11"/>
      <c r="H236" s="11"/>
      <c r="I236" s="11"/>
      <c r="J236" s="11"/>
      <c r="K236" s="11"/>
      <c r="L236" s="11"/>
    </row>
    <row r="237" spans="1:12" s="15" customFormat="1" x14ac:dyDescent="0.35">
      <c r="A237" s="84" t="s">
        <v>999</v>
      </c>
      <c r="B237" s="17" t="s">
        <v>86</v>
      </c>
      <c r="C237" s="16"/>
      <c r="D237" s="85" t="s">
        <v>1000</v>
      </c>
      <c r="E237" s="11"/>
      <c r="F237" s="11"/>
      <c r="G237" s="11"/>
      <c r="H237" s="11"/>
      <c r="I237" s="11"/>
      <c r="J237" s="11"/>
      <c r="K237" s="11"/>
      <c r="L237" s="11"/>
    </row>
    <row r="238" spans="1:12" s="15" customFormat="1" ht="21" x14ac:dyDescent="0.35">
      <c r="A238" s="84" t="s">
        <v>1001</v>
      </c>
      <c r="B238" s="17" t="s">
        <v>12</v>
      </c>
      <c r="C238" s="16"/>
      <c r="D238" s="85" t="s">
        <v>1002</v>
      </c>
      <c r="E238" s="11"/>
      <c r="F238" s="11"/>
      <c r="G238" s="11"/>
      <c r="H238" s="11"/>
      <c r="I238" s="11"/>
      <c r="J238" s="11"/>
      <c r="K238" s="11"/>
      <c r="L238" s="11"/>
    </row>
    <row r="239" spans="1:12" s="15" customFormat="1" x14ac:dyDescent="0.35">
      <c r="A239" s="84" t="s">
        <v>1003</v>
      </c>
      <c r="B239" s="17" t="s">
        <v>12</v>
      </c>
      <c r="C239" s="16"/>
      <c r="D239" s="85" t="s">
        <v>1004</v>
      </c>
      <c r="E239" s="11"/>
      <c r="F239" s="11"/>
      <c r="G239" s="11"/>
      <c r="H239" s="11"/>
      <c r="I239" s="11"/>
      <c r="J239" s="11"/>
      <c r="K239" s="11"/>
      <c r="L239" s="11"/>
    </row>
    <row r="240" spans="1:12" s="15" customFormat="1" x14ac:dyDescent="0.35">
      <c r="A240" s="84" t="s">
        <v>1005</v>
      </c>
      <c r="B240" s="17" t="s">
        <v>12</v>
      </c>
      <c r="C240" s="16"/>
      <c r="D240" s="85" t="s">
        <v>1006</v>
      </c>
      <c r="E240" s="11"/>
      <c r="F240" s="11"/>
      <c r="G240" s="11"/>
      <c r="H240" s="11"/>
      <c r="I240" s="11"/>
      <c r="J240" s="11"/>
      <c r="K240" s="11"/>
      <c r="L240" s="11"/>
    </row>
    <row r="241" spans="1:12" s="15" customFormat="1" x14ac:dyDescent="0.35">
      <c r="A241" s="84" t="s">
        <v>1007</v>
      </c>
      <c r="B241" s="17" t="s">
        <v>12</v>
      </c>
      <c r="C241" s="16"/>
      <c r="D241" s="85" t="s">
        <v>1008</v>
      </c>
      <c r="E241" s="11"/>
      <c r="F241" s="11"/>
      <c r="G241" s="11"/>
      <c r="H241" s="11"/>
      <c r="I241" s="11"/>
      <c r="J241" s="11"/>
      <c r="K241" s="11"/>
      <c r="L241" s="11"/>
    </row>
    <row r="242" spans="1:12" s="15" customFormat="1" x14ac:dyDescent="0.35">
      <c r="A242" s="84" t="s">
        <v>1009</v>
      </c>
      <c r="B242" s="17" t="s">
        <v>12</v>
      </c>
      <c r="C242" s="16"/>
      <c r="D242" s="85" t="s">
        <v>1010</v>
      </c>
      <c r="E242" s="11"/>
      <c r="F242" s="11"/>
      <c r="G242" s="11"/>
      <c r="H242" s="11"/>
      <c r="I242" s="11"/>
      <c r="J242" s="11"/>
      <c r="K242" s="11"/>
      <c r="L242" s="11"/>
    </row>
    <row r="243" spans="1:12" s="15" customFormat="1" x14ac:dyDescent="0.35">
      <c r="A243" s="84" t="s">
        <v>1011</v>
      </c>
      <c r="B243" s="17" t="s">
        <v>12</v>
      </c>
      <c r="C243" s="16"/>
      <c r="D243" s="85" t="s">
        <v>1012</v>
      </c>
      <c r="E243" s="11"/>
      <c r="F243" s="11"/>
      <c r="G243" s="11"/>
      <c r="H243" s="11"/>
      <c r="I243" s="11"/>
      <c r="J243" s="11"/>
      <c r="K243" s="11"/>
      <c r="L243" s="11"/>
    </row>
    <row r="244" spans="1:12" s="15" customFormat="1" x14ac:dyDescent="0.35">
      <c r="A244" s="84" t="s">
        <v>1013</v>
      </c>
      <c r="B244" s="17" t="s">
        <v>12</v>
      </c>
      <c r="C244" s="16"/>
      <c r="D244" s="85" t="s">
        <v>1014</v>
      </c>
      <c r="E244" s="11"/>
      <c r="F244" s="11"/>
      <c r="G244" s="11"/>
      <c r="H244" s="11"/>
      <c r="I244" s="11"/>
      <c r="J244" s="11"/>
      <c r="K244" s="11"/>
      <c r="L244" s="11"/>
    </row>
    <row r="245" spans="1:12" s="15" customFormat="1" x14ac:dyDescent="0.35">
      <c r="A245" s="84" t="s">
        <v>1015</v>
      </c>
      <c r="B245" s="17" t="s">
        <v>12</v>
      </c>
      <c r="C245" s="16"/>
      <c r="D245" s="85" t="s">
        <v>1016</v>
      </c>
      <c r="E245" s="11"/>
      <c r="F245" s="11"/>
      <c r="G245" s="11"/>
      <c r="H245" s="11"/>
      <c r="I245" s="11"/>
      <c r="J245" s="11"/>
      <c r="K245" s="11"/>
      <c r="L245" s="11"/>
    </row>
    <row r="246" spans="1:12" s="15" customFormat="1" x14ac:dyDescent="0.35">
      <c r="A246" s="84" t="s">
        <v>1017</v>
      </c>
      <c r="B246" s="84" t="s">
        <v>12</v>
      </c>
      <c r="C246" s="16"/>
      <c r="D246" s="85" t="s">
        <v>1018</v>
      </c>
      <c r="E246" s="11"/>
      <c r="F246" s="11"/>
      <c r="G246" s="11"/>
      <c r="H246" s="11"/>
      <c r="I246" s="11"/>
      <c r="J246" s="11"/>
      <c r="K246" s="11"/>
      <c r="L246" s="11"/>
    </row>
    <row r="247" spans="1:12" s="15" customFormat="1" ht="21" x14ac:dyDescent="0.35">
      <c r="A247" s="84" t="s">
        <v>978</v>
      </c>
      <c r="B247" s="17" t="s">
        <v>86</v>
      </c>
      <c r="C247" s="16"/>
      <c r="D247" s="85" t="s">
        <v>1019</v>
      </c>
      <c r="E247" s="11"/>
      <c r="F247" s="11"/>
      <c r="G247" s="11"/>
      <c r="H247" s="11"/>
      <c r="I247" s="11"/>
      <c r="J247" s="11"/>
      <c r="K247" s="11"/>
      <c r="L247" s="11"/>
    </row>
    <row r="248" spans="1:12" s="15" customFormat="1" x14ac:dyDescent="0.35">
      <c r="A248" s="84" t="s">
        <v>976</v>
      </c>
      <c r="B248" s="17" t="s">
        <v>86</v>
      </c>
      <c r="C248" s="16"/>
      <c r="D248" s="85" t="s">
        <v>1020</v>
      </c>
      <c r="E248" s="11"/>
      <c r="F248" s="11"/>
      <c r="G248" s="11"/>
      <c r="H248" s="11"/>
      <c r="I248" s="11"/>
      <c r="J248" s="11"/>
      <c r="K248" s="11"/>
      <c r="L248" s="11"/>
    </row>
    <row r="249" spans="1:12" s="15" customFormat="1" x14ac:dyDescent="0.35">
      <c r="A249" s="90" t="s">
        <v>1021</v>
      </c>
      <c r="B249" s="17" t="s">
        <v>86</v>
      </c>
      <c r="C249" s="16"/>
      <c r="D249" s="85" t="s">
        <v>1022</v>
      </c>
      <c r="E249" s="11"/>
      <c r="F249" s="11"/>
      <c r="G249" s="11"/>
      <c r="H249" s="11"/>
      <c r="I249" s="11"/>
      <c r="J249" s="11"/>
      <c r="K249" s="11"/>
      <c r="L249" s="11"/>
    </row>
    <row r="250" spans="1:12" s="15" customFormat="1" x14ac:dyDescent="0.35">
      <c r="A250" s="84" t="s">
        <v>1023</v>
      </c>
      <c r="B250" s="17" t="s">
        <v>12</v>
      </c>
      <c r="C250" s="16"/>
      <c r="D250" s="89" t="s">
        <v>1024</v>
      </c>
      <c r="E250" s="11"/>
      <c r="F250" s="11"/>
      <c r="G250" s="11"/>
      <c r="H250" s="11"/>
      <c r="I250" s="11"/>
      <c r="J250" s="11"/>
      <c r="K250" s="11"/>
      <c r="L250" s="11"/>
    </row>
    <row r="251" spans="1:12" s="15" customFormat="1" x14ac:dyDescent="0.35">
      <c r="A251" s="84" t="s">
        <v>1025</v>
      </c>
      <c r="B251" s="17" t="s">
        <v>12</v>
      </c>
      <c r="C251" s="16"/>
      <c r="D251" s="89" t="s">
        <v>1026</v>
      </c>
      <c r="E251" s="11"/>
      <c r="F251" s="11"/>
      <c r="G251" s="11"/>
      <c r="H251" s="11"/>
      <c r="I251" s="11"/>
      <c r="J251" s="11"/>
      <c r="K251" s="11"/>
      <c r="L251" s="11"/>
    </row>
    <row r="252" spans="1:12" s="15" customFormat="1" x14ac:dyDescent="0.35">
      <c r="A252" s="84" t="s">
        <v>1027</v>
      </c>
      <c r="B252" s="17" t="s">
        <v>12</v>
      </c>
      <c r="C252" s="16"/>
      <c r="D252" s="89" t="s">
        <v>1028</v>
      </c>
      <c r="E252" s="11"/>
      <c r="F252" s="11"/>
      <c r="G252" s="11"/>
      <c r="H252" s="11"/>
      <c r="I252" s="11"/>
      <c r="J252" s="11"/>
      <c r="K252" s="11"/>
      <c r="L252" s="11"/>
    </row>
    <row r="253" spans="1:12" s="15" customFormat="1" x14ac:dyDescent="0.35">
      <c r="A253" s="84" t="s">
        <v>1029</v>
      </c>
      <c r="B253" s="17" t="s">
        <v>86</v>
      </c>
      <c r="C253" s="16"/>
      <c r="D253" s="89" t="s">
        <v>1030</v>
      </c>
      <c r="E253" s="11"/>
      <c r="F253" s="11"/>
      <c r="G253" s="11"/>
      <c r="H253" s="11"/>
      <c r="I253" s="11"/>
      <c r="J253" s="11"/>
      <c r="K253" s="11"/>
      <c r="L253" s="11"/>
    </row>
    <row r="254" spans="1:12" s="15" customFormat="1" x14ac:dyDescent="0.35">
      <c r="A254" s="84" t="s">
        <v>1031</v>
      </c>
      <c r="B254" s="17" t="s">
        <v>87</v>
      </c>
      <c r="C254" s="16"/>
      <c r="D254" s="89" t="s">
        <v>1032</v>
      </c>
      <c r="E254" s="11"/>
      <c r="F254" s="11"/>
      <c r="G254" s="11"/>
      <c r="H254" s="11"/>
      <c r="I254" s="11"/>
      <c r="J254" s="11"/>
      <c r="K254" s="11"/>
      <c r="L254" s="11"/>
    </row>
    <row r="255" spans="1:12" s="15" customFormat="1" x14ac:dyDescent="0.35">
      <c r="A255" s="84" t="s">
        <v>1033</v>
      </c>
      <c r="B255" s="17" t="s">
        <v>12</v>
      </c>
      <c r="C255" s="16"/>
      <c r="D255" s="85" t="s">
        <v>1034</v>
      </c>
      <c r="E255" s="11"/>
      <c r="F255" s="11"/>
      <c r="G255" s="11"/>
      <c r="H255" s="11"/>
      <c r="I255" s="11"/>
      <c r="J255" s="11"/>
      <c r="K255" s="11"/>
      <c r="L255" s="11"/>
    </row>
    <row r="256" spans="1:12" s="15" customFormat="1" x14ac:dyDescent="0.35">
      <c r="A256" s="84" t="s">
        <v>1035</v>
      </c>
      <c r="B256" s="17" t="s">
        <v>12</v>
      </c>
      <c r="C256" s="16"/>
      <c r="D256" s="91" t="s">
        <v>1036</v>
      </c>
      <c r="E256" s="11"/>
      <c r="F256" s="11"/>
      <c r="G256" s="11"/>
      <c r="H256" s="11"/>
      <c r="I256" s="11"/>
      <c r="J256" s="11"/>
      <c r="K256" s="11"/>
      <c r="L256" s="11"/>
    </row>
    <row r="257" spans="1:12" s="15" customFormat="1" x14ac:dyDescent="0.35">
      <c r="A257" s="84" t="s">
        <v>1037</v>
      </c>
      <c r="B257" s="17" t="s">
        <v>12</v>
      </c>
      <c r="C257" s="16"/>
      <c r="D257" s="85" t="s">
        <v>1038</v>
      </c>
      <c r="E257" s="11"/>
      <c r="F257" s="11"/>
      <c r="G257" s="11"/>
      <c r="H257" s="11"/>
      <c r="I257" s="11"/>
      <c r="J257" s="11"/>
      <c r="K257" s="11"/>
      <c r="L257" s="11"/>
    </row>
    <row r="258" spans="1:12" s="15" customFormat="1" ht="21" x14ac:dyDescent="0.35">
      <c r="A258" s="84" t="s">
        <v>1039</v>
      </c>
      <c r="B258" s="17" t="s">
        <v>86</v>
      </c>
      <c r="C258" s="16"/>
      <c r="D258" s="89" t="s">
        <v>1040</v>
      </c>
      <c r="E258" s="11"/>
      <c r="F258" s="11"/>
      <c r="G258" s="11"/>
      <c r="H258" s="11"/>
      <c r="I258" s="11"/>
      <c r="J258" s="11"/>
      <c r="K258" s="11"/>
      <c r="L258" s="11"/>
    </row>
    <row r="259" spans="1:12" s="15" customFormat="1" ht="21" x14ac:dyDescent="0.35">
      <c r="A259" s="84" t="s">
        <v>1041</v>
      </c>
      <c r="B259" s="17" t="s">
        <v>87</v>
      </c>
      <c r="C259" s="16"/>
      <c r="D259" s="89" t="s">
        <v>1042</v>
      </c>
      <c r="E259" s="11"/>
      <c r="F259" s="11"/>
      <c r="G259" s="11"/>
      <c r="H259" s="11"/>
      <c r="I259" s="11"/>
      <c r="J259" s="11"/>
      <c r="K259" s="11"/>
      <c r="L259" s="11"/>
    </row>
    <row r="260" spans="1:12" s="15" customFormat="1" ht="21" x14ac:dyDescent="0.35">
      <c r="A260" s="84" t="s">
        <v>1043</v>
      </c>
      <c r="B260" s="17" t="s">
        <v>12</v>
      </c>
      <c r="C260" s="16"/>
      <c r="D260" s="89" t="s">
        <v>1044</v>
      </c>
      <c r="E260" s="11"/>
      <c r="F260" s="11"/>
      <c r="G260" s="11"/>
      <c r="H260" s="11"/>
      <c r="I260" s="11"/>
      <c r="J260" s="11"/>
      <c r="K260" s="11"/>
      <c r="L260" s="11"/>
    </row>
    <row r="261" spans="1:12" s="15" customFormat="1" x14ac:dyDescent="0.35">
      <c r="A261" s="84" t="s">
        <v>1045</v>
      </c>
      <c r="B261" s="17" t="s">
        <v>12</v>
      </c>
      <c r="C261" s="16"/>
      <c r="D261" s="85" t="s">
        <v>1046</v>
      </c>
      <c r="E261" s="11"/>
      <c r="F261" s="11"/>
      <c r="G261" s="11"/>
      <c r="H261" s="11"/>
      <c r="I261" s="11"/>
      <c r="J261" s="11"/>
      <c r="K261" s="11"/>
      <c r="L261" s="11"/>
    </row>
    <row r="262" spans="1:12" s="15" customFormat="1" x14ac:dyDescent="0.35">
      <c r="A262" s="84" t="s">
        <v>705</v>
      </c>
      <c r="B262" s="17" t="s">
        <v>12</v>
      </c>
      <c r="C262" s="16"/>
      <c r="D262" s="85" t="s">
        <v>1047</v>
      </c>
      <c r="E262" s="11"/>
      <c r="F262" s="11"/>
      <c r="G262" s="11"/>
      <c r="H262" s="11"/>
      <c r="I262" s="11"/>
      <c r="J262" s="11"/>
      <c r="K262" s="11"/>
      <c r="L262" s="11"/>
    </row>
    <row r="263" spans="1:12" s="15" customFormat="1" x14ac:dyDescent="0.35">
      <c r="A263" s="84" t="s">
        <v>1048</v>
      </c>
      <c r="B263" s="17" t="s">
        <v>12</v>
      </c>
      <c r="C263" s="16"/>
      <c r="D263" s="85" t="s">
        <v>833</v>
      </c>
      <c r="E263" s="11"/>
      <c r="F263" s="11"/>
      <c r="G263" s="11"/>
      <c r="H263" s="11"/>
      <c r="I263" s="11"/>
      <c r="J263" s="11"/>
      <c r="K263" s="11"/>
      <c r="L263" s="11"/>
    </row>
    <row r="264" spans="1:12" s="15" customFormat="1" x14ac:dyDescent="0.35">
      <c r="A264" s="84" t="s">
        <v>1049</v>
      </c>
      <c r="B264" s="17" t="s">
        <v>12</v>
      </c>
      <c r="C264" s="16"/>
      <c r="D264" s="85" t="s">
        <v>1050</v>
      </c>
      <c r="E264" s="11"/>
      <c r="F264" s="11"/>
      <c r="G264" s="11"/>
      <c r="H264" s="11"/>
      <c r="I264" s="11"/>
      <c r="J264" s="11"/>
      <c r="K264" s="11"/>
      <c r="L264" s="11"/>
    </row>
    <row r="265" spans="1:12" s="15" customFormat="1" x14ac:dyDescent="0.35">
      <c r="A265" s="84" t="s">
        <v>1051</v>
      </c>
      <c r="B265" s="17" t="s">
        <v>12</v>
      </c>
      <c r="C265" s="16"/>
      <c r="D265" s="85" t="s">
        <v>1052</v>
      </c>
      <c r="E265" s="11"/>
      <c r="F265" s="11"/>
      <c r="G265" s="11"/>
      <c r="H265" s="11"/>
      <c r="I265" s="11"/>
      <c r="J265" s="11"/>
      <c r="K265" s="11"/>
      <c r="L265" s="11"/>
    </row>
    <row r="266" spans="1:12" s="15" customFormat="1" x14ac:dyDescent="0.35">
      <c r="A266" s="84" t="s">
        <v>1053</v>
      </c>
      <c r="B266" s="17" t="s">
        <v>12</v>
      </c>
      <c r="C266" s="16"/>
      <c r="D266" s="89" t="s">
        <v>1054</v>
      </c>
      <c r="E266" s="11"/>
      <c r="F266" s="11"/>
      <c r="G266" s="11"/>
      <c r="H266" s="11"/>
      <c r="I266" s="11"/>
      <c r="J266" s="11"/>
      <c r="K266" s="11"/>
      <c r="L266" s="11"/>
    </row>
    <row r="267" spans="1:12" s="15" customFormat="1" x14ac:dyDescent="0.35">
      <c r="A267" s="84" t="s">
        <v>1055</v>
      </c>
      <c r="B267" s="17" t="s">
        <v>12</v>
      </c>
      <c r="C267" s="16"/>
      <c r="D267" s="85" t="s">
        <v>1056</v>
      </c>
      <c r="E267" s="11"/>
      <c r="F267" s="11"/>
      <c r="G267" s="11"/>
      <c r="H267" s="11"/>
      <c r="I267" s="11"/>
      <c r="J267" s="11"/>
      <c r="K267" s="11"/>
      <c r="L267" s="11"/>
    </row>
    <row r="268" spans="1:12" s="15" customFormat="1" x14ac:dyDescent="0.35">
      <c r="A268" s="84" t="s">
        <v>1057</v>
      </c>
      <c r="B268" s="17" t="s">
        <v>12</v>
      </c>
      <c r="C268" s="16"/>
      <c r="D268" s="85" t="s">
        <v>1058</v>
      </c>
      <c r="E268" s="11"/>
      <c r="F268" s="11"/>
      <c r="G268" s="11"/>
      <c r="H268" s="11"/>
      <c r="I268" s="11"/>
      <c r="J268" s="11"/>
      <c r="K268" s="11"/>
      <c r="L268" s="11"/>
    </row>
    <row r="269" spans="1:12" s="15" customFormat="1" x14ac:dyDescent="0.35">
      <c r="A269" s="84" t="s">
        <v>1059</v>
      </c>
      <c r="B269" s="17" t="s">
        <v>12</v>
      </c>
      <c r="C269" s="16"/>
      <c r="D269" s="85" t="s">
        <v>1060</v>
      </c>
      <c r="E269" s="11"/>
      <c r="F269" s="11"/>
      <c r="G269" s="11"/>
      <c r="H269" s="11"/>
      <c r="I269" s="11"/>
      <c r="J269" s="11"/>
      <c r="K269" s="11"/>
      <c r="L269" s="11"/>
    </row>
    <row r="270" spans="1:12" s="15" customFormat="1" x14ac:dyDescent="0.35">
      <c r="A270" s="84" t="s">
        <v>1061</v>
      </c>
      <c r="B270" s="84" t="s">
        <v>12</v>
      </c>
      <c r="C270" s="16"/>
      <c r="D270" s="85" t="s">
        <v>1062</v>
      </c>
      <c r="E270" s="11"/>
      <c r="F270" s="11"/>
      <c r="G270" s="11"/>
      <c r="H270" s="11"/>
      <c r="I270" s="11"/>
      <c r="J270" s="11"/>
      <c r="K270" s="11"/>
      <c r="L270" s="11"/>
    </row>
    <row r="271" spans="1:12" s="15" customFormat="1" x14ac:dyDescent="0.35">
      <c r="A271" s="84" t="s">
        <v>1063</v>
      </c>
      <c r="B271" s="84" t="s">
        <v>12</v>
      </c>
      <c r="C271" s="16"/>
      <c r="D271" s="85" t="s">
        <v>1064</v>
      </c>
      <c r="E271" s="11"/>
      <c r="F271" s="11"/>
      <c r="G271" s="11"/>
      <c r="H271" s="11"/>
      <c r="I271" s="11"/>
      <c r="J271" s="11"/>
      <c r="K271" s="11"/>
      <c r="L271" s="11"/>
    </row>
    <row r="272" spans="1:12" s="15" customFormat="1" x14ac:dyDescent="0.35">
      <c r="A272" s="84" t="s">
        <v>552</v>
      </c>
      <c r="B272" s="84" t="s">
        <v>12</v>
      </c>
      <c r="C272" s="16"/>
      <c r="D272" s="85" t="s">
        <v>1065</v>
      </c>
      <c r="E272" s="11"/>
      <c r="F272" s="11"/>
      <c r="G272" s="11"/>
      <c r="H272" s="11"/>
      <c r="I272" s="11"/>
      <c r="J272" s="11"/>
      <c r="K272" s="11"/>
      <c r="L272" s="11"/>
    </row>
    <row r="273" spans="1:12" s="15" customFormat="1" x14ac:dyDescent="0.35">
      <c r="A273" s="84" t="s">
        <v>1066</v>
      </c>
      <c r="B273" s="17" t="s">
        <v>12</v>
      </c>
      <c r="C273" s="16"/>
      <c r="D273" s="85" t="s">
        <v>1067</v>
      </c>
      <c r="E273" s="11"/>
      <c r="F273" s="11"/>
      <c r="G273" s="11"/>
      <c r="H273" s="11"/>
      <c r="I273" s="11"/>
      <c r="J273" s="11"/>
      <c r="K273" s="11"/>
      <c r="L273" s="11"/>
    </row>
    <row r="274" spans="1:12" s="15" customFormat="1" x14ac:dyDescent="0.35">
      <c r="A274" s="84" t="s">
        <v>1068</v>
      </c>
      <c r="B274" s="17" t="s">
        <v>12</v>
      </c>
      <c r="C274" s="16"/>
      <c r="D274" s="85" t="s">
        <v>1069</v>
      </c>
      <c r="E274" s="11"/>
      <c r="F274" s="11"/>
      <c r="G274" s="11"/>
      <c r="H274" s="11"/>
      <c r="I274" s="11"/>
      <c r="J274" s="11"/>
      <c r="K274" s="11"/>
      <c r="L274" s="11"/>
    </row>
    <row r="275" spans="1:12" s="15" customFormat="1" x14ac:dyDescent="0.35">
      <c r="A275" s="84" t="s">
        <v>1070</v>
      </c>
      <c r="B275" s="17" t="s">
        <v>12</v>
      </c>
      <c r="C275" s="16"/>
      <c r="D275" s="85" t="s">
        <v>1071</v>
      </c>
      <c r="E275" s="11"/>
      <c r="F275" s="11"/>
      <c r="G275" s="11"/>
      <c r="H275" s="11"/>
      <c r="I275" s="11"/>
      <c r="J275" s="11"/>
      <c r="K275" s="11"/>
      <c r="L275" s="11"/>
    </row>
    <row r="276" spans="1:12" s="15" customFormat="1" x14ac:dyDescent="0.35">
      <c r="A276" s="84" t="s">
        <v>1072</v>
      </c>
      <c r="B276" s="17" t="s">
        <v>12</v>
      </c>
      <c r="C276" s="16"/>
      <c r="D276" s="85" t="s">
        <v>1073</v>
      </c>
      <c r="E276" s="11"/>
      <c r="F276" s="11"/>
      <c r="G276" s="11"/>
      <c r="H276" s="11"/>
      <c r="I276" s="11"/>
      <c r="J276" s="11"/>
      <c r="K276" s="11"/>
      <c r="L276" s="11"/>
    </row>
    <row r="277" spans="1:12" s="15" customFormat="1" x14ac:dyDescent="0.35">
      <c r="A277" s="84" t="s">
        <v>1074</v>
      </c>
      <c r="B277" s="17" t="s">
        <v>12</v>
      </c>
      <c r="C277" s="16"/>
      <c r="D277" s="85" t="s">
        <v>1075</v>
      </c>
      <c r="E277" s="11"/>
      <c r="F277" s="11"/>
      <c r="G277" s="11"/>
      <c r="H277" s="11"/>
      <c r="I277" s="11"/>
      <c r="J277" s="11"/>
      <c r="K277" s="11"/>
      <c r="L277" s="11"/>
    </row>
    <row r="278" spans="1:12" s="15" customFormat="1" x14ac:dyDescent="0.35">
      <c r="A278" s="84" t="s">
        <v>1076</v>
      </c>
      <c r="B278" s="17" t="s">
        <v>12</v>
      </c>
      <c r="C278" s="16"/>
      <c r="D278" s="85" t="s">
        <v>1077</v>
      </c>
      <c r="E278" s="11"/>
      <c r="F278" s="11"/>
      <c r="G278" s="11"/>
      <c r="H278" s="11"/>
      <c r="I278" s="11"/>
      <c r="J278" s="11"/>
      <c r="K278" s="11"/>
      <c r="L278" s="11"/>
    </row>
    <row r="279" spans="1:12" s="15" customFormat="1" x14ac:dyDescent="0.35">
      <c r="A279" s="84" t="s">
        <v>1078</v>
      </c>
      <c r="B279" s="17" t="s">
        <v>12</v>
      </c>
      <c r="C279" s="16"/>
      <c r="D279" s="85" t="s">
        <v>758</v>
      </c>
      <c r="E279" s="11"/>
      <c r="F279" s="11"/>
      <c r="G279" s="11"/>
      <c r="H279" s="11"/>
      <c r="I279" s="11"/>
      <c r="J279" s="11"/>
      <c r="K279" s="11"/>
      <c r="L279" s="11"/>
    </row>
    <row r="280" spans="1:12" s="15" customFormat="1" ht="24" customHeight="1" x14ac:dyDescent="0.35">
      <c r="A280" s="84" t="s">
        <v>1079</v>
      </c>
      <c r="B280" s="17" t="s">
        <v>12</v>
      </c>
      <c r="C280" s="16"/>
      <c r="D280" s="85" t="s">
        <v>1080</v>
      </c>
      <c r="E280" s="11"/>
      <c r="F280" s="11"/>
      <c r="G280" s="11"/>
      <c r="H280" s="11"/>
      <c r="I280" s="11"/>
      <c r="J280" s="11"/>
      <c r="K280" s="11"/>
      <c r="L280" s="11"/>
    </row>
    <row r="281" spans="1:12" s="15" customFormat="1" x14ac:dyDescent="0.35">
      <c r="A281" s="84" t="s">
        <v>980</v>
      </c>
      <c r="B281" s="17" t="s">
        <v>12</v>
      </c>
      <c r="C281" s="16"/>
      <c r="D281" s="85" t="s">
        <v>1081</v>
      </c>
      <c r="E281" s="11"/>
      <c r="F281" s="11"/>
      <c r="G281" s="11"/>
      <c r="H281" s="11"/>
      <c r="I281" s="11"/>
      <c r="J281" s="11"/>
      <c r="K281" s="11"/>
      <c r="L281" s="11"/>
    </row>
    <row r="282" spans="1:12" s="15" customFormat="1" x14ac:dyDescent="0.35">
      <c r="A282" s="84" t="s">
        <v>1082</v>
      </c>
      <c r="B282" s="17" t="s">
        <v>12</v>
      </c>
      <c r="C282" s="16"/>
      <c r="D282" s="85" t="s">
        <v>777</v>
      </c>
      <c r="E282" s="11"/>
      <c r="F282" s="11"/>
      <c r="G282" s="11"/>
      <c r="H282" s="11"/>
      <c r="I282" s="11"/>
      <c r="J282" s="11"/>
      <c r="K282" s="11"/>
      <c r="L282" s="11"/>
    </row>
    <row r="283" spans="1:12" s="15" customFormat="1" ht="24" customHeight="1" x14ac:dyDescent="0.35">
      <c r="A283" s="84" t="s">
        <v>1083</v>
      </c>
      <c r="B283" s="17" t="s">
        <v>12</v>
      </c>
      <c r="C283" s="16"/>
      <c r="D283" s="85" t="s">
        <v>1080</v>
      </c>
      <c r="E283" s="11"/>
      <c r="F283" s="11"/>
      <c r="G283" s="11"/>
      <c r="H283" s="11"/>
      <c r="I283" s="11"/>
      <c r="J283" s="11"/>
      <c r="K283" s="11"/>
      <c r="L283" s="11"/>
    </row>
    <row r="284" spans="1:12" s="15" customFormat="1" x14ac:dyDescent="0.35">
      <c r="A284" s="84" t="s">
        <v>416</v>
      </c>
      <c r="B284" s="17" t="s">
        <v>12</v>
      </c>
      <c r="C284" s="16"/>
      <c r="D284" s="85" t="s">
        <v>1084</v>
      </c>
      <c r="E284" s="11"/>
      <c r="F284" s="11"/>
      <c r="G284" s="11"/>
      <c r="H284" s="11"/>
      <c r="I284" s="11"/>
      <c r="J284" s="11"/>
      <c r="K284" s="11"/>
      <c r="L284" s="11"/>
    </row>
    <row r="285" spans="1:12" s="15" customFormat="1" ht="21" x14ac:dyDescent="0.35">
      <c r="A285" s="84" t="s">
        <v>1085</v>
      </c>
      <c r="B285" s="17" t="s">
        <v>12</v>
      </c>
      <c r="C285" s="16"/>
      <c r="D285" s="85" t="s">
        <v>1086</v>
      </c>
      <c r="E285" s="11"/>
      <c r="F285" s="11"/>
      <c r="G285" s="11"/>
      <c r="H285" s="11"/>
      <c r="I285" s="11"/>
      <c r="J285" s="11"/>
      <c r="K285" s="11"/>
      <c r="L285" s="11"/>
    </row>
    <row r="286" spans="1:12" s="15" customFormat="1" ht="21" x14ac:dyDescent="0.35">
      <c r="A286" s="84" t="s">
        <v>1087</v>
      </c>
      <c r="B286" s="17" t="s">
        <v>12</v>
      </c>
      <c r="C286" s="16"/>
      <c r="D286" s="85" t="s">
        <v>1088</v>
      </c>
      <c r="E286" s="11"/>
      <c r="F286" s="11"/>
      <c r="G286" s="11"/>
      <c r="H286" s="11"/>
      <c r="I286" s="11"/>
      <c r="J286" s="11"/>
      <c r="K286" s="11"/>
      <c r="L286" s="11"/>
    </row>
    <row r="287" spans="1:12" s="15" customFormat="1" ht="21" x14ac:dyDescent="0.35">
      <c r="A287" s="84" t="s">
        <v>1089</v>
      </c>
      <c r="B287" s="17" t="s">
        <v>12</v>
      </c>
      <c r="C287" s="16"/>
      <c r="D287" s="85" t="s">
        <v>1090</v>
      </c>
      <c r="E287" s="11"/>
      <c r="F287" s="11"/>
      <c r="G287" s="11"/>
      <c r="H287" s="11"/>
      <c r="I287" s="11"/>
      <c r="J287" s="11"/>
      <c r="K287" s="11"/>
      <c r="L287" s="11"/>
    </row>
    <row r="288" spans="1:12" s="15" customFormat="1" ht="21" x14ac:dyDescent="0.35">
      <c r="A288" s="84" t="s">
        <v>1091</v>
      </c>
      <c r="B288" s="17" t="s">
        <v>12</v>
      </c>
      <c r="C288" s="16"/>
      <c r="D288" s="85" t="s">
        <v>1092</v>
      </c>
      <c r="E288" s="11"/>
      <c r="F288" s="11"/>
      <c r="G288" s="11"/>
      <c r="H288" s="11"/>
      <c r="I288" s="11"/>
      <c r="J288" s="11"/>
      <c r="K288" s="11"/>
      <c r="L288" s="11"/>
    </row>
    <row r="289" spans="1:12" s="15" customFormat="1" ht="21" x14ac:dyDescent="0.35">
      <c r="A289" s="84" t="s">
        <v>1093</v>
      </c>
      <c r="B289" s="17" t="s">
        <v>12</v>
      </c>
      <c r="C289" s="16"/>
      <c r="D289" s="85" t="s">
        <v>1094</v>
      </c>
      <c r="E289" s="11"/>
      <c r="F289" s="11"/>
      <c r="G289" s="11"/>
      <c r="H289" s="11"/>
      <c r="I289" s="11"/>
      <c r="J289" s="11"/>
      <c r="K289" s="11"/>
      <c r="L289" s="11"/>
    </row>
    <row r="290" spans="1:12" s="15" customFormat="1" ht="21" x14ac:dyDescent="0.35">
      <c r="A290" s="84" t="s">
        <v>1095</v>
      </c>
      <c r="B290" s="17" t="s">
        <v>12</v>
      </c>
      <c r="C290" s="16"/>
      <c r="D290" s="85" t="s">
        <v>1096</v>
      </c>
      <c r="E290" s="11"/>
      <c r="F290" s="11"/>
      <c r="G290" s="11"/>
      <c r="H290" s="11"/>
      <c r="I290" s="11"/>
      <c r="J290" s="11"/>
      <c r="K290" s="11"/>
      <c r="L290" s="11"/>
    </row>
    <row r="291" spans="1:12" s="15" customFormat="1" ht="21" x14ac:dyDescent="0.35">
      <c r="A291" s="84" t="s">
        <v>1097</v>
      </c>
      <c r="B291" s="17" t="s">
        <v>12</v>
      </c>
      <c r="C291" s="16"/>
      <c r="D291" s="85" t="s">
        <v>1098</v>
      </c>
      <c r="E291" s="11"/>
      <c r="F291" s="11"/>
      <c r="G291" s="11"/>
      <c r="H291" s="11"/>
      <c r="I291" s="11"/>
      <c r="J291" s="11"/>
      <c r="K291" s="11"/>
      <c r="L291" s="11"/>
    </row>
    <row r="292" spans="1:12" s="15" customFormat="1" ht="21" x14ac:dyDescent="0.35">
      <c r="A292" s="84" t="s">
        <v>1099</v>
      </c>
      <c r="B292" s="17" t="s">
        <v>12</v>
      </c>
      <c r="C292" s="16"/>
      <c r="D292" s="85" t="s">
        <v>1100</v>
      </c>
      <c r="E292" s="11"/>
      <c r="F292" s="11"/>
      <c r="G292" s="11"/>
      <c r="H292" s="11"/>
      <c r="I292" s="11"/>
      <c r="J292" s="11"/>
      <c r="K292" s="11"/>
      <c r="L292" s="11"/>
    </row>
    <row r="293" spans="1:12" s="15" customFormat="1" ht="21" x14ac:dyDescent="0.35">
      <c r="A293" s="84" t="s">
        <v>1101</v>
      </c>
      <c r="B293" s="17" t="s">
        <v>12</v>
      </c>
      <c r="C293" s="16"/>
      <c r="D293" s="85" t="s">
        <v>1102</v>
      </c>
      <c r="E293" s="11"/>
      <c r="F293" s="11"/>
      <c r="G293" s="11"/>
      <c r="H293" s="11"/>
      <c r="I293" s="11"/>
      <c r="J293" s="11"/>
      <c r="K293" s="11"/>
      <c r="L293" s="11"/>
    </row>
    <row r="294" spans="1:12" s="15" customFormat="1" ht="21" x14ac:dyDescent="0.35">
      <c r="A294" s="84" t="s">
        <v>1103</v>
      </c>
      <c r="B294" s="17" t="s">
        <v>12</v>
      </c>
      <c r="C294" s="16"/>
      <c r="D294" s="85" t="s">
        <v>1104</v>
      </c>
      <c r="E294" s="11"/>
      <c r="F294" s="11"/>
      <c r="G294" s="11"/>
      <c r="H294" s="11"/>
      <c r="I294" s="11"/>
      <c r="J294" s="11"/>
      <c r="K294" s="11"/>
      <c r="L294" s="11"/>
    </row>
    <row r="295" spans="1:12" s="15" customFormat="1" ht="21" x14ac:dyDescent="0.35">
      <c r="A295" s="84" t="s">
        <v>1105</v>
      </c>
      <c r="B295" s="17" t="s">
        <v>12</v>
      </c>
      <c r="C295" s="16"/>
      <c r="D295" s="85" t="s">
        <v>1106</v>
      </c>
      <c r="E295" s="11"/>
      <c r="F295" s="11"/>
      <c r="G295" s="11"/>
      <c r="H295" s="11"/>
      <c r="I295" s="11"/>
      <c r="J295" s="11"/>
      <c r="K295" s="11"/>
      <c r="L295" s="11"/>
    </row>
    <row r="296" spans="1:12" s="15" customFormat="1" ht="21" x14ac:dyDescent="0.35">
      <c r="A296" s="84" t="s">
        <v>1107</v>
      </c>
      <c r="B296" s="17" t="s">
        <v>12</v>
      </c>
      <c r="C296" s="16"/>
      <c r="D296" s="85" t="s">
        <v>1108</v>
      </c>
      <c r="E296" s="11"/>
      <c r="F296" s="11"/>
      <c r="G296" s="11"/>
      <c r="H296" s="11"/>
      <c r="I296" s="11"/>
      <c r="J296" s="11"/>
      <c r="K296" s="11"/>
      <c r="L296" s="11"/>
    </row>
    <row r="297" spans="1:12" s="15" customFormat="1" ht="42" x14ac:dyDescent="0.35">
      <c r="A297" s="84" t="s">
        <v>417</v>
      </c>
      <c r="B297" s="17" t="s">
        <v>12</v>
      </c>
      <c r="C297" s="16"/>
      <c r="D297" s="85" t="s">
        <v>1109</v>
      </c>
      <c r="E297" s="11"/>
      <c r="F297" s="11"/>
      <c r="G297" s="11"/>
      <c r="H297" s="11"/>
      <c r="I297" s="11"/>
      <c r="J297" s="11"/>
      <c r="K297" s="11"/>
      <c r="L297" s="11"/>
    </row>
    <row r="298" spans="1:12" s="15" customFormat="1" x14ac:dyDescent="0.35">
      <c r="A298" s="84" t="s">
        <v>1110</v>
      </c>
      <c r="B298" s="17" t="s">
        <v>12</v>
      </c>
      <c r="C298" s="16"/>
      <c r="D298" s="85" t="s">
        <v>1111</v>
      </c>
      <c r="E298" s="11"/>
      <c r="F298" s="11"/>
      <c r="G298" s="11"/>
      <c r="H298" s="11"/>
      <c r="I298" s="11"/>
      <c r="J298" s="11"/>
      <c r="K298" s="11"/>
      <c r="L298" s="11"/>
    </row>
    <row r="299" spans="1:12" s="15" customFormat="1" x14ac:dyDescent="0.35">
      <c r="A299" s="84" t="s">
        <v>1112</v>
      </c>
      <c r="B299" s="17" t="s">
        <v>12</v>
      </c>
      <c r="C299" s="16"/>
      <c r="D299" s="85" t="s">
        <v>1113</v>
      </c>
      <c r="E299" s="11"/>
      <c r="F299" s="11"/>
      <c r="G299" s="11"/>
      <c r="H299" s="11"/>
      <c r="I299" s="11"/>
      <c r="J299" s="11"/>
      <c r="K299" s="11"/>
      <c r="L299" s="11"/>
    </row>
    <row r="300" spans="1:12" s="15" customFormat="1" x14ac:dyDescent="0.35">
      <c r="A300" s="84" t="s">
        <v>1114</v>
      </c>
      <c r="B300" s="17" t="s">
        <v>12</v>
      </c>
      <c r="C300" s="16"/>
      <c r="D300" s="85" t="s">
        <v>1115</v>
      </c>
      <c r="E300" s="11"/>
      <c r="F300" s="11"/>
      <c r="G300" s="11"/>
      <c r="H300" s="11"/>
      <c r="I300" s="11"/>
      <c r="J300" s="11"/>
      <c r="K300" s="11"/>
      <c r="L300" s="11"/>
    </row>
    <row r="301" spans="1:12" s="15" customFormat="1" x14ac:dyDescent="0.35">
      <c r="A301" s="84" t="s">
        <v>1116</v>
      </c>
      <c r="B301" s="17" t="s">
        <v>12</v>
      </c>
      <c r="C301" s="16"/>
      <c r="D301" s="85" t="s">
        <v>1117</v>
      </c>
      <c r="E301" s="11"/>
      <c r="F301" s="11"/>
      <c r="G301" s="11"/>
      <c r="H301" s="11"/>
      <c r="I301" s="11"/>
      <c r="J301" s="11"/>
      <c r="K301" s="11"/>
      <c r="L301" s="11"/>
    </row>
    <row r="302" spans="1:12" s="15" customFormat="1" ht="21" x14ac:dyDescent="0.35">
      <c r="A302" s="84" t="s">
        <v>1118</v>
      </c>
      <c r="B302" s="17" t="s">
        <v>12</v>
      </c>
      <c r="C302" s="16"/>
      <c r="D302" s="85" t="s">
        <v>1119</v>
      </c>
      <c r="E302" s="11"/>
      <c r="F302" s="11"/>
      <c r="G302" s="11"/>
      <c r="H302" s="11"/>
      <c r="I302" s="11"/>
      <c r="J302" s="11"/>
      <c r="K302" s="11"/>
      <c r="L302" s="11"/>
    </row>
    <row r="303" spans="1:12" s="15" customFormat="1" ht="21" x14ac:dyDescent="0.35">
      <c r="A303" s="84" t="s">
        <v>1120</v>
      </c>
      <c r="B303" s="17" t="s">
        <v>12</v>
      </c>
      <c r="C303" s="16"/>
      <c r="D303" s="85" t="s">
        <v>1121</v>
      </c>
      <c r="E303" s="11"/>
      <c r="F303" s="11"/>
      <c r="G303" s="11"/>
      <c r="H303" s="11"/>
      <c r="I303" s="11"/>
      <c r="J303" s="11"/>
      <c r="K303" s="11"/>
      <c r="L303" s="11"/>
    </row>
    <row r="304" spans="1:12" s="15" customFormat="1" ht="21" x14ac:dyDescent="0.35">
      <c r="A304" s="84" t="s">
        <v>1122</v>
      </c>
      <c r="B304" s="17" t="s">
        <v>12</v>
      </c>
      <c r="C304" s="16"/>
      <c r="D304" s="85" t="s">
        <v>1123</v>
      </c>
      <c r="E304" s="11"/>
      <c r="F304" s="11"/>
      <c r="G304" s="11"/>
      <c r="H304" s="11"/>
      <c r="I304" s="11"/>
      <c r="J304" s="11"/>
      <c r="K304" s="11"/>
      <c r="L304" s="11"/>
    </row>
    <row r="305" spans="1:12" s="15" customFormat="1" ht="31.5" x14ac:dyDescent="0.35">
      <c r="A305" s="84" t="s">
        <v>1124</v>
      </c>
      <c r="B305" s="17" t="s">
        <v>12</v>
      </c>
      <c r="C305" s="16"/>
      <c r="D305" s="85" t="s">
        <v>1125</v>
      </c>
      <c r="E305" s="11"/>
      <c r="F305" s="11"/>
      <c r="G305" s="11"/>
      <c r="H305" s="11"/>
      <c r="I305" s="11"/>
      <c r="J305" s="11"/>
      <c r="K305" s="11"/>
      <c r="L305" s="11"/>
    </row>
    <row r="306" spans="1:12" s="15" customFormat="1" ht="31.5" x14ac:dyDescent="0.35">
      <c r="A306" s="84" t="s">
        <v>1126</v>
      </c>
      <c r="B306" s="17" t="s">
        <v>12</v>
      </c>
      <c r="C306" s="16"/>
      <c r="D306" s="85" t="s">
        <v>1127</v>
      </c>
      <c r="E306" s="11"/>
      <c r="F306" s="11"/>
      <c r="G306" s="11"/>
      <c r="H306" s="11"/>
      <c r="I306" s="11"/>
      <c r="J306" s="11"/>
      <c r="K306" s="11"/>
      <c r="L306" s="11"/>
    </row>
    <row r="307" spans="1:12" s="15" customFormat="1" ht="31.5" x14ac:dyDescent="0.35">
      <c r="A307" s="84" t="s">
        <v>1128</v>
      </c>
      <c r="B307" s="17" t="s">
        <v>12</v>
      </c>
      <c r="C307" s="16"/>
      <c r="D307" s="85" t="s">
        <v>1129</v>
      </c>
      <c r="E307" s="11"/>
      <c r="F307" s="11"/>
      <c r="G307" s="11"/>
      <c r="H307" s="11"/>
      <c r="I307" s="11"/>
      <c r="J307" s="11"/>
      <c r="K307" s="11"/>
      <c r="L307" s="11"/>
    </row>
    <row r="308" spans="1:12" s="15" customFormat="1" ht="42" x14ac:dyDescent="0.35">
      <c r="A308" s="84" t="s">
        <v>1130</v>
      </c>
      <c r="B308" s="17" t="s">
        <v>12</v>
      </c>
      <c r="C308" s="16"/>
      <c r="D308" s="85" t="s">
        <v>1131</v>
      </c>
      <c r="E308" s="11"/>
      <c r="F308" s="11"/>
      <c r="G308" s="11"/>
      <c r="H308" s="11"/>
      <c r="I308" s="11"/>
      <c r="J308" s="11"/>
      <c r="K308" s="11"/>
      <c r="L308" s="11"/>
    </row>
    <row r="309" spans="1:12" s="15" customFormat="1" ht="42" x14ac:dyDescent="0.35">
      <c r="A309" s="84" t="s">
        <v>1132</v>
      </c>
      <c r="B309" s="17" t="s">
        <v>12</v>
      </c>
      <c r="C309" s="16"/>
      <c r="D309" s="85" t="s">
        <v>1133</v>
      </c>
      <c r="E309" s="11"/>
      <c r="F309" s="11"/>
      <c r="G309" s="11"/>
      <c r="H309" s="11"/>
      <c r="I309" s="11"/>
      <c r="J309" s="11"/>
      <c r="K309" s="11"/>
      <c r="L309" s="11"/>
    </row>
    <row r="310" spans="1:12" s="15" customFormat="1" ht="42" x14ac:dyDescent="0.35">
      <c r="A310" s="84" t="s">
        <v>1134</v>
      </c>
      <c r="B310" s="17" t="s">
        <v>12</v>
      </c>
      <c r="C310" s="16"/>
      <c r="D310" s="85" t="s">
        <v>1135</v>
      </c>
      <c r="E310" s="11"/>
      <c r="F310" s="11"/>
      <c r="G310" s="11"/>
      <c r="H310" s="11"/>
      <c r="I310" s="11"/>
      <c r="J310" s="11"/>
      <c r="K310" s="11"/>
      <c r="L310" s="11"/>
    </row>
    <row r="311" spans="1:12" s="15" customFormat="1" ht="42" x14ac:dyDescent="0.35">
      <c r="A311" s="84" t="s">
        <v>1136</v>
      </c>
      <c r="B311" s="17" t="s">
        <v>87</v>
      </c>
      <c r="C311" s="16"/>
      <c r="D311" s="85" t="s">
        <v>1137</v>
      </c>
      <c r="E311" s="11"/>
      <c r="F311" s="11"/>
      <c r="G311" s="11"/>
      <c r="H311" s="11"/>
      <c r="I311" s="11"/>
      <c r="J311" s="11"/>
      <c r="K311" s="11"/>
      <c r="L311" s="11"/>
    </row>
    <row r="312" spans="1:12" s="15" customFormat="1" ht="31.5" x14ac:dyDescent="0.35">
      <c r="A312" s="84" t="s">
        <v>1138</v>
      </c>
      <c r="B312" s="17" t="s">
        <v>86</v>
      </c>
      <c r="C312" s="16"/>
      <c r="D312" s="92" t="s">
        <v>1139</v>
      </c>
      <c r="E312" s="11"/>
      <c r="F312" s="11"/>
      <c r="G312" s="11"/>
      <c r="H312" s="11"/>
      <c r="I312" s="11"/>
      <c r="J312" s="11"/>
      <c r="K312" s="11"/>
      <c r="L312" s="11"/>
    </row>
    <row r="313" spans="1:12" s="15" customFormat="1" x14ac:dyDescent="0.35">
      <c r="A313" s="84" t="s">
        <v>1140</v>
      </c>
      <c r="B313" s="17" t="s">
        <v>12</v>
      </c>
      <c r="C313" s="16"/>
      <c r="D313" s="92" t="s">
        <v>1141</v>
      </c>
      <c r="E313" s="11"/>
      <c r="F313" s="11"/>
      <c r="G313" s="11"/>
      <c r="H313" s="11"/>
      <c r="I313" s="11"/>
      <c r="J313" s="11"/>
      <c r="K313" s="11"/>
      <c r="L313" s="11"/>
    </row>
    <row r="314" spans="1:12" s="15" customFormat="1" ht="31.5" x14ac:dyDescent="0.35">
      <c r="A314" s="84" t="s">
        <v>418</v>
      </c>
      <c r="B314" s="17" t="s">
        <v>86</v>
      </c>
      <c r="C314" s="16"/>
      <c r="D314" s="92" t="s">
        <v>1142</v>
      </c>
      <c r="E314" s="11"/>
      <c r="F314" s="11"/>
      <c r="G314" s="11"/>
      <c r="H314" s="11"/>
      <c r="I314" s="11"/>
      <c r="J314" s="11"/>
      <c r="K314" s="11"/>
      <c r="L314" s="11"/>
    </row>
    <row r="315" spans="1:12" s="15" customFormat="1" x14ac:dyDescent="0.35">
      <c r="A315" s="84" t="s">
        <v>1143</v>
      </c>
      <c r="B315" s="17" t="s">
        <v>86</v>
      </c>
      <c r="C315" s="16"/>
      <c r="D315" s="92" t="s">
        <v>1144</v>
      </c>
      <c r="E315" s="11"/>
      <c r="F315" s="11"/>
      <c r="G315" s="11"/>
      <c r="H315" s="11"/>
      <c r="I315" s="11"/>
      <c r="J315" s="11"/>
      <c r="K315" s="11"/>
      <c r="L315" s="11"/>
    </row>
    <row r="316" spans="1:12" s="15" customFormat="1" x14ac:dyDescent="0.35">
      <c r="A316" s="17"/>
      <c r="B316" s="17"/>
      <c r="C316" s="16"/>
      <c r="D316" s="85"/>
      <c r="E316" s="11"/>
      <c r="F316" s="11"/>
      <c r="G316" s="11"/>
      <c r="H316" s="11"/>
      <c r="I316" s="11"/>
      <c r="J316" s="11"/>
      <c r="K316" s="11"/>
      <c r="L316" s="11"/>
    </row>
    <row r="317" spans="1:12" s="15" customFormat="1" x14ac:dyDescent="0.35">
      <c r="A317" s="17"/>
      <c r="B317" s="17"/>
      <c r="C317" s="16"/>
      <c r="D317" s="85"/>
      <c r="E317" s="11"/>
      <c r="F317" s="11"/>
      <c r="G317" s="11"/>
      <c r="H317" s="11"/>
      <c r="I317" s="11"/>
      <c r="J317" s="11"/>
      <c r="K317" s="11"/>
      <c r="L317" s="11"/>
    </row>
    <row r="318" spans="1:12" s="15" customFormat="1" x14ac:dyDescent="0.35">
      <c r="A318" s="17"/>
      <c r="B318" s="17"/>
      <c r="C318" s="16"/>
      <c r="D318" s="85"/>
      <c r="E318" s="11"/>
      <c r="F318" s="11"/>
      <c r="G318" s="11"/>
      <c r="H318" s="11"/>
      <c r="I318" s="11"/>
      <c r="J318" s="11"/>
      <c r="K318" s="11"/>
      <c r="L318" s="11"/>
    </row>
    <row r="319" spans="1:12" s="15" customFormat="1" x14ac:dyDescent="0.35">
      <c r="A319" s="17"/>
      <c r="B319" s="17"/>
      <c r="C319" s="16"/>
      <c r="D319" s="85"/>
      <c r="E319" s="11"/>
      <c r="F319" s="11"/>
      <c r="G319" s="11"/>
      <c r="H319" s="11"/>
      <c r="I319" s="11"/>
      <c r="J319" s="11"/>
      <c r="K319" s="11"/>
      <c r="L319" s="11"/>
    </row>
    <row r="320" spans="1:12" s="15" customFormat="1" x14ac:dyDescent="0.35">
      <c r="A320" s="17"/>
      <c r="B320" s="17"/>
      <c r="C320" s="16"/>
      <c r="D320" s="85"/>
      <c r="E320" s="11"/>
      <c r="F320" s="11"/>
      <c r="G320" s="11"/>
      <c r="H320" s="11"/>
      <c r="I320" s="11"/>
      <c r="J320" s="11"/>
      <c r="K320" s="11"/>
      <c r="L320" s="11"/>
    </row>
    <row r="321" spans="1:12" s="15" customFormat="1" x14ac:dyDescent="0.35">
      <c r="A321" s="17"/>
      <c r="B321" s="17"/>
      <c r="C321" s="16"/>
      <c r="D321" s="85"/>
      <c r="E321" s="11"/>
      <c r="F321" s="11"/>
      <c r="G321" s="11"/>
      <c r="H321" s="11"/>
      <c r="I321" s="11"/>
      <c r="J321" s="11"/>
      <c r="K321" s="11"/>
      <c r="L321" s="11"/>
    </row>
    <row r="322" spans="1:12" x14ac:dyDescent="0.35">
      <c r="A322" s="19" t="s">
        <v>51</v>
      </c>
      <c r="B322" s="19" t="s">
        <v>33</v>
      </c>
      <c r="C322" s="19" t="s">
        <v>50</v>
      </c>
      <c r="D322" s="14"/>
      <c r="E322" s="14"/>
      <c r="F322" s="14"/>
      <c r="G322" s="14"/>
      <c r="H322" s="14"/>
      <c r="I322" s="14"/>
      <c r="J322" s="14"/>
      <c r="K322" s="14"/>
      <c r="L322" s="14"/>
    </row>
    <row r="323" spans="1:12" s="15" customFormat="1" x14ac:dyDescent="0.35">
      <c r="A323" s="84" t="s">
        <v>1145</v>
      </c>
      <c r="B323" s="17" t="s">
        <v>86</v>
      </c>
      <c r="C323" s="17" t="s">
        <v>1146</v>
      </c>
      <c r="D323" s="11"/>
      <c r="E323" s="11"/>
      <c r="F323" s="11"/>
      <c r="G323" s="11"/>
      <c r="H323" s="11"/>
      <c r="I323" s="11"/>
      <c r="J323" s="11"/>
      <c r="K323" s="11"/>
      <c r="L323" s="11"/>
    </row>
    <row r="324" spans="1:12" s="15" customFormat="1" x14ac:dyDescent="0.35">
      <c r="A324" s="84" t="s">
        <v>1147</v>
      </c>
      <c r="B324" s="17" t="s">
        <v>86</v>
      </c>
      <c r="C324" s="17" t="s">
        <v>272</v>
      </c>
      <c r="D324" s="11"/>
      <c r="E324" s="11"/>
      <c r="F324" s="11"/>
      <c r="G324" s="11"/>
      <c r="H324" s="11"/>
      <c r="I324" s="11"/>
      <c r="J324" s="11"/>
      <c r="K324" s="11"/>
      <c r="L324" s="11"/>
    </row>
    <row r="325" spans="1:12" s="15" customFormat="1" x14ac:dyDescent="0.35">
      <c r="A325" s="17"/>
      <c r="B325" s="17"/>
      <c r="C325" s="17"/>
      <c r="D325" s="11"/>
      <c r="E325" s="11"/>
      <c r="F325" s="11"/>
      <c r="G325" s="11"/>
      <c r="H325" s="11"/>
      <c r="I325" s="11"/>
      <c r="J325" s="11"/>
      <c r="K325" s="11"/>
      <c r="L325" s="11"/>
    </row>
    <row r="326" spans="1:12" s="15" customFormat="1" x14ac:dyDescent="0.35">
      <c r="A326" s="17"/>
      <c r="B326" s="17"/>
      <c r="C326" s="17"/>
      <c r="D326" s="11"/>
      <c r="E326" s="11"/>
      <c r="F326" s="11"/>
      <c r="G326" s="11"/>
      <c r="H326" s="11"/>
      <c r="I326" s="11"/>
      <c r="J326" s="11"/>
      <c r="K326" s="11"/>
      <c r="L326" s="11"/>
    </row>
    <row r="327" spans="1:12" s="15" customFormat="1" x14ac:dyDescent="0.35">
      <c r="A327" s="17"/>
      <c r="B327" s="17"/>
      <c r="C327" s="17"/>
      <c r="D327" s="11"/>
      <c r="E327" s="11"/>
      <c r="F327" s="11"/>
      <c r="G327" s="11"/>
      <c r="H327" s="11"/>
      <c r="I327" s="11"/>
      <c r="J327" s="11"/>
      <c r="K327" s="11"/>
      <c r="L327" s="11"/>
    </row>
    <row r="328" spans="1:12" s="15" customFormat="1" x14ac:dyDescent="0.35">
      <c r="A328" s="17"/>
      <c r="B328" s="17"/>
      <c r="C328" s="17"/>
      <c r="D328" s="11"/>
      <c r="E328" s="11"/>
      <c r="F328" s="11"/>
      <c r="G328" s="11"/>
      <c r="H328" s="11"/>
      <c r="I328" s="11"/>
      <c r="J328" s="11"/>
      <c r="K328" s="11"/>
      <c r="L328" s="11"/>
    </row>
    <row r="329" spans="1:12" s="15" customFormat="1" x14ac:dyDescent="0.35">
      <c r="A329" s="17"/>
      <c r="B329" s="17"/>
      <c r="C329" s="17"/>
      <c r="D329" s="11"/>
      <c r="E329" s="11"/>
      <c r="F329" s="11"/>
      <c r="G329" s="11"/>
      <c r="H329" s="11"/>
      <c r="I329" s="11"/>
      <c r="J329" s="11"/>
      <c r="K329" s="11"/>
      <c r="L329" s="11"/>
    </row>
    <row r="330" spans="1:12" x14ac:dyDescent="0.35">
      <c r="A330" s="14" t="s">
        <v>49</v>
      </c>
      <c r="B330" s="14" t="s">
        <v>33</v>
      </c>
      <c r="C330" s="14"/>
      <c r="D330" s="14" t="s">
        <v>31</v>
      </c>
      <c r="E330" s="14"/>
      <c r="F330" s="14"/>
      <c r="G330" s="14"/>
      <c r="H330" s="14"/>
      <c r="I330" s="14"/>
      <c r="J330" s="14"/>
      <c r="K330" s="14"/>
      <c r="L330" s="14"/>
    </row>
    <row r="331" spans="1:12" s="15" customFormat="1" x14ac:dyDescent="0.35">
      <c r="A331" s="17"/>
      <c r="B331" s="17"/>
      <c r="C331" s="16"/>
      <c r="D331" s="17"/>
      <c r="E331" s="11"/>
      <c r="F331" s="11"/>
      <c r="G331" s="11"/>
      <c r="H331" s="11"/>
      <c r="I331" s="11"/>
      <c r="J331" s="11"/>
      <c r="K331" s="11"/>
      <c r="L331" s="11"/>
    </row>
    <row r="332" spans="1:12" s="15" customFormat="1" x14ac:dyDescent="0.35">
      <c r="A332" s="17"/>
      <c r="B332" s="17"/>
      <c r="C332" s="16"/>
      <c r="D332" s="17"/>
      <c r="E332" s="11"/>
      <c r="F332" s="11"/>
      <c r="G332" s="11"/>
      <c r="H332" s="11"/>
      <c r="I332" s="11"/>
      <c r="J332" s="11"/>
      <c r="K332" s="11"/>
      <c r="L332" s="11"/>
    </row>
    <row r="333" spans="1:12" s="15" customFormat="1" x14ac:dyDescent="0.35">
      <c r="A333" s="17"/>
      <c r="B333" s="17"/>
      <c r="C333" s="16"/>
      <c r="D333" s="17"/>
      <c r="E333" s="11"/>
      <c r="F333" s="11"/>
      <c r="G333" s="11"/>
      <c r="H333" s="11"/>
      <c r="I333" s="11"/>
      <c r="J333" s="11"/>
      <c r="K333" s="11"/>
      <c r="L333" s="11"/>
    </row>
    <row r="334" spans="1:12" s="15" customFormat="1" x14ac:dyDescent="0.35">
      <c r="A334" s="17"/>
      <c r="B334" s="17"/>
      <c r="C334" s="16"/>
      <c r="D334" s="17"/>
      <c r="E334" s="11"/>
      <c r="F334" s="11"/>
      <c r="G334" s="11"/>
      <c r="H334" s="11"/>
      <c r="I334" s="11"/>
      <c r="J334" s="11"/>
      <c r="K334" s="11"/>
      <c r="L334" s="11"/>
    </row>
    <row r="335" spans="1:12" s="15" customFormat="1" x14ac:dyDescent="0.35">
      <c r="A335" s="17"/>
      <c r="B335" s="17"/>
      <c r="C335" s="16"/>
      <c r="D335" s="17"/>
      <c r="E335" s="11"/>
      <c r="F335" s="11"/>
      <c r="G335" s="11"/>
      <c r="H335" s="11"/>
      <c r="I335" s="11"/>
      <c r="J335" s="11"/>
      <c r="K335" s="11"/>
      <c r="L335" s="11"/>
    </row>
    <row r="336" spans="1:12" x14ac:dyDescent="0.35">
      <c r="A336" s="14" t="s">
        <v>48</v>
      </c>
      <c r="B336" s="14" t="s">
        <v>33</v>
      </c>
      <c r="C336" s="14" t="s">
        <v>47</v>
      </c>
      <c r="D336" s="14" t="s">
        <v>31</v>
      </c>
      <c r="E336" s="14" t="s">
        <v>44</v>
      </c>
      <c r="F336" s="14" t="s">
        <v>46</v>
      </c>
      <c r="G336" s="14"/>
      <c r="H336" s="14"/>
      <c r="I336" s="14"/>
      <c r="J336" s="14"/>
      <c r="K336" s="14"/>
      <c r="L336" s="14"/>
    </row>
    <row r="337" spans="1:12" s="15" customFormat="1" x14ac:dyDescent="0.35">
      <c r="A337" s="17"/>
      <c r="B337" s="17"/>
      <c r="C337" s="17"/>
      <c r="D337" s="85"/>
      <c r="E337" s="85"/>
      <c r="F337" s="84"/>
      <c r="G337" s="16"/>
      <c r="H337" s="16"/>
      <c r="I337" s="11"/>
      <c r="J337" s="11"/>
      <c r="K337" s="11"/>
      <c r="L337" s="11"/>
    </row>
    <row r="338" spans="1:12" s="15" customFormat="1" x14ac:dyDescent="0.35">
      <c r="A338" s="17"/>
      <c r="B338" s="17"/>
      <c r="C338" s="17"/>
      <c r="D338" s="85"/>
      <c r="E338" s="85"/>
      <c r="F338" s="84"/>
      <c r="G338" s="16"/>
      <c r="H338" s="16"/>
      <c r="I338" s="11"/>
      <c r="J338" s="11"/>
      <c r="K338" s="11"/>
      <c r="L338" s="11"/>
    </row>
    <row r="339" spans="1:12" s="15" customFormat="1" x14ac:dyDescent="0.35">
      <c r="A339" s="17"/>
      <c r="B339" s="17"/>
      <c r="C339" s="17"/>
      <c r="D339" s="85"/>
      <c r="E339" s="85"/>
      <c r="F339" s="84"/>
      <c r="G339" s="16"/>
      <c r="H339" s="16"/>
      <c r="I339" s="11"/>
      <c r="J339" s="11"/>
      <c r="K339" s="11"/>
      <c r="L339" s="11"/>
    </row>
    <row r="340" spans="1:12" s="15" customFormat="1" x14ac:dyDescent="0.35">
      <c r="A340" s="17"/>
      <c r="B340" s="17"/>
      <c r="C340" s="17"/>
      <c r="D340" s="85"/>
      <c r="E340" s="85"/>
      <c r="F340" s="84"/>
      <c r="G340" s="16"/>
      <c r="H340" s="16"/>
      <c r="I340" s="11"/>
      <c r="J340" s="11"/>
      <c r="K340" s="11"/>
      <c r="L340" s="11"/>
    </row>
    <row r="341" spans="1:12" s="15" customFormat="1" x14ac:dyDescent="0.35">
      <c r="A341" s="17"/>
      <c r="B341" s="17"/>
      <c r="C341" s="17"/>
      <c r="D341" s="85"/>
      <c r="E341" s="85"/>
      <c r="F341" s="84"/>
      <c r="G341" s="16"/>
      <c r="H341" s="16"/>
      <c r="I341" s="11"/>
      <c r="J341" s="11"/>
      <c r="K341" s="11"/>
      <c r="L341" s="11"/>
    </row>
    <row r="342" spans="1:12" x14ac:dyDescent="0.35">
      <c r="A342" s="14" t="s">
        <v>45</v>
      </c>
      <c r="B342" s="14" t="s">
        <v>33</v>
      </c>
      <c r="C342" s="14" t="s">
        <v>32</v>
      </c>
      <c r="D342" s="14" t="s">
        <v>31</v>
      </c>
      <c r="E342" s="14" t="s">
        <v>44</v>
      </c>
      <c r="F342" s="14"/>
      <c r="G342" s="14"/>
      <c r="H342" s="14"/>
      <c r="I342" s="14"/>
      <c r="J342" s="14"/>
      <c r="K342" s="14"/>
      <c r="L342" s="14"/>
    </row>
    <row r="343" spans="1:12" x14ac:dyDescent="0.35">
      <c r="A343" s="18"/>
      <c r="B343" s="18"/>
      <c r="C343" s="18"/>
      <c r="D343" s="18"/>
      <c r="E343" s="18"/>
      <c r="F343" s="12"/>
      <c r="G343" s="12"/>
      <c r="H343" s="12"/>
      <c r="I343" s="12"/>
      <c r="J343" s="12"/>
      <c r="K343" s="12"/>
      <c r="L343" s="12"/>
    </row>
    <row r="344" spans="1:12" x14ac:dyDescent="0.35">
      <c r="A344" s="18"/>
      <c r="B344" s="18"/>
      <c r="C344" s="18"/>
      <c r="D344" s="18"/>
      <c r="E344" s="18"/>
      <c r="F344" s="12"/>
      <c r="G344" s="12"/>
      <c r="H344" s="12"/>
      <c r="I344" s="12"/>
      <c r="J344" s="12"/>
      <c r="K344" s="12"/>
      <c r="L344" s="12"/>
    </row>
    <row r="345" spans="1:12" x14ac:dyDescent="0.35">
      <c r="A345" s="18"/>
      <c r="B345" s="18"/>
      <c r="C345" s="18"/>
      <c r="D345" s="18"/>
      <c r="E345" s="18"/>
      <c r="F345" s="12"/>
      <c r="G345" s="12"/>
      <c r="H345" s="12"/>
      <c r="I345" s="12"/>
      <c r="J345" s="12"/>
      <c r="K345" s="12"/>
      <c r="L345" s="12"/>
    </row>
    <row r="346" spans="1:12" x14ac:dyDescent="0.35">
      <c r="A346" s="18"/>
      <c r="B346" s="18"/>
      <c r="C346" s="18"/>
      <c r="D346" s="18"/>
      <c r="E346" s="18"/>
      <c r="F346" s="12"/>
      <c r="G346" s="12"/>
      <c r="H346" s="12"/>
      <c r="I346" s="12"/>
      <c r="J346" s="12"/>
      <c r="K346" s="12"/>
      <c r="L346" s="12"/>
    </row>
    <row r="347" spans="1:12" x14ac:dyDescent="0.35">
      <c r="A347" s="18"/>
      <c r="B347" s="18"/>
      <c r="C347" s="18"/>
      <c r="D347" s="18"/>
      <c r="E347" s="18"/>
      <c r="F347" s="12"/>
      <c r="G347" s="12"/>
      <c r="H347" s="12"/>
      <c r="I347" s="12"/>
      <c r="J347" s="12"/>
      <c r="K347" s="12"/>
      <c r="L347" s="12"/>
    </row>
    <row r="348" spans="1:12" x14ac:dyDescent="0.35">
      <c r="A348" s="14" t="s">
        <v>43</v>
      </c>
      <c r="B348" s="14" t="s">
        <v>33</v>
      </c>
      <c r="C348" s="14" t="s">
        <v>32</v>
      </c>
      <c r="D348" s="14" t="s">
        <v>31</v>
      </c>
      <c r="E348" s="14" t="s">
        <v>42</v>
      </c>
      <c r="F348" s="14" t="s">
        <v>39</v>
      </c>
      <c r="G348" s="14" t="s">
        <v>38</v>
      </c>
      <c r="H348" s="14"/>
      <c r="I348" s="14"/>
      <c r="J348" s="14"/>
      <c r="K348" s="14"/>
      <c r="L348" s="14"/>
    </row>
    <row r="349" spans="1:12" s="15" customFormat="1" x14ac:dyDescent="0.35">
      <c r="A349" s="17"/>
      <c r="B349" s="17"/>
      <c r="C349" s="17"/>
      <c r="D349" s="85"/>
      <c r="E349" s="85"/>
      <c r="F349" s="85"/>
      <c r="G349" s="85"/>
      <c r="H349" s="11"/>
      <c r="I349" s="11"/>
      <c r="J349" s="11"/>
      <c r="K349" s="11"/>
      <c r="L349" s="11"/>
    </row>
    <row r="350" spans="1:12" s="15" customFormat="1" x14ac:dyDescent="0.35">
      <c r="A350" s="17"/>
      <c r="B350" s="17"/>
      <c r="C350" s="17"/>
      <c r="D350" s="85"/>
      <c r="E350" s="85"/>
      <c r="F350" s="85"/>
      <c r="G350" s="85"/>
      <c r="H350" s="11"/>
      <c r="I350" s="11"/>
      <c r="J350" s="11"/>
      <c r="K350" s="11"/>
      <c r="L350" s="11"/>
    </row>
    <row r="351" spans="1:12" s="15" customFormat="1" x14ac:dyDescent="0.35">
      <c r="A351" s="17"/>
      <c r="B351" s="17"/>
      <c r="C351" s="17"/>
      <c r="D351" s="85"/>
      <c r="E351" s="85"/>
      <c r="F351" s="85"/>
      <c r="G351" s="85"/>
      <c r="H351" s="11"/>
      <c r="I351" s="11"/>
      <c r="J351" s="11"/>
      <c r="K351" s="11"/>
      <c r="L351" s="11"/>
    </row>
    <row r="352" spans="1:12" s="15" customFormat="1" x14ac:dyDescent="0.35">
      <c r="A352" s="17"/>
      <c r="B352" s="17"/>
      <c r="C352" s="17"/>
      <c r="D352" s="85"/>
      <c r="E352" s="85"/>
      <c r="F352" s="85"/>
      <c r="G352" s="85"/>
      <c r="H352" s="11"/>
      <c r="I352" s="11"/>
      <c r="J352" s="11"/>
      <c r="K352" s="11"/>
      <c r="L352" s="11"/>
    </row>
    <row r="353" spans="1:12" s="15" customFormat="1" x14ac:dyDescent="0.35">
      <c r="A353" s="17"/>
      <c r="B353" s="17"/>
      <c r="C353" s="17"/>
      <c r="D353" s="85"/>
      <c r="E353" s="85"/>
      <c r="F353" s="85"/>
      <c r="G353" s="85"/>
      <c r="H353" s="11"/>
      <c r="I353" s="11"/>
      <c r="J353" s="11"/>
      <c r="K353" s="11"/>
      <c r="L353" s="11"/>
    </row>
    <row r="354" spans="1:12" customFormat="1" x14ac:dyDescent="0.35">
      <c r="A354" s="60" t="s">
        <v>158</v>
      </c>
      <c r="B354" s="60" t="s">
        <v>33</v>
      </c>
      <c r="C354" s="60" t="s">
        <v>32</v>
      </c>
      <c r="D354" s="60" t="s">
        <v>31</v>
      </c>
      <c r="E354" s="60" t="s">
        <v>30</v>
      </c>
      <c r="F354" s="60" t="s">
        <v>159</v>
      </c>
      <c r="G354" s="60" t="s">
        <v>39</v>
      </c>
      <c r="H354" s="60" t="s">
        <v>38</v>
      </c>
      <c r="I354" s="14"/>
      <c r="J354" s="14"/>
      <c r="K354" s="14"/>
      <c r="L354" s="14"/>
    </row>
    <row r="355" spans="1:12" customFormat="1" x14ac:dyDescent="0.35">
      <c r="A355" s="86"/>
      <c r="B355" s="86"/>
      <c r="C355" s="86"/>
      <c r="D355" s="86"/>
      <c r="E355" s="86"/>
      <c r="F355" s="86"/>
      <c r="G355" s="86"/>
      <c r="H355" s="86"/>
      <c r="I355" s="11"/>
      <c r="J355" s="11"/>
      <c r="K355" s="11"/>
      <c r="L355" s="11"/>
    </row>
    <row r="356" spans="1:12" customFormat="1" x14ac:dyDescent="0.35">
      <c r="A356" s="86"/>
      <c r="B356" s="86"/>
      <c r="C356" s="86"/>
      <c r="D356" s="86"/>
      <c r="E356" s="86"/>
      <c r="F356" s="86"/>
      <c r="G356" s="86"/>
      <c r="H356" s="86"/>
      <c r="I356" s="11"/>
      <c r="J356" s="11"/>
      <c r="K356" s="11"/>
      <c r="L356" s="11"/>
    </row>
    <row r="357" spans="1:12" customFormat="1" x14ac:dyDescent="0.35">
      <c r="A357" s="86"/>
      <c r="B357" s="86"/>
      <c r="C357" s="86"/>
      <c r="D357" s="86"/>
      <c r="E357" s="86"/>
      <c r="F357" s="86"/>
      <c r="G357" s="86"/>
      <c r="H357" s="86"/>
      <c r="I357" s="11"/>
      <c r="J357" s="11"/>
      <c r="K357" s="11"/>
      <c r="L357" s="11"/>
    </row>
    <row r="358" spans="1:12" customFormat="1" x14ac:dyDescent="0.35">
      <c r="A358" s="86"/>
      <c r="B358" s="86"/>
      <c r="C358" s="86"/>
      <c r="D358" s="86"/>
      <c r="E358" s="86"/>
      <c r="F358" s="86"/>
      <c r="G358" s="86"/>
      <c r="H358" s="86"/>
      <c r="I358" s="11"/>
      <c r="J358" s="11"/>
      <c r="K358" s="11"/>
      <c r="L358" s="11"/>
    </row>
    <row r="359" spans="1:12" customFormat="1" x14ac:dyDescent="0.35">
      <c r="A359" s="86"/>
      <c r="B359" s="86"/>
      <c r="C359" s="86"/>
      <c r="D359" s="86"/>
      <c r="E359" s="86"/>
      <c r="F359" s="86"/>
      <c r="G359" s="86"/>
      <c r="H359" s="86"/>
      <c r="I359" s="11"/>
      <c r="J359" s="11"/>
      <c r="K359" s="11"/>
      <c r="L359" s="11"/>
    </row>
    <row r="360" spans="1:12" x14ac:dyDescent="0.35">
      <c r="A360" s="14" t="s">
        <v>41</v>
      </c>
      <c r="B360" s="14" t="s">
        <v>33</v>
      </c>
      <c r="C360" s="14" t="s">
        <v>32</v>
      </c>
      <c r="D360" s="14" t="s">
        <v>31</v>
      </c>
      <c r="E360" s="14" t="s">
        <v>40</v>
      </c>
      <c r="F360" s="14" t="s">
        <v>39</v>
      </c>
      <c r="G360" s="14" t="s">
        <v>38</v>
      </c>
      <c r="H360" s="14"/>
      <c r="I360" s="14"/>
      <c r="J360" s="14"/>
      <c r="K360" s="14"/>
      <c r="L360" s="14"/>
    </row>
    <row r="361" spans="1:12" s="15" customFormat="1" x14ac:dyDescent="0.35">
      <c r="A361" s="17"/>
      <c r="B361" s="17"/>
      <c r="C361" s="17"/>
      <c r="D361" s="85"/>
      <c r="E361" s="85"/>
      <c r="F361" s="85"/>
      <c r="G361" s="85"/>
      <c r="H361" s="11"/>
      <c r="I361" s="11"/>
      <c r="J361" s="11"/>
      <c r="K361" s="11"/>
      <c r="L361" s="11"/>
    </row>
    <row r="362" spans="1:12" s="15" customFormat="1" x14ac:dyDescent="0.35">
      <c r="A362" s="17"/>
      <c r="B362" s="17"/>
      <c r="C362" s="17"/>
      <c r="D362" s="85"/>
      <c r="E362" s="85"/>
      <c r="F362" s="85"/>
      <c r="G362" s="85"/>
      <c r="H362" s="11"/>
      <c r="I362" s="11"/>
      <c r="J362" s="11"/>
      <c r="K362" s="11"/>
      <c r="L362" s="11"/>
    </row>
    <row r="363" spans="1:12" s="15" customFormat="1" x14ac:dyDescent="0.35">
      <c r="A363" s="17"/>
      <c r="B363" s="17"/>
      <c r="C363" s="17"/>
      <c r="D363" s="85"/>
      <c r="E363" s="85"/>
      <c r="F363" s="85"/>
      <c r="G363" s="85"/>
      <c r="H363" s="11"/>
      <c r="I363" s="11"/>
      <c r="J363" s="11"/>
      <c r="K363" s="11"/>
      <c r="L363" s="11"/>
    </row>
    <row r="364" spans="1:12" s="15" customFormat="1" x14ac:dyDescent="0.35">
      <c r="A364" s="17"/>
      <c r="B364" s="17"/>
      <c r="C364" s="17"/>
      <c r="D364" s="85"/>
      <c r="E364" s="85"/>
      <c r="F364" s="85"/>
      <c r="G364" s="85"/>
      <c r="H364" s="11"/>
      <c r="I364" s="11"/>
      <c r="J364" s="11"/>
      <c r="K364" s="11"/>
      <c r="L364" s="11"/>
    </row>
    <row r="365" spans="1:12" s="15" customFormat="1" x14ac:dyDescent="0.35">
      <c r="A365" s="17"/>
      <c r="B365" s="17"/>
      <c r="C365" s="17"/>
      <c r="D365" s="85"/>
      <c r="E365" s="85"/>
      <c r="F365" s="85"/>
      <c r="G365" s="85"/>
      <c r="H365" s="11"/>
      <c r="I365" s="11"/>
      <c r="J365" s="11"/>
      <c r="K365" s="11"/>
      <c r="L365" s="11"/>
    </row>
    <row r="366" spans="1:12" x14ac:dyDescent="0.35">
      <c r="A366" s="14" t="s">
        <v>37</v>
      </c>
      <c r="B366" s="14" t="s">
        <v>33</v>
      </c>
      <c r="C366" s="14" t="s">
        <v>35</v>
      </c>
      <c r="D366" s="14" t="s">
        <v>31</v>
      </c>
      <c r="E366" s="14"/>
      <c r="F366" s="14"/>
      <c r="G366" s="14"/>
      <c r="H366" s="14"/>
      <c r="I366" s="14"/>
      <c r="J366" s="14"/>
      <c r="K366" s="14"/>
      <c r="L366" s="14"/>
    </row>
    <row r="367" spans="1:12" s="15" customFormat="1" x14ac:dyDescent="0.35">
      <c r="A367" s="17"/>
      <c r="B367" s="17"/>
      <c r="C367" s="17"/>
      <c r="D367" s="85"/>
      <c r="E367" s="16"/>
      <c r="F367" s="16"/>
      <c r="G367" s="16"/>
      <c r="H367" s="16"/>
      <c r="I367" s="11"/>
      <c r="J367" s="11"/>
      <c r="K367" s="11"/>
      <c r="L367" s="11"/>
    </row>
    <row r="368" spans="1:12" s="15" customFormat="1" x14ac:dyDescent="0.35">
      <c r="A368" s="17"/>
      <c r="B368" s="17"/>
      <c r="C368" s="17"/>
      <c r="D368" s="85"/>
      <c r="E368" s="16"/>
      <c r="F368" s="16"/>
      <c r="G368" s="16"/>
      <c r="H368" s="16"/>
      <c r="I368" s="11"/>
      <c r="J368" s="11"/>
      <c r="K368" s="11"/>
      <c r="L368" s="11"/>
    </row>
    <row r="369" spans="1:12" s="15" customFormat="1" x14ac:dyDescent="0.35">
      <c r="A369" s="17"/>
      <c r="B369" s="17"/>
      <c r="C369" s="17"/>
      <c r="D369" s="85"/>
      <c r="E369" s="16"/>
      <c r="F369" s="16"/>
      <c r="G369" s="16"/>
      <c r="H369" s="16"/>
      <c r="I369" s="11"/>
      <c r="J369" s="11"/>
      <c r="K369" s="11"/>
      <c r="L369" s="11"/>
    </row>
    <row r="370" spans="1:12" s="15" customFormat="1" x14ac:dyDescent="0.35">
      <c r="A370" s="17"/>
      <c r="B370" s="17"/>
      <c r="C370" s="17"/>
      <c r="D370" s="85"/>
      <c r="E370" s="16"/>
      <c r="F370" s="16"/>
      <c r="G370" s="16"/>
      <c r="H370" s="16"/>
      <c r="I370" s="11"/>
      <c r="J370" s="11"/>
      <c r="K370" s="11"/>
      <c r="L370" s="11"/>
    </row>
    <row r="371" spans="1:12" s="15" customFormat="1" x14ac:dyDescent="0.35">
      <c r="A371" s="17"/>
      <c r="B371" s="17"/>
      <c r="C371" s="17"/>
      <c r="D371" s="85"/>
      <c r="E371" s="16"/>
      <c r="F371" s="16"/>
      <c r="G371" s="16"/>
      <c r="H371" s="16"/>
      <c r="I371" s="11"/>
      <c r="J371" s="11"/>
      <c r="K371" s="11"/>
      <c r="L371" s="11"/>
    </row>
    <row r="372" spans="1:12" x14ac:dyDescent="0.35">
      <c r="A372" s="14" t="s">
        <v>36</v>
      </c>
      <c r="B372" s="14" t="s">
        <v>33</v>
      </c>
      <c r="C372" s="14" t="s">
        <v>35</v>
      </c>
      <c r="D372" s="14" t="s">
        <v>31</v>
      </c>
      <c r="E372" s="14"/>
      <c r="F372" s="14"/>
      <c r="G372" s="14"/>
      <c r="H372" s="14"/>
      <c r="I372" s="14"/>
      <c r="J372" s="14"/>
      <c r="K372" s="14"/>
      <c r="L372" s="14"/>
    </row>
    <row r="373" spans="1:12" s="15" customFormat="1" x14ac:dyDescent="0.35">
      <c r="A373" s="17"/>
      <c r="B373" s="17"/>
      <c r="C373" s="17"/>
      <c r="D373" s="85"/>
      <c r="E373" s="16"/>
      <c r="F373" s="16"/>
      <c r="G373" s="16"/>
      <c r="H373" s="16"/>
      <c r="I373" s="11"/>
      <c r="J373" s="11"/>
      <c r="K373" s="11"/>
      <c r="L373" s="11"/>
    </row>
    <row r="374" spans="1:12" s="15" customFormat="1" x14ac:dyDescent="0.35">
      <c r="A374" s="17"/>
      <c r="B374" s="17"/>
      <c r="C374" s="17"/>
      <c r="D374" s="85"/>
      <c r="E374" s="16"/>
      <c r="F374" s="16"/>
      <c r="G374" s="16"/>
      <c r="H374" s="16"/>
      <c r="I374" s="11"/>
      <c r="J374" s="11"/>
      <c r="K374" s="11"/>
      <c r="L374" s="11"/>
    </row>
    <row r="375" spans="1:12" s="15" customFormat="1" x14ac:dyDescent="0.35">
      <c r="A375" s="17"/>
      <c r="B375" s="17"/>
      <c r="C375" s="17"/>
      <c r="D375" s="85"/>
      <c r="E375" s="16"/>
      <c r="F375" s="16"/>
      <c r="G375" s="16"/>
      <c r="H375" s="16"/>
      <c r="I375" s="11"/>
      <c r="J375" s="11"/>
      <c r="K375" s="11"/>
      <c r="L375" s="11"/>
    </row>
    <row r="376" spans="1:12" s="15" customFormat="1" x14ac:dyDescent="0.35">
      <c r="A376" s="17"/>
      <c r="B376" s="17"/>
      <c r="C376" s="17"/>
      <c r="D376" s="85"/>
      <c r="E376" s="16"/>
      <c r="F376" s="16"/>
      <c r="G376" s="16"/>
      <c r="H376" s="16"/>
      <c r="I376" s="11"/>
      <c r="J376" s="11"/>
      <c r="K376" s="11"/>
      <c r="L376" s="11"/>
    </row>
    <row r="377" spans="1:12" s="15" customFormat="1" x14ac:dyDescent="0.35">
      <c r="A377" s="17"/>
      <c r="B377" s="17"/>
      <c r="C377" s="17"/>
      <c r="D377" s="85"/>
      <c r="E377" s="16"/>
      <c r="F377" s="16"/>
      <c r="G377" s="16"/>
      <c r="H377" s="16"/>
      <c r="I377" s="11"/>
      <c r="J377" s="11"/>
      <c r="K377" s="11"/>
      <c r="L377" s="11"/>
    </row>
    <row r="378" spans="1:12" x14ac:dyDescent="0.35">
      <c r="A378" s="14" t="s">
        <v>34</v>
      </c>
      <c r="B378" s="14" t="s">
        <v>33</v>
      </c>
      <c r="C378" s="14" t="s">
        <v>32</v>
      </c>
      <c r="D378" s="14" t="s">
        <v>31</v>
      </c>
      <c r="E378" s="14" t="s">
        <v>30</v>
      </c>
      <c r="F378" s="14"/>
      <c r="G378" s="14"/>
      <c r="H378" s="14"/>
      <c r="I378" s="14"/>
      <c r="J378" s="14"/>
      <c r="K378" s="14"/>
      <c r="L378" s="14"/>
    </row>
    <row r="379" spans="1:12" s="15" customFormat="1" x14ac:dyDescent="0.35">
      <c r="A379" s="17"/>
      <c r="B379" s="17"/>
      <c r="C379" s="17"/>
      <c r="D379" s="85"/>
      <c r="E379" s="85"/>
      <c r="F379" s="16"/>
      <c r="G379" s="16"/>
      <c r="H379" s="16"/>
      <c r="I379" s="11"/>
      <c r="J379" s="11"/>
      <c r="K379" s="11"/>
      <c r="L379" s="11"/>
    </row>
    <row r="380" spans="1:12" s="15" customFormat="1" x14ac:dyDescent="0.35">
      <c r="A380" s="17"/>
      <c r="B380" s="17"/>
      <c r="C380" s="17"/>
      <c r="D380" s="85"/>
      <c r="E380" s="85"/>
      <c r="F380" s="16"/>
      <c r="G380" s="16"/>
      <c r="H380" s="16"/>
      <c r="I380" s="11"/>
      <c r="J380" s="11"/>
      <c r="K380" s="11"/>
      <c r="L380" s="11"/>
    </row>
    <row r="381" spans="1:12" s="15" customFormat="1" x14ac:dyDescent="0.35">
      <c r="A381" s="17"/>
      <c r="B381" s="17"/>
      <c r="C381" s="17"/>
      <c r="D381" s="85"/>
      <c r="E381" s="85"/>
      <c r="F381" s="16"/>
      <c r="G381" s="16"/>
      <c r="H381" s="16"/>
      <c r="I381" s="11"/>
      <c r="J381" s="11"/>
      <c r="K381" s="11"/>
      <c r="L381" s="11"/>
    </row>
    <row r="382" spans="1:12" s="15" customFormat="1" x14ac:dyDescent="0.35">
      <c r="A382" s="17"/>
      <c r="B382" s="17"/>
      <c r="C382" s="17"/>
      <c r="D382" s="85"/>
      <c r="E382" s="85"/>
      <c r="F382" s="16"/>
      <c r="G382" s="16"/>
      <c r="H382" s="16"/>
      <c r="I382" s="11"/>
      <c r="J382" s="11"/>
      <c r="K382" s="11"/>
      <c r="L382" s="11"/>
    </row>
    <row r="383" spans="1:12" s="15" customFormat="1" x14ac:dyDescent="0.35">
      <c r="A383" s="17"/>
      <c r="B383" s="17"/>
      <c r="C383" s="17"/>
      <c r="D383" s="85"/>
      <c r="E383" s="85"/>
      <c r="F383" s="16"/>
      <c r="G383" s="16"/>
      <c r="H383" s="16"/>
      <c r="I383" s="11"/>
      <c r="J383" s="11"/>
      <c r="K383" s="11"/>
      <c r="L383" s="11"/>
    </row>
    <row r="384" spans="1:12" x14ac:dyDescent="0.35">
      <c r="A384" s="14" t="s">
        <v>29</v>
      </c>
      <c r="B384" s="14" t="s">
        <v>28</v>
      </c>
      <c r="C384" s="14"/>
      <c r="D384" s="14"/>
      <c r="E384" s="14"/>
      <c r="F384" s="14"/>
      <c r="G384" s="14"/>
      <c r="H384" s="14"/>
      <c r="I384" s="14"/>
      <c r="J384" s="14"/>
      <c r="K384" s="14"/>
      <c r="L384" s="14"/>
    </row>
    <row r="385" spans="1:12" x14ac:dyDescent="0.35">
      <c r="A385" s="13" t="s">
        <v>27</v>
      </c>
      <c r="B385" s="13" t="s">
        <v>26</v>
      </c>
      <c r="C385" s="12"/>
      <c r="D385" s="11"/>
      <c r="E385" s="11"/>
      <c r="F385" s="11"/>
      <c r="G385" s="11"/>
      <c r="H385" s="11"/>
      <c r="I385" s="11"/>
      <c r="J385" s="11"/>
      <c r="K385" s="11"/>
      <c r="L385" s="11"/>
    </row>
    <row r="386" spans="1:12" x14ac:dyDescent="0.35">
      <c r="A386" s="14" t="s">
        <v>25</v>
      </c>
      <c r="B386" s="14"/>
      <c r="C386" s="14"/>
      <c r="D386" s="14"/>
      <c r="E386" s="14"/>
      <c r="F386" s="14"/>
      <c r="G386" s="14"/>
      <c r="H386" s="14"/>
      <c r="I386" s="14"/>
      <c r="J386" s="14"/>
      <c r="K386" s="14"/>
      <c r="L386" s="14"/>
    </row>
    <row r="387" spans="1:12" x14ac:dyDescent="0.35">
      <c r="A387" s="13" t="s">
        <v>23</v>
      </c>
      <c r="B387" s="12"/>
      <c r="C387" s="12"/>
      <c r="D387" s="11"/>
      <c r="E387" s="11"/>
      <c r="F387" s="11"/>
      <c r="G387" s="11"/>
      <c r="H387" s="11"/>
      <c r="I387" s="11"/>
      <c r="J387" s="11"/>
      <c r="K387" s="11"/>
      <c r="L387" s="11"/>
    </row>
    <row r="388" spans="1:12" x14ac:dyDescent="0.35">
      <c r="A388" s="14" t="s">
        <v>24</v>
      </c>
      <c r="B388" s="14"/>
      <c r="C388" s="14"/>
      <c r="D388" s="14"/>
      <c r="E388" s="14"/>
      <c r="F388" s="14"/>
      <c r="G388" s="14"/>
      <c r="H388" s="14"/>
      <c r="I388" s="14"/>
      <c r="J388" s="14"/>
      <c r="K388" s="14"/>
      <c r="L388" s="14"/>
    </row>
    <row r="389" spans="1:12" x14ac:dyDescent="0.35">
      <c r="A389" s="13" t="s">
        <v>23</v>
      </c>
      <c r="B389" s="12"/>
      <c r="C389" s="12"/>
      <c r="D389" s="11"/>
      <c r="E389" s="11"/>
      <c r="F389" s="11"/>
      <c r="G389" s="11"/>
      <c r="H389" s="11"/>
      <c r="I389" s="11"/>
      <c r="J389" s="11"/>
      <c r="K389" s="11"/>
      <c r="L389"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14</v>
      </c>
      <c r="C2" t="s">
        <v>13</v>
      </c>
      <c r="D2" t="s">
        <v>67</v>
      </c>
      <c r="E2" s="7" t="s">
        <v>215</v>
      </c>
    </row>
    <row r="3" spans="2:5" x14ac:dyDescent="0.35">
      <c r="B3" t="s">
        <v>15</v>
      </c>
      <c r="C3" t="s">
        <v>16</v>
      </c>
      <c r="D3" t="s">
        <v>68</v>
      </c>
      <c r="E3" t="s">
        <v>16</v>
      </c>
    </row>
    <row r="4" spans="2:5" x14ac:dyDescent="0.35">
      <c r="B4" t="s">
        <v>17</v>
      </c>
      <c r="C4" t="s">
        <v>22</v>
      </c>
      <c r="D4" t="s">
        <v>107</v>
      </c>
      <c r="E4" t="s">
        <v>22</v>
      </c>
    </row>
    <row r="5" spans="2:5" x14ac:dyDescent="0.35">
      <c r="C5" t="s">
        <v>104</v>
      </c>
      <c r="D5" t="s">
        <v>106</v>
      </c>
      <c r="E5" t="s">
        <v>104</v>
      </c>
    </row>
    <row r="6" spans="2:5" x14ac:dyDescent="0.35">
      <c r="C6" t="s">
        <v>105</v>
      </c>
      <c r="E6" t="s">
        <v>105</v>
      </c>
    </row>
    <row r="7" spans="2:5" x14ac:dyDescent="0.35">
      <c r="C7" t="s">
        <v>103</v>
      </c>
      <c r="E7" t="s">
        <v>103</v>
      </c>
    </row>
    <row r="8" spans="2:5" x14ac:dyDescent="0.35">
      <c r="C8" t="s">
        <v>62</v>
      </c>
      <c r="E8" t="s">
        <v>62</v>
      </c>
    </row>
    <row r="9" spans="2:5" x14ac:dyDescent="0.35">
      <c r="C9" t="s">
        <v>120</v>
      </c>
      <c r="E9" t="s">
        <v>120</v>
      </c>
    </row>
    <row r="10" spans="2:5" x14ac:dyDescent="0.35">
      <c r="C10" t="s">
        <v>63</v>
      </c>
      <c r="E10" t="s">
        <v>214</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114</v>
      </c>
      <c r="B1" s="50" t="s">
        <v>115</v>
      </c>
      <c r="C1" s="48" t="s">
        <v>116</v>
      </c>
      <c r="D1" s="48" t="s">
        <v>118</v>
      </c>
    </row>
    <row r="2" spans="1:4" x14ac:dyDescent="0.35">
      <c r="A2" t="s">
        <v>112</v>
      </c>
      <c r="B2" s="49">
        <v>42691</v>
      </c>
      <c r="C2" t="s">
        <v>117</v>
      </c>
      <c r="D2" t="s">
        <v>119</v>
      </c>
    </row>
    <row r="3" spans="1:4" ht="29" x14ac:dyDescent="0.35">
      <c r="A3" t="s">
        <v>113</v>
      </c>
      <c r="B3" s="49">
        <v>42692</v>
      </c>
      <c r="C3" t="s">
        <v>117</v>
      </c>
      <c r="D3" s="7" t="s">
        <v>121</v>
      </c>
    </row>
    <row r="4" spans="1:4" x14ac:dyDescent="0.35">
      <c r="A4" t="s">
        <v>122</v>
      </c>
      <c r="B4" s="49">
        <v>42711</v>
      </c>
      <c r="C4" t="s">
        <v>117</v>
      </c>
      <c r="D4" t="s">
        <v>123</v>
      </c>
    </row>
    <row r="5" spans="1:4" ht="58" x14ac:dyDescent="0.35">
      <c r="A5" t="s">
        <v>124</v>
      </c>
      <c r="B5" s="49">
        <v>42760</v>
      </c>
      <c r="C5" t="s">
        <v>117</v>
      </c>
      <c r="D5" s="7" t="s">
        <v>125</v>
      </c>
    </row>
    <row r="6" spans="1:4" ht="87" x14ac:dyDescent="0.35">
      <c r="A6" t="s">
        <v>127</v>
      </c>
      <c r="B6" s="49">
        <v>42927</v>
      </c>
      <c r="C6" t="s">
        <v>117</v>
      </c>
      <c r="D6" s="7" t="s">
        <v>132</v>
      </c>
    </row>
    <row r="7" spans="1:4" ht="101.5" x14ac:dyDescent="0.35">
      <c r="A7" t="s">
        <v>133</v>
      </c>
      <c r="B7" s="49">
        <v>42936</v>
      </c>
      <c r="C7" t="s">
        <v>117</v>
      </c>
      <c r="D7" s="7" t="s">
        <v>137</v>
      </c>
    </row>
    <row r="8" spans="1:4" x14ac:dyDescent="0.35">
      <c r="A8" t="s">
        <v>138</v>
      </c>
      <c r="B8" s="49">
        <v>43076</v>
      </c>
      <c r="C8" t="s">
        <v>117</v>
      </c>
      <c r="D8" t="s">
        <v>140</v>
      </c>
    </row>
    <row r="9" spans="1:4" ht="29" x14ac:dyDescent="0.35">
      <c r="A9" t="s">
        <v>142</v>
      </c>
      <c r="B9" s="49">
        <v>43117</v>
      </c>
      <c r="C9" t="s">
        <v>117</v>
      </c>
      <c r="D9" s="7" t="s">
        <v>143</v>
      </c>
    </row>
    <row r="10" spans="1:4" ht="58" x14ac:dyDescent="0.35">
      <c r="A10" t="s">
        <v>144</v>
      </c>
      <c r="B10" s="49">
        <v>43348</v>
      </c>
      <c r="C10" t="s">
        <v>117</v>
      </c>
      <c r="D10" s="7" t="s">
        <v>149</v>
      </c>
    </row>
    <row r="11" spans="1:4" ht="72.5" x14ac:dyDescent="0.35">
      <c r="A11" t="s">
        <v>150</v>
      </c>
      <c r="B11" s="49">
        <v>43409</v>
      </c>
      <c r="C11" t="s">
        <v>117</v>
      </c>
      <c r="D11" s="7" t="s">
        <v>160</v>
      </c>
    </row>
    <row r="12" spans="1:4" x14ac:dyDescent="0.35">
      <c r="A12" t="s">
        <v>161</v>
      </c>
      <c r="B12" s="49">
        <v>43669</v>
      </c>
      <c r="C12" t="s">
        <v>117</v>
      </c>
      <c r="D12" s="7" t="s">
        <v>163</v>
      </c>
    </row>
    <row r="13" spans="1:4" ht="72.5" x14ac:dyDescent="0.35">
      <c r="A13" t="s">
        <v>164</v>
      </c>
      <c r="B13" s="49">
        <v>43846</v>
      </c>
      <c r="C13" t="s">
        <v>117</v>
      </c>
      <c r="D13" s="7" t="s">
        <v>181</v>
      </c>
    </row>
    <row r="14" spans="1:4" ht="116" x14ac:dyDescent="0.35">
      <c r="A14" t="s">
        <v>207</v>
      </c>
      <c r="B14" s="49">
        <v>43991</v>
      </c>
      <c r="C14" t="s">
        <v>117</v>
      </c>
      <c r="D14" s="7" t="s">
        <v>212</v>
      </c>
    </row>
    <row r="15" spans="1:4" ht="174" x14ac:dyDescent="0.35">
      <c r="A15" t="s">
        <v>217</v>
      </c>
      <c r="B15" s="49">
        <v>45296</v>
      </c>
      <c r="C15" t="s">
        <v>117</v>
      </c>
      <c r="D15" s="7" t="s">
        <v>240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2024-10-15T13:53:12Z</dcterms:modified>
</cp:coreProperties>
</file>