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BD8BABF5-486C-4255-8327-D79B2AF79A39}"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0" l="1"/>
  <c r="D16" i="9" l="1"/>
  <c r="C16" i="9"/>
  <c r="CM42" i="2"/>
  <c r="CJ42" i="2"/>
  <c r="CM41" i="2"/>
  <c r="CJ41" i="2"/>
  <c r="CN40" i="2"/>
  <c r="CM40" i="2"/>
  <c r="CJ40" i="2"/>
  <c r="CN39" i="2"/>
  <c r="CM39" i="2"/>
  <c r="CJ39" i="2"/>
  <c r="CN38" i="2"/>
  <c r="CM38" i="2"/>
  <c r="CJ38" i="2"/>
  <c r="CN37" i="2"/>
  <c r="CM37" i="2"/>
  <c r="CJ37" i="2"/>
  <c r="CN36" i="2"/>
  <c r="CM36" i="2"/>
  <c r="CJ36" i="2"/>
  <c r="CM35" i="2"/>
  <c r="CJ35" i="2"/>
  <c r="CM34" i="2"/>
  <c r="CJ34" i="2"/>
  <c r="CM33" i="2"/>
  <c r="CJ33" i="2"/>
  <c r="CM32" i="2"/>
  <c r="CJ32" i="2"/>
  <c r="CM31" i="2"/>
  <c r="CJ31" i="2"/>
  <c r="CM30" i="2"/>
  <c r="CJ30" i="2"/>
  <c r="CM29" i="2"/>
  <c r="CJ29" i="2"/>
  <c r="CM28" i="2"/>
  <c r="CJ28" i="2"/>
  <c r="CM27" i="2"/>
  <c r="CJ27" i="2"/>
  <c r="CN26" i="2"/>
  <c r="CM26" i="2"/>
  <c r="CJ26" i="2"/>
  <c r="CJ25" i="2"/>
  <c r="CJ24" i="2"/>
  <c r="BD42" i="2"/>
  <c r="BD41" i="2"/>
  <c r="BD40" i="2"/>
  <c r="BD39" i="2"/>
  <c r="BD38" i="2"/>
  <c r="BD37" i="2"/>
  <c r="BD36" i="2"/>
  <c r="BD35" i="2"/>
  <c r="BD34" i="2"/>
  <c r="BD33" i="2"/>
  <c r="BD32" i="2"/>
  <c r="BD31" i="2"/>
  <c r="BD30" i="2"/>
  <c r="BD29" i="2"/>
  <c r="BD28" i="2"/>
  <c r="BD27" i="2"/>
  <c r="BD26" i="2"/>
  <c r="BD25" i="2"/>
  <c r="BD24" i="2"/>
  <c r="BD23" i="2"/>
  <c r="BD22" i="2"/>
  <c r="BD21" i="2"/>
  <c r="BD20" i="2"/>
  <c r="BD19" i="2"/>
  <c r="BD18" i="2"/>
  <c r="BD17" i="2"/>
  <c r="BD16" i="2"/>
  <c r="E16" i="2" s="1"/>
  <c r="BD15" i="2"/>
  <c r="E15" i="2" s="1"/>
  <c r="BD14" i="2"/>
  <c r="C15" i="9"/>
  <c r="D15" i="9" s="1"/>
  <c r="C14" i="9"/>
  <c r="D14" i="9" s="1"/>
  <c r="C13" i="9"/>
  <c r="D13" i="9" s="1"/>
  <c r="D12" i="9"/>
  <c r="C11" i="9"/>
  <c r="D11" i="9" s="1"/>
  <c r="K6" i="1"/>
  <c r="D11" i="1"/>
  <c r="AY19" i="2"/>
  <c r="AX19" i="2"/>
  <c r="AW19" i="2"/>
  <c r="AV19" i="2"/>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L19" i="2"/>
  <c r="I19" i="2"/>
  <c r="H19" i="2"/>
  <c r="G19" i="2"/>
  <c r="F19" i="2"/>
  <c r="E19" i="2"/>
  <c r="D19" i="2"/>
  <c r="B19" i="2"/>
  <c r="AY18" i="2"/>
  <c r="AX18" i="2"/>
  <c r="AW18" i="2"/>
  <c r="AV18" i="2"/>
  <c r="AU18" i="2"/>
  <c r="AT18" i="2"/>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K18" i="2"/>
  <c r="I18" i="2"/>
  <c r="H18" i="2"/>
  <c r="G18" i="2"/>
  <c r="F18" i="2"/>
  <c r="E18" i="2"/>
  <c r="D18" i="2"/>
  <c r="B18" i="2"/>
  <c r="AY17" i="2"/>
  <c r="AX17" i="2"/>
  <c r="AW17" i="2"/>
  <c r="AV17" i="2"/>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L17" i="2"/>
  <c r="I17" i="2"/>
  <c r="H17" i="2"/>
  <c r="G17" i="2"/>
  <c r="F17" i="2"/>
  <c r="E17" i="2"/>
  <c r="D17" i="2"/>
  <c r="B17" i="2"/>
  <c r="AY16" i="2"/>
  <c r="AX16" i="2"/>
  <c r="AW16" i="2"/>
  <c r="AV16" i="2"/>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I16" i="2"/>
  <c r="H16" i="2"/>
  <c r="G16" i="2"/>
  <c r="F16" i="2"/>
  <c r="D16" i="2"/>
  <c r="B16" i="2"/>
  <c r="AY15" i="2"/>
  <c r="AX15" i="2"/>
  <c r="AW15" i="2"/>
  <c r="AV15" i="2"/>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H15" i="2"/>
  <c r="G15" i="2"/>
  <c r="F15" i="2"/>
  <c r="D15" i="2"/>
  <c r="B15" i="2"/>
  <c r="AO26" i="2" l="1"/>
  <c r="AO22" i="2"/>
  <c r="I32" i="2"/>
  <c r="I31" i="2"/>
  <c r="B22" i="2"/>
  <c r="AY32" i="2"/>
  <c r="H32" i="2" s="1"/>
  <c r="AU32" i="2"/>
  <c r="AT32" i="2"/>
  <c r="K32" i="2" s="1"/>
  <c r="AQ32" i="2"/>
  <c r="AP32" i="2"/>
  <c r="AO32" i="2"/>
  <c r="AN32" i="2"/>
  <c r="AM32" i="2"/>
  <c r="AL32" i="2"/>
  <c r="AK32" i="2"/>
  <c r="AJ32" i="2"/>
  <c r="AI32" i="2"/>
  <c r="AH32" i="2"/>
  <c r="AG32" i="2"/>
  <c r="AF32" i="2"/>
  <c r="AE32" i="2"/>
  <c r="AD32" i="2"/>
  <c r="AC32" i="2"/>
  <c r="AB32" i="2"/>
  <c r="AA32" i="2"/>
  <c r="Z32" i="2"/>
  <c r="V32" i="2"/>
  <c r="U32" i="2"/>
  <c r="T32" i="2"/>
  <c r="S32" i="2"/>
  <c r="R32" i="2"/>
  <c r="Q32" i="2"/>
  <c r="P32" i="2"/>
  <c r="O32" i="2"/>
  <c r="N32" i="2"/>
  <c r="M32" i="2"/>
  <c r="G32" i="2"/>
  <c r="F32" i="2"/>
  <c r="D32" i="2"/>
  <c r="B32" i="2"/>
  <c r="AY31" i="2"/>
  <c r="H31" i="2" s="1"/>
  <c r="AU31" i="2"/>
  <c r="AT31" i="2"/>
  <c r="K31" i="2" s="1"/>
  <c r="AQ31" i="2"/>
  <c r="AP31" i="2"/>
  <c r="AO31" i="2"/>
  <c r="AN31" i="2"/>
  <c r="AM31" i="2"/>
  <c r="AL31" i="2"/>
  <c r="AK31" i="2"/>
  <c r="AJ31" i="2"/>
  <c r="AI31" i="2"/>
  <c r="AH31" i="2"/>
  <c r="AG31" i="2"/>
  <c r="AF31" i="2"/>
  <c r="AE31" i="2"/>
  <c r="AD31" i="2"/>
  <c r="AC31" i="2"/>
  <c r="AB31" i="2"/>
  <c r="AA31" i="2"/>
  <c r="Z31" i="2"/>
  <c r="V31" i="2"/>
  <c r="U31" i="2"/>
  <c r="T31" i="2"/>
  <c r="S31" i="2"/>
  <c r="R31" i="2"/>
  <c r="Q31" i="2"/>
  <c r="P31" i="2"/>
  <c r="O31" i="2"/>
  <c r="N31" i="2"/>
  <c r="M31" i="2"/>
  <c r="G31" i="2"/>
  <c r="F31" i="2"/>
  <c r="D31" i="2"/>
  <c r="AY30" i="2"/>
  <c r="H30" i="2" s="1"/>
  <c r="AU30" i="2"/>
  <c r="AT30" i="2"/>
  <c r="K30" i="2" s="1"/>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I30" i="2"/>
  <c r="G30" i="2"/>
  <c r="F30" i="2"/>
  <c r="D30" i="2"/>
  <c r="AY29" i="2"/>
  <c r="H29" i="2" s="1"/>
  <c r="AX29" i="2"/>
  <c r="E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I28" i="2"/>
  <c r="G28" i="2"/>
  <c r="F28" i="2"/>
  <c r="D28" i="2"/>
  <c r="AY27" i="2"/>
  <c r="H27" i="2" s="1"/>
  <c r="AX27" i="2"/>
  <c r="E27" i="2" s="1"/>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I27" i="2"/>
  <c r="G27" i="2"/>
  <c r="F27" i="2"/>
  <c r="D27" i="2"/>
  <c r="B27" i="2"/>
  <c r="AY26" i="2"/>
  <c r="H26" i="2" s="1"/>
  <c r="AX26" i="2"/>
  <c r="E26" i="2" s="1"/>
  <c r="AU26" i="2"/>
  <c r="AT26" i="2"/>
  <c r="K26" i="2" s="1"/>
  <c r="AQ26" i="2"/>
  <c r="AP26" i="2"/>
  <c r="AN26" i="2"/>
  <c r="AM26" i="2"/>
  <c r="AL26" i="2"/>
  <c r="AK26" i="2"/>
  <c r="AJ26" i="2"/>
  <c r="AI26" i="2"/>
  <c r="AH26" i="2"/>
  <c r="AG26" i="2"/>
  <c r="AF26" i="2"/>
  <c r="AE26" i="2"/>
  <c r="AD26" i="2"/>
  <c r="AC26" i="2"/>
  <c r="AB26" i="2"/>
  <c r="AA26" i="2"/>
  <c r="Z26" i="2"/>
  <c r="V26" i="2"/>
  <c r="U26" i="2"/>
  <c r="T26" i="2"/>
  <c r="S26" i="2"/>
  <c r="R26" i="2"/>
  <c r="Q26" i="2"/>
  <c r="P26" i="2"/>
  <c r="O26" i="2"/>
  <c r="N26" i="2"/>
  <c r="M26" i="2"/>
  <c r="I26" i="2"/>
  <c r="G26" i="2"/>
  <c r="F26" i="2"/>
  <c r="D26" i="2"/>
  <c r="B26" i="2"/>
  <c r="AY25" i="2"/>
  <c r="H25" i="2" s="1"/>
  <c r="AX25" i="2"/>
  <c r="E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I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I24" i="2"/>
  <c r="G24" i="2"/>
  <c r="F24" i="2"/>
  <c r="D24" i="2"/>
  <c r="B24" i="2"/>
  <c r="AY23" i="2"/>
  <c r="AX23" i="2"/>
  <c r="AW23" i="2"/>
  <c r="AV23" i="2"/>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I23" i="2"/>
  <c r="H23" i="2"/>
  <c r="G23" i="2"/>
  <c r="F23" i="2"/>
  <c r="E23" i="2"/>
  <c r="D23" i="2"/>
  <c r="B23" i="2"/>
  <c r="AY22" i="2"/>
  <c r="AX22" i="2"/>
  <c r="AW22" i="2"/>
  <c r="AV22" i="2"/>
  <c r="AU22" i="2"/>
  <c r="AT22" i="2"/>
  <c r="K22" i="2" s="1"/>
  <c r="AQ22" i="2"/>
  <c r="AP22" i="2"/>
  <c r="AN22" i="2"/>
  <c r="AM22" i="2"/>
  <c r="AL22" i="2"/>
  <c r="AK22" i="2"/>
  <c r="AJ22" i="2"/>
  <c r="AI22" i="2"/>
  <c r="AH22" i="2"/>
  <c r="AG22" i="2"/>
  <c r="AF22" i="2"/>
  <c r="AE22" i="2"/>
  <c r="AD22" i="2"/>
  <c r="AC22" i="2"/>
  <c r="AB22" i="2"/>
  <c r="AA22" i="2"/>
  <c r="Z22" i="2"/>
  <c r="V22" i="2"/>
  <c r="U22" i="2"/>
  <c r="T22" i="2"/>
  <c r="S22" i="2"/>
  <c r="R22" i="2"/>
  <c r="Q22" i="2"/>
  <c r="P22" i="2"/>
  <c r="O22" i="2"/>
  <c r="N22" i="2"/>
  <c r="M22" i="2"/>
  <c r="I22" i="2"/>
  <c r="H22" i="2"/>
  <c r="G22" i="2"/>
  <c r="F22" i="2"/>
  <c r="E22" i="2"/>
  <c r="D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I21" i="2"/>
  <c r="G21" i="2"/>
  <c r="F21" i="2"/>
  <c r="AV21" i="2" s="1"/>
  <c r="AW21" i="2" s="1"/>
  <c r="D21" i="2"/>
  <c r="B21" i="2"/>
  <c r="AY20" i="2"/>
  <c r="H20" i="2" s="1"/>
  <c r="AX20" i="2"/>
  <c r="E20" i="2" s="1"/>
  <c r="AU20" i="2"/>
  <c r="AT20" i="2"/>
  <c r="K20" i="2" s="1"/>
  <c r="AQ20" i="2"/>
  <c r="AP20" i="2"/>
  <c r="AO20" i="2"/>
  <c r="AN20" i="2"/>
  <c r="AM20" i="2"/>
  <c r="AL20" i="2"/>
  <c r="AK20" i="2"/>
  <c r="AJ20" i="2"/>
  <c r="AI20" i="2"/>
  <c r="AH20" i="2"/>
  <c r="AG20" i="2"/>
  <c r="AF20" i="2"/>
  <c r="AE20" i="2"/>
  <c r="AD20" i="2"/>
  <c r="AC20" i="2"/>
  <c r="AB20" i="2"/>
  <c r="AA20" i="2"/>
  <c r="Z20" i="2"/>
  <c r="V20" i="2"/>
  <c r="U20" i="2"/>
  <c r="T20" i="2"/>
  <c r="S20" i="2"/>
  <c r="R20" i="2"/>
  <c r="Q20" i="2"/>
  <c r="P20" i="2"/>
  <c r="O20" i="2"/>
  <c r="N20" i="2"/>
  <c r="M20" i="2"/>
  <c r="I20" i="2"/>
  <c r="G20" i="2"/>
  <c r="F20" i="2"/>
  <c r="D20" i="2"/>
  <c r="B20" i="2"/>
  <c r="AV29" i="2" l="1"/>
  <c r="AW29" i="2" s="1"/>
  <c r="AV28" i="2"/>
  <c r="AW28" i="2" s="1"/>
  <c r="AV27" i="2"/>
  <c r="AW27" i="2" s="1"/>
  <c r="AV26" i="2"/>
  <c r="AW26" i="2" s="1"/>
  <c r="AV25" i="2"/>
  <c r="AW25" i="2" s="1"/>
  <c r="AV24" i="2"/>
  <c r="AW24" i="2" s="1"/>
  <c r="AX30" i="2"/>
  <c r="E30" i="2" s="1"/>
  <c r="AX31" i="2"/>
  <c r="E31" i="2" s="1"/>
  <c r="AV20" i="2"/>
  <c r="AW20" i="2" s="1"/>
  <c r="AX32" i="2"/>
  <c r="E32" i="2" s="1"/>
  <c r="AV30" i="2"/>
  <c r="AW30" i="2" s="1"/>
  <c r="AV32" i="2"/>
  <c r="AW32" i="2" s="1"/>
  <c r="AV31" i="2"/>
  <c r="AW31" i="2" s="1"/>
  <c r="B28" i="2"/>
  <c r="B30" i="2"/>
  <c r="B31" i="2"/>
  <c r="L30" i="2" l="1"/>
  <c r="L20" i="2"/>
  <c r="L29" i="2"/>
  <c r="L28" i="2"/>
  <c r="L27" i="2"/>
  <c r="L26" i="2"/>
  <c r="L24" i="2"/>
  <c r="L25" i="2"/>
  <c r="L32" i="2"/>
  <c r="L23" i="2"/>
  <c r="L31" i="2"/>
  <c r="L22" i="2"/>
  <c r="L21" i="2"/>
  <c r="AY36" i="2"/>
  <c r="H36" i="2" s="1"/>
  <c r="B35" i="2"/>
  <c r="AX33" i="2"/>
  <c r="E33" i="2" s="1"/>
  <c r="I36" i="2"/>
  <c r="I34" i="2"/>
  <c r="AX36" i="2"/>
  <c r="E36" i="2" s="1"/>
  <c r="AU36" i="2"/>
  <c r="AT36" i="2"/>
  <c r="K36" i="2" s="1"/>
  <c r="AQ36" i="2"/>
  <c r="AP36" i="2"/>
  <c r="AO36" i="2"/>
  <c r="AN36" i="2"/>
  <c r="AM36" i="2"/>
  <c r="AL36" i="2"/>
  <c r="AK36" i="2"/>
  <c r="AJ36" i="2"/>
  <c r="AI36" i="2"/>
  <c r="AH36" i="2"/>
  <c r="AG36" i="2"/>
  <c r="AF36" i="2"/>
  <c r="AE36" i="2"/>
  <c r="AD36" i="2"/>
  <c r="AC36" i="2"/>
  <c r="AB36" i="2"/>
  <c r="AA36" i="2"/>
  <c r="Z36" i="2"/>
  <c r="V36" i="2"/>
  <c r="U36" i="2"/>
  <c r="T36" i="2"/>
  <c r="S36" i="2"/>
  <c r="R36" i="2"/>
  <c r="Q36" i="2"/>
  <c r="P36" i="2"/>
  <c r="O36" i="2"/>
  <c r="N36" i="2"/>
  <c r="M36" i="2"/>
  <c r="L36" i="2"/>
  <c r="G36" i="2"/>
  <c r="F36" i="2"/>
  <c r="D36" i="2"/>
  <c r="B36" i="2"/>
  <c r="AY35" i="2"/>
  <c r="H35" i="2" s="1"/>
  <c r="AX35" i="2"/>
  <c r="E35" i="2" s="1"/>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L35" i="2"/>
  <c r="I35" i="2"/>
  <c r="G35" i="2"/>
  <c r="F35" i="2"/>
  <c r="D35" i="2"/>
  <c r="AY34" i="2"/>
  <c r="AU34" i="2"/>
  <c r="AT34" i="2"/>
  <c r="K34" i="2" s="1"/>
  <c r="AQ34" i="2"/>
  <c r="AP34" i="2"/>
  <c r="AO34" i="2"/>
  <c r="AN34" i="2"/>
  <c r="AM34" i="2"/>
  <c r="AL34" i="2"/>
  <c r="AK34" i="2"/>
  <c r="AJ34" i="2"/>
  <c r="AI34" i="2"/>
  <c r="AH34" i="2"/>
  <c r="AG34" i="2"/>
  <c r="AF34" i="2"/>
  <c r="AE34" i="2"/>
  <c r="AD34" i="2"/>
  <c r="AC34" i="2"/>
  <c r="AB34" i="2"/>
  <c r="AA34" i="2"/>
  <c r="Z34" i="2"/>
  <c r="V34" i="2"/>
  <c r="U34" i="2"/>
  <c r="T34" i="2"/>
  <c r="S34" i="2"/>
  <c r="R34" i="2"/>
  <c r="Q34" i="2"/>
  <c r="P34" i="2"/>
  <c r="O34" i="2"/>
  <c r="N34" i="2"/>
  <c r="M34" i="2"/>
  <c r="L34" i="2"/>
  <c r="G34" i="2"/>
  <c r="F34" i="2"/>
  <c r="D34" i="2"/>
  <c r="B34" i="2"/>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L33" i="2"/>
  <c r="I33" i="2"/>
  <c r="G33" i="2"/>
  <c r="F33" i="2"/>
  <c r="D33" i="2"/>
  <c r="B33" i="2"/>
  <c r="AV34" i="2" l="1"/>
  <c r="AW34" i="2" s="1"/>
  <c r="AX34" i="2"/>
  <c r="E34" i="2" s="1"/>
  <c r="AV35" i="2"/>
  <c r="AW35" i="2" s="1"/>
  <c r="AY33" i="2"/>
  <c r="H33" i="2" s="1"/>
  <c r="H34" i="2"/>
  <c r="AV33" i="2"/>
  <c r="AW33" i="2" s="1"/>
  <c r="AV36" i="2"/>
  <c r="AW36" i="2" s="1"/>
  <c r="AY37" i="2" l="1"/>
  <c r="H37" i="2" s="1"/>
  <c r="I37" i="2"/>
  <c r="AU37" i="2"/>
  <c r="AT37" i="2"/>
  <c r="K37" i="2" s="1"/>
  <c r="AQ37" i="2"/>
  <c r="AP37" i="2"/>
  <c r="AO37" i="2"/>
  <c r="AN37" i="2"/>
  <c r="AM37" i="2"/>
  <c r="AL37" i="2"/>
  <c r="AK37" i="2"/>
  <c r="AJ37" i="2"/>
  <c r="AI37" i="2"/>
  <c r="AH37" i="2"/>
  <c r="AG37" i="2"/>
  <c r="AF37" i="2"/>
  <c r="AE37" i="2"/>
  <c r="AD37" i="2"/>
  <c r="AC37" i="2"/>
  <c r="AB37" i="2"/>
  <c r="AA37" i="2"/>
  <c r="Z37" i="2"/>
  <c r="V37" i="2"/>
  <c r="U37" i="2"/>
  <c r="T37" i="2"/>
  <c r="S37" i="2"/>
  <c r="R37" i="2"/>
  <c r="Q37" i="2"/>
  <c r="P37" i="2"/>
  <c r="O37" i="2"/>
  <c r="N37" i="2"/>
  <c r="M37" i="2"/>
  <c r="G37" i="2"/>
  <c r="F37" i="2"/>
  <c r="D37" i="2"/>
  <c r="AX37" i="2" l="1"/>
  <c r="E37" i="2" s="1"/>
  <c r="AV37" i="2"/>
  <c r="AW37" i="2" s="1"/>
  <c r="B37" i="2"/>
  <c r="L37" i="2" l="1"/>
  <c r="AY38" i="2"/>
  <c r="H38" i="2" s="1"/>
  <c r="AX38" i="2"/>
  <c r="E38" i="2" s="1"/>
  <c r="AU38" i="2"/>
  <c r="AT38" i="2"/>
  <c r="K38" i="2" s="1"/>
  <c r="AQ38" i="2"/>
  <c r="AP38" i="2"/>
  <c r="AO38" i="2"/>
  <c r="AN38" i="2"/>
  <c r="AM38" i="2"/>
  <c r="AL38" i="2"/>
  <c r="AK38" i="2"/>
  <c r="AJ38" i="2"/>
  <c r="AI38" i="2"/>
  <c r="AH38" i="2"/>
  <c r="AG38" i="2"/>
  <c r="AF38" i="2"/>
  <c r="AE38" i="2"/>
  <c r="AD38" i="2"/>
  <c r="AC38" i="2"/>
  <c r="AB38" i="2"/>
  <c r="AA38" i="2"/>
  <c r="Z38" i="2"/>
  <c r="V38" i="2"/>
  <c r="U38" i="2"/>
  <c r="T38" i="2"/>
  <c r="S38" i="2"/>
  <c r="R38" i="2"/>
  <c r="Q38" i="2"/>
  <c r="P38" i="2"/>
  <c r="O38" i="2"/>
  <c r="N38" i="2"/>
  <c r="M38" i="2"/>
  <c r="L38" i="2"/>
  <c r="I38" i="2"/>
  <c r="G38" i="2"/>
  <c r="F38" i="2"/>
  <c r="D38" i="2"/>
  <c r="B38" i="2"/>
  <c r="AV38" i="2" l="1"/>
  <c r="AW38" i="2" s="1"/>
  <c r="V42" i="2" l="1"/>
  <c r="U42" i="2"/>
  <c r="V41" i="2"/>
  <c r="U41" i="2"/>
  <c r="V40" i="2"/>
  <c r="U40" i="2"/>
  <c r="V39" i="2"/>
  <c r="U39" i="2"/>
  <c r="V14" i="2"/>
  <c r="U14" i="2"/>
  <c r="T42" i="2"/>
  <c r="T41" i="2"/>
  <c r="T40" i="2"/>
  <c r="T39" i="2"/>
  <c r="T14" i="2"/>
  <c r="S42" i="2"/>
  <c r="S41" i="2"/>
  <c r="S40" i="2"/>
  <c r="S39" i="2"/>
  <c r="S14" i="2"/>
  <c r="R42" i="2"/>
  <c r="R41" i="2"/>
  <c r="R40" i="2"/>
  <c r="R39" i="2"/>
  <c r="R14" i="2"/>
  <c r="Z42" i="2" l="1"/>
  <c r="Z41" i="2"/>
  <c r="Z40" i="2"/>
  <c r="Z39" i="2"/>
  <c r="Z14" i="2"/>
  <c r="Q42" i="2" l="1"/>
  <c r="Q41" i="2"/>
  <c r="Q40" i="2"/>
  <c r="Q39" i="2"/>
  <c r="AA42" i="2" l="1"/>
  <c r="AA41" i="2"/>
  <c r="AA40" i="2"/>
  <c r="AA39" i="2"/>
  <c r="AA14" i="2"/>
  <c r="AY12" i="2" l="1"/>
  <c r="L42" i="2" l="1"/>
  <c r="L41" i="2"/>
  <c r="L40" i="2"/>
  <c r="L39" i="2"/>
  <c r="L14" i="2"/>
  <c r="Q14" i="2" s="1"/>
  <c r="M42" i="2"/>
  <c r="AF42" i="2"/>
  <c r="AF41" i="2"/>
  <c r="AF40" i="2"/>
  <c r="AF39" i="2"/>
  <c r="AF14" i="2"/>
  <c r="AM42" i="2"/>
  <c r="AL42" i="2"/>
  <c r="AK42" i="2"/>
  <c r="AJ42" i="2"/>
  <c r="AI42" i="2"/>
  <c r="AH42" i="2"/>
  <c r="AG42" i="2"/>
  <c r="AE42" i="2"/>
  <c r="AD42" i="2"/>
  <c r="AM41" i="2"/>
  <c r="AL41" i="2"/>
  <c r="AK41" i="2"/>
  <c r="AJ41" i="2"/>
  <c r="AI41" i="2"/>
  <c r="AH41" i="2"/>
  <c r="AG41" i="2"/>
  <c r="AE41" i="2"/>
  <c r="AD41" i="2"/>
  <c r="AM40" i="2"/>
  <c r="AL40" i="2"/>
  <c r="AK40" i="2"/>
  <c r="AJ40" i="2"/>
  <c r="AI40" i="2"/>
  <c r="AH40" i="2"/>
  <c r="AG40" i="2"/>
  <c r="AE40" i="2"/>
  <c r="AD40" i="2"/>
  <c r="AM39" i="2"/>
  <c r="AL39" i="2"/>
  <c r="AK39" i="2"/>
  <c r="AJ39" i="2"/>
  <c r="AI39" i="2"/>
  <c r="AH39" i="2"/>
  <c r="AG39" i="2"/>
  <c r="AE39" i="2"/>
  <c r="AD39" i="2"/>
  <c r="AM14" i="2"/>
  <c r="AL14" i="2"/>
  <c r="AK14" i="2"/>
  <c r="AJ14" i="2"/>
  <c r="AI14" i="2"/>
  <c r="AH14" i="2"/>
  <c r="AG14" i="2"/>
  <c r="AE14" i="2"/>
  <c r="AD14" i="2"/>
  <c r="M14" i="2" l="1"/>
  <c r="M39" i="2"/>
  <c r="M40" i="2"/>
  <c r="M41" i="2"/>
  <c r="AB42" i="2"/>
  <c r="AB41" i="2"/>
  <c r="AB40" i="2"/>
  <c r="AB39" i="2"/>
  <c r="AB14" i="2"/>
  <c r="AT42" i="2" l="1"/>
  <c r="G42" i="2"/>
  <c r="AT41" i="2"/>
  <c r="G41" i="2"/>
  <c r="AT40" i="2"/>
  <c r="G40" i="2"/>
  <c r="AT39" i="2"/>
  <c r="G39" i="2"/>
  <c r="AT14" i="2"/>
  <c r="G14" i="2"/>
  <c r="B42" i="2"/>
  <c r="B41" i="2"/>
  <c r="N42" i="2"/>
  <c r="N41" i="2"/>
  <c r="N40" i="2"/>
  <c r="N39" i="2"/>
  <c r="N14" i="2"/>
  <c r="AC42" i="2" l="1"/>
  <c r="AC41" i="2"/>
  <c r="AC40" i="2"/>
  <c r="AC39" i="2"/>
  <c r="AC14" i="2"/>
  <c r="B40" i="2" l="1"/>
  <c r="B39" i="2"/>
  <c r="B14" i="2"/>
  <c r="D13" i="1"/>
  <c r="O42" i="2" l="1"/>
  <c r="O41" i="2"/>
  <c r="O40" i="2"/>
  <c r="O39" i="2"/>
  <c r="O14" i="2"/>
  <c r="P42" i="2" l="1"/>
  <c r="P41" i="2"/>
  <c r="P40" i="2"/>
  <c r="P39" i="2"/>
  <c r="P14" i="2"/>
  <c r="AN42" i="2" l="1"/>
  <c r="AN41" i="2"/>
  <c r="AN40" i="2"/>
  <c r="AN39" i="2"/>
  <c r="AN14" i="2"/>
  <c r="AO14" i="2" l="1"/>
  <c r="AO42" i="2" l="1"/>
  <c r="AO41" i="2"/>
  <c r="AO40" i="2"/>
  <c r="AO39" i="2"/>
  <c r="V9" i="1"/>
  <c r="U9" i="1"/>
  <c r="T9" i="1"/>
  <c r="S9" i="1"/>
  <c r="AP42" i="2" l="1"/>
  <c r="I42" i="2"/>
  <c r="F42" i="2"/>
  <c r="D42" i="2"/>
  <c r="AP41" i="2"/>
  <c r="I41" i="2"/>
  <c r="F41" i="2"/>
  <c r="D41" i="2"/>
  <c r="AP40" i="2"/>
  <c r="I40" i="2"/>
  <c r="F40" i="2"/>
  <c r="D40" i="2"/>
  <c r="AP39" i="2"/>
  <c r="I39" i="2"/>
  <c r="F39" i="2"/>
  <c r="D39" i="2"/>
  <c r="AP14" i="2"/>
  <c r="I14" i="2"/>
  <c r="F14" i="2"/>
  <c r="D14" i="2"/>
  <c r="G2" i="1" l="1"/>
  <c r="G4" i="1" s="1"/>
  <c r="H4" i="1" s="1"/>
  <c r="R9" i="1" l="1"/>
  <c r="Q9" i="1"/>
  <c r="P9" i="1"/>
  <c r="O9" i="1"/>
  <c r="N9" i="1"/>
  <c r="K39" i="2" l="1"/>
  <c r="K40" i="2"/>
  <c r="K41" i="2"/>
  <c r="K42" i="2"/>
  <c r="K14" i="2"/>
  <c r="AU39" i="2"/>
  <c r="AU40" i="2"/>
  <c r="AU41" i="2"/>
  <c r="AU42" i="2"/>
  <c r="AU14" i="2"/>
  <c r="AV39" i="2" l="1"/>
  <c r="AW39" i="2" s="1"/>
  <c r="AV40" i="2"/>
  <c r="AW40" i="2" s="1"/>
  <c r="AV41" i="2"/>
  <c r="AW41" i="2" s="1"/>
  <c r="AV42" i="2"/>
  <c r="AW42" i="2" s="1"/>
  <c r="AX39" i="2" l="1"/>
  <c r="E39" i="2" s="1"/>
  <c r="AX40" i="2"/>
  <c r="E40" i="2" s="1"/>
  <c r="AX41" i="2"/>
  <c r="E41" i="2" s="1"/>
  <c r="AX42" i="2"/>
  <c r="E42" i="2" s="1"/>
  <c r="AX14" i="2"/>
  <c r="E14" i="2" s="1"/>
  <c r="M9" i="1"/>
  <c r="L9" i="1"/>
  <c r="AQ39" i="2"/>
  <c r="AQ40" i="2"/>
  <c r="AQ41" i="2"/>
  <c r="AQ42" i="2"/>
  <c r="AQ14" i="2"/>
  <c r="AY39" i="2"/>
  <c r="H39" i="2" s="1"/>
  <c r="AY40" i="2"/>
  <c r="H40" i="2" s="1"/>
  <c r="AY41" i="2"/>
  <c r="H41" i="2" s="1"/>
  <c r="AY42" i="2"/>
  <c r="H42" i="2" s="1"/>
  <c r="AY14" i="2"/>
  <c r="H14" i="2" s="1"/>
  <c r="K9" i="1"/>
  <c r="J9" i="1"/>
  <c r="I9" i="1"/>
  <c r="H9" i="1"/>
  <c r="G9" i="1"/>
  <c r="F9" i="1"/>
  <c r="AV14" i="2" l="1"/>
  <c r="AW14" i="2" l="1"/>
</calcChain>
</file>

<file path=xl/sharedStrings.xml><?xml version="1.0" encoding="utf-8"?>
<sst xmlns="http://schemas.openxmlformats.org/spreadsheetml/2006/main" count="737" uniqueCount="377">
  <si>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</si>
  <si>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</si>
  <si>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</si>
  <si>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</si>
  <si>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</si>
  <si>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</si>
  <si>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</si>
  <si>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</si>
  <si>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</si>
  <si>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</si>
  <si>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</si>
  <si>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</si>
  <si>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</si>
  <si>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</si>
  <si>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</si>
  <si>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</si>
  <si>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</si>
  <si>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</si>
  <si>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</si>
  <si>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</si>
  <si>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</si>
  <si>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</si>
  <si>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</si>
  <si>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</si>
  <si>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</si>
  <si>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</si>
  <si>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</si>
  <si>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</si>
  <si>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</si>
  <si>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</si>
  <si>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</si>
  <si>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</si>
  <si>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</si>
  <si>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</si>
  <si>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</si>
  <si>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</si>
  <si>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</si>
  <si>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</si>
  <si>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</si>
  <si>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</si>
  <si>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</si>
  <si>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</si>
  <si>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</si>
  <si>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</si>
  <si>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</si>
  <si>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</si>
  <si>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</si>
  <si>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</si>
  <si>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</si>
  <si>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</si>
  <si>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</si>
  <si>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</si>
  <si>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</si>
  <si>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</si>
  <si>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</si>
  <si>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</si>
  <si>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</si>
  <si>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</si>
  <si>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</si>
  <si>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</si>
  <si>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</si>
  <si>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</si>
  <si>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</si>
  <si>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</si>
  <si>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Data Type
(Ref)</t>
  </si>
  <si>
    <t>_VC_</t>
  </si>
  <si>
    <t>PLC Type</t>
  </si>
  <si>
    <t>CLX</t>
  </si>
  <si>
    <t>for non-PLC signals</t>
  </si>
  <si>
    <t>Siemens SignalWireName</t>
  </si>
  <si>
    <t>Rockwell PLC Signal Name</t>
  </si>
  <si>
    <t>Rockwell Comment Prefix</t>
  </si>
  <si>
    <t>Siemens Comment Prefix</t>
  </si>
  <si>
    <t>starting in this column</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</si>
  <si>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</si>
  <si>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</si>
  <si>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</si>
  <si>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</si>
  <si>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</si>
  <si>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</si>
  <si>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</si>
  <si>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</si>
  <si>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</si>
  <si>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</si>
  <si>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</si>
  <si>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</si>
  <si>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</si>
  <si>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</si>
  <si>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</si>
  <si>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</si>
  <si>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</si>
  <si>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</si>
  <si>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</si>
  <si>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</si>
  <si>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</si>
  <si>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</si>
  <si>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</si>
  <si>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</si>
  <si>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DINT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</si>
  <si>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</si>
  <si>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</si>
  <si>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</si>
  <si>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</si>
  <si>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</si>
  <si>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</si>
  <si>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</si>
  <si>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</si>
  <si>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</si>
  <si>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</si>
  <si>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</si>
  <si>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</si>
  <si>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</si>
  <si>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</si>
  <si>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</si>
  <si>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</si>
  <si>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</si>
  <si>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</si>
  <si>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</si>
  <si>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</si>
  <si>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</si>
  <si>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</si>
  <si>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</si>
  <si>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</si>
  <si>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</si>
  <si>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</si>
  <si>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</si>
  <si>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</si>
  <si>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</si>
  <si>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</si>
  <si>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</si>
  <si>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</si>
  <si>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</si>
  <si>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</si>
  <si>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</si>
  <si>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</si>
  <si>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</si>
  <si>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</si>
  <si>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</si>
  <si>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</si>
  <si>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</si>
  <si>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</si>
  <si>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</si>
  <si>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</si>
  <si>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</si>
  <si>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</si>
  <si>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</si>
  <si>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</si>
  <si>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</si>
  <si>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</si>
  <si>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</si>
  <si>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</si>
  <si>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</si>
  <si>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</si>
  <si>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</si>
  <si>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</si>
  <si>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</si>
  <si>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</si>
  <si>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</si>
  <si>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</si>
  <si>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</si>
  <si>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</si>
  <si>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</si>
  <si>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</si>
  <si>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</si>
  <si>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</si>
  <si>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</si>
  <si>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</si>
  <si>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</si>
  <si>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</si>
  <si>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</si>
  <si>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</si>
  <si>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</si>
  <si>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</si>
  <si>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</si>
  <si>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</si>
  <si>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</si>
  <si>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</si>
  <si>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</si>
  <si>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</si>
  <si>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</si>
  <si>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</si>
  <si>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</si>
  <si>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</si>
  <si>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</si>
  <si>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</si>
  <si>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</si>
  <si>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</si>
  <si>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</si>
  <si>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</si>
  <si>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</si>
  <si>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</si>
  <si>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</si>
  <si>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</si>
  <si>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</si>
  <si>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</si>
  <si>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</si>
  <si>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</si>
  <si>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</si>
  <si>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</si>
  <si>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</si>
  <si>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</si>
  <si>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</si>
  <si>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</si>
  <si>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</si>
  <si>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</si>
  <si>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</si>
  <si>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</si>
  <si>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</si>
  <si>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</si>
  <si>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</si>
  <si>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</si>
  <si>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</si>
  <si>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</si>
  <si>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</si>
  <si>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</si>
  <si>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</si>
  <si>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</si>
  <si>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</si>
  <si>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</si>
  <si>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</si>
  <si>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</si>
  <si>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</si>
  <si>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</si>
  <si>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</si>
  <si>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</si>
  <si>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</si>
  <si>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</si>
  <si>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</si>
  <si>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</si>
  <si>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</si>
  <si>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</si>
  <si>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</si>
  <si>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</si>
  <si>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</si>
  <si>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</si>
  <si>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</si>
  <si>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</si>
  <si>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</si>
  <si>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</si>
  <si>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</si>
  <si>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</si>
  <si>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</si>
  <si>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</si>
  <si>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</si>
  <si>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</si>
  <si>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</si>
  <si>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</si>
  <si>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Validation Tracker Prep</t>
  </si>
  <si>
    <t>COMPONENT</t>
  </si>
  <si>
    <t>TYPE</t>
  </si>
  <si>
    <t>NAME</t>
  </si>
  <si>
    <t>30</t>
  </si>
  <si>
    <t>&lt;Config5&gt;</t>
  </si>
  <si>
    <t>&lt;Config6&gt;</t>
  </si>
  <si>
    <t>&lt;Config4&gt;</t>
  </si>
  <si>
    <t>&lt;Config3&gt;</t>
  </si>
  <si>
    <t>true</t>
  </si>
  <si>
    <t>EnablePendant</t>
  </si>
  <si>
    <t>From_KEY_EnablePendant</t>
  </si>
  <si>
    <t>To_PSF_RunMode</t>
  </si>
  <si>
    <t>To_PSF_ConnectionFaulted</t>
  </si>
  <si>
    <t>Saa_Sbb</t>
  </si>
  <si>
    <t>NOT true</t>
  </si>
  <si>
    <t>PressEStopPB</t>
  </si>
  <si>
    <t>From_KEY_PressEStopPB</t>
  </si>
  <si>
    <t>OpenGate</t>
  </si>
  <si>
    <t>From_KEY_OpenGate</t>
  </si>
  <si>
    <t>STELLANTIS_EIP</t>
  </si>
  <si>
    <t>CELL_SAFE_INTERLOCKS</t>
  </si>
  <si>
    <t>Safety Zone #</t>
  </si>
  <si>
    <t>SYSTEM\INTERLOCKS</t>
  </si>
  <si>
    <t>STELLANTIS\Common\ToolPrototype\Interlocks</t>
  </si>
  <si>
    <t>STELLANTIS_EIP_CELL_SAFE_INTERLOCKS_Saa_Sbb.v00</t>
  </si>
  <si>
    <t>Interlocks</t>
  </si>
  <si>
    <t>REMOTE_CELL</t>
  </si>
  <si>
    <t>CONSUMED_TAG_BASE</t>
  </si>
  <si>
    <t>UnplugPendant</t>
  </si>
  <si>
    <t>UpStreamMZOff</t>
  </si>
  <si>
    <t>DnStreamMZOff</t>
  </si>
  <si>
    <t>PermSafetiesOff</t>
  </si>
  <si>
    <t>UpStreamSftyOff</t>
  </si>
  <si>
    <t>DnStreamSftyOff</t>
  </si>
  <si>
    <t>PressSDResetPB</t>
  </si>
  <si>
    <t>ConnStatus.RunMode</t>
  </si>
  <si>
    <t>Decimal</t>
  </si>
  <si>
    <t>ConnStatus.ConnectionFaulted</t>
  </si>
  <si>
    <t>Cell_EStopsOK</t>
  </si>
  <si>
    <t>ES</t>
  </si>
  <si>
    <t>Emergency Stop Ok</t>
  </si>
  <si>
    <t>Cell_GatesOK</t>
  </si>
  <si>
    <t>SG</t>
  </si>
  <si>
    <t>ConsumerNext.</t>
  </si>
  <si>
    <t>Safety Gate Ok</t>
  </si>
  <si>
    <t>Cell_SafetyPinsOK</t>
  </si>
  <si>
    <t>SP</t>
  </si>
  <si>
    <t>Safety Pin  Ok</t>
  </si>
  <si>
    <t>Cell_MasterRelayOK</t>
  </si>
  <si>
    <t>MR</t>
  </si>
  <si>
    <t>Master Relay Ok</t>
  </si>
  <si>
    <t>Cell_CycleEnableOK</t>
  </si>
  <si>
    <t>CE</t>
  </si>
  <si>
    <t>Cycle Enable Ok</t>
  </si>
  <si>
    <t>Cell_StationEnableOK</t>
  </si>
  <si>
    <t>SE</t>
  </si>
  <si>
    <t>Station Enable Ok</t>
  </si>
  <si>
    <t>Cell_MotionEnableOK</t>
  </si>
  <si>
    <t>ME</t>
  </si>
  <si>
    <t>Motion Enable Ok</t>
  </si>
  <si>
    <t>Cell_PendantUnplugged</t>
  </si>
  <si>
    <t>PendantsUnplgd</t>
  </si>
  <si>
    <t>Pendants Unplugged</t>
  </si>
  <si>
    <t>Cell_PendantOK</t>
  </si>
  <si>
    <t>PendantsOK</t>
  </si>
  <si>
    <t>Pendants Ok To Apply Power</t>
  </si>
  <si>
    <t>Cell_PowerOn</t>
  </si>
  <si>
    <t>PowerOn</t>
  </si>
  <si>
    <t>Power On</t>
  </si>
  <si>
    <t>Zone_UpStrmMZOK</t>
  </si>
  <si>
    <t>UpStrmMZOK</t>
  </si>
  <si>
    <t>Up Stream Migration Zone OK</t>
  </si>
  <si>
    <t>Zone_DwnStrmMZOK</t>
  </si>
  <si>
    <t>DwnStrmMZOK</t>
  </si>
  <si>
    <t>Down Stream Migration Zone OK</t>
  </si>
  <si>
    <t>Zone_PermSafetiesOK</t>
  </si>
  <si>
    <t>PermSafetiesOK</t>
  </si>
  <si>
    <t>Perimeter Safeties OK</t>
  </si>
  <si>
    <t>Zone_UpStrmSftyOK</t>
  </si>
  <si>
    <t>UpStrmSftyOK</t>
  </si>
  <si>
    <t>Up Stream Safeties OK</t>
  </si>
  <si>
    <t>Zone_DwnStrmSftyOK</t>
  </si>
  <si>
    <t>DwnStrmSftyOK</t>
  </si>
  <si>
    <t>Down Stream Safeties OK</t>
  </si>
  <si>
    <t>Zone_PerimeterOK_0</t>
  </si>
  <si>
    <t>ConsumerNext.PZ.</t>
  </si>
  <si>
    <t>Zone_PerimeterOK_1</t>
  </si>
  <si>
    <t>From_KEY_UnplugPendant</t>
  </si>
  <si>
    <t>From_KEY_UpStreamMZOff</t>
  </si>
  <si>
    <t>From_KEY_DnStreamMZOff</t>
  </si>
  <si>
    <t>From_KEY_PermSafetiesOff</t>
  </si>
  <si>
    <t>From_KEY_UpStreamSftyOff</t>
  </si>
  <si>
    <t>From_KEY_DnStreamSftyOff</t>
  </si>
  <si>
    <t>From_KEY_PressSDResetPB</t>
  </si>
  <si>
    <t>To_PSF_Cell_EStopsOK</t>
  </si>
  <si>
    <t>NOT From_KEY_PressEStopPB</t>
  </si>
  <si>
    <t>To_PSF_Cell_GatesOK</t>
  </si>
  <si>
    <t>NOT From_KEY_OpenGate</t>
  </si>
  <si>
    <t>To_PSF_Cell_SafetyPinsOK</t>
  </si>
  <si>
    <t>To_PSF_Cell_MasterRelayOK</t>
  </si>
  <si>
    <t>To_PSF_Cell_CycleEnableOK</t>
  </si>
  <si>
    <t>EnableDelayTime &gt; EnableDelayMax</t>
  </si>
  <si>
    <t>To_PSF_Cell_StationEnableOK</t>
  </si>
  <si>
    <t>To_PSF_Cell_MotionEnableOK</t>
  </si>
  <si>
    <t>To_PSF_Cell_PendantUnplugged</t>
  </si>
  <si>
    <t>NOT From_KEY_UnplugPendant</t>
  </si>
  <si>
    <t>To_PSF_Cell_PendantOK</t>
  </si>
  <si>
    <t>From_KEY_UnplugPendant AND From_KEY_EnablePendant</t>
  </si>
  <si>
    <t>To_PSF_Cell_PowerOn</t>
  </si>
  <si>
    <t>To_PSF_Zone_UpStrmMZOK</t>
  </si>
  <si>
    <t>NOT From_KEY_UpStreamMZOff</t>
  </si>
  <si>
    <t>To_PSF_Zone_DwnStrmMZOK</t>
  </si>
  <si>
    <t>NOT From_KEY_DnStreamMZOff</t>
  </si>
  <si>
    <t>To_PSF_Zone_PermSafetiesOK</t>
  </si>
  <si>
    <t>(NOT From_KEY_PermSafetiesOff) OR (NOT From_KEY_OpenGate)</t>
  </si>
  <si>
    <t>To_PSF_Zone_UpStrmSftyOK</t>
  </si>
  <si>
    <t>(NOT From_KEY_UpStreamSftyOff) OR (NOT From_KEY_OpenGate)</t>
  </si>
  <si>
    <t>To_PSF_Zone_DwnStrmSftyOK</t>
  </si>
  <si>
    <t>(NOT From_KEY_DnStreamSftyOff) OR (NOT From_KEY_OpenGate)</t>
  </si>
  <si>
    <t>To_PSF_Zone_PerimeterOK_0</t>
  </si>
  <si>
    <t>To_PSF_Zone_PerimeterOK_1</t>
  </si>
  <si>
    <t>EnableDelayTrigger</t>
  </si>
  <si>
    <t>EnableDelayTime</t>
  </si>
  <si>
    <t>EnableDelayTrigger * ((EnableDelayTime + 1) * (NOT (EnableDelayTime &gt; EnableDelayMax)) + EnableDelayTime * (EnableDelayTime &gt; EnableDelayMax))</t>
  </si>
  <si>
    <t>EnableDelayMax</t>
  </si>
  <si>
    <t>SAFETY_ZONE</t>
  </si>
  <si>
    <t>S07_S08</t>
  </si>
  <si>
    <t>Glx</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</si>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</sst>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9">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0" fontId="0" fillId="21" borderId="0" xfId="0" applyFill="1"/>
    <xf numFmtId="0" fontId="0" fillId="22" borderId="0" xfId="0" applyFill="1"/>
    <xf numFmtId="0" fontId="0" fillId="23" borderId="0" xfId="0" applyFill="1"/>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49" fontId="2" fillId="5" borderId="4" xfId="0" applyNumberFormat="1" applyFont="1" applyFill="1" applyBorder="1" applyAlignment="1">
      <alignment vertical="center" wrapText="1"/>
    </xf>
    <xf numFmtId="49" fontId="2" fillId="5" borderId="4" xfId="0" applyNumberFormat="1" applyFont="1" applyFill="1" applyBorder="1" applyAlignment="1">
      <alignment vertical="center"/>
    </xf>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H30" sqref="H3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186</v>
      </c>
      <c r="G2" s="54" t="str">
        <f ca="1">SUBSTITUTE( LEFT(CELL("filename",A1),FIND("]",CELL("filename",A1))-1),"[","")</f>
        <v>C:\Users\BryanJoseMaldonadoGa\source\repos\VC Validation Tracker Generator\assets\Signal Template - STELLANTIS - EIP - Common - Interlocks - Cell Safe Interlocks - v00.00.xlsm</v>
      </c>
      <c r="H2" s="54"/>
      <c r="I2" s="54"/>
      <c r="J2" s="54"/>
      <c r="K2" s="54"/>
      <c r="L2" s="54"/>
      <c r="M2" s="54"/>
      <c r="N2" s="54"/>
      <c r="O2" s="54"/>
      <c r="P2" s="54"/>
      <c r="Q2" s="54"/>
      <c r="R2" s="54"/>
      <c r="S2" s="54"/>
      <c r="T2" s="54"/>
      <c r="U2" s="54"/>
      <c r="V2" s="54"/>
    </row>
    <row r="3" spans="2:22" x14ac:dyDescent="0.35">
      <c r="F3" s="23" t="s">
        <v>185</v>
      </c>
      <c r="G3" s="55">
        <v>45580.475960648146</v>
      </c>
      <c r="H3" s="54"/>
      <c r="I3" s="54"/>
      <c r="J3" s="54"/>
      <c r="K3" s="54"/>
      <c r="L3" s="54"/>
      <c r="M3" s="54"/>
      <c r="N3" s="54"/>
      <c r="O3" s="54"/>
      <c r="P3" s="54"/>
      <c r="Q3" s="54"/>
      <c r="R3" s="54"/>
      <c r="S3" s="54"/>
      <c r="T3" s="54"/>
      <c r="U3" s="54"/>
      <c r="V3" s="54"/>
    </row>
    <row r="4" spans="2:22" x14ac:dyDescent="0.35">
      <c r="F4" s="23" t="s">
        <v>213</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127</v>
      </c>
      <c r="G5" s="53" t="s">
        <v>267</v>
      </c>
      <c r="H5" s="53"/>
      <c r="I5" s="53"/>
      <c r="J5" s="23" t="s">
        <v>128</v>
      </c>
      <c r="K5" s="54" t="s">
        <v>272</v>
      </c>
      <c r="L5" s="54"/>
      <c r="M5" s="54"/>
      <c r="N5" s="54"/>
      <c r="O5" s="54"/>
      <c r="P5" s="54"/>
      <c r="Q5" s="54"/>
      <c r="R5" s="54"/>
      <c r="S5" s="54"/>
      <c r="T5" s="54"/>
      <c r="U5" s="54"/>
      <c r="V5" s="54"/>
    </row>
    <row r="6" spans="2:22" x14ac:dyDescent="0.35">
      <c r="F6" s="23" t="s">
        <v>209</v>
      </c>
      <c r="G6" s="53" t="s">
        <v>270</v>
      </c>
      <c r="H6" s="53"/>
      <c r="I6" s="53"/>
      <c r="J6" s="23" t="s">
        <v>183</v>
      </c>
      <c r="K6" s="53" t="str">
        <f>$G$5&amp;"_"&amp;$D$11&amp;".v00"</f>
        <v>STELLANTIS_EIP_CELL_SAFE_INTERLOCKS_Saa_Sbb.v00</v>
      </c>
      <c r="L6" s="53"/>
      <c r="M6" s="53"/>
      <c r="N6" s="53"/>
      <c r="O6" s="53"/>
      <c r="P6" s="53"/>
      <c r="Q6" s="53"/>
      <c r="R6" s="53"/>
      <c r="S6" s="53"/>
      <c r="T6" s="53"/>
      <c r="U6" s="53"/>
      <c r="V6" s="53"/>
    </row>
    <row r="7" spans="2:22" ht="15" thickBot="1" x14ac:dyDescent="0.4">
      <c r="F7" s="23" t="s">
        <v>208</v>
      </c>
      <c r="G7" s="53" t="s">
        <v>271</v>
      </c>
      <c r="H7" s="53"/>
      <c r="I7" s="53"/>
      <c r="J7" s="23" t="s">
        <v>184</v>
      </c>
      <c r="K7" s="53" t="s">
        <v>180</v>
      </c>
    </row>
    <row r="8" spans="2:22" ht="15" thickBot="1" x14ac:dyDescent="0.4">
      <c r="B8" s="67" t="s">
        <v>217</v>
      </c>
      <c r="F8" s="51"/>
      <c r="G8" s="51"/>
      <c r="H8" s="51"/>
      <c r="I8" s="51"/>
      <c r="J8" s="51"/>
      <c r="K8" s="51"/>
      <c r="L8" s="51"/>
      <c r="M8" s="51"/>
      <c r="N8" s="51"/>
      <c r="O8" s="51"/>
      <c r="P8" s="51"/>
      <c r="Q8" s="51"/>
      <c r="R8" s="51"/>
      <c r="S8" s="51"/>
      <c r="T8" s="51"/>
      <c r="U8" s="51"/>
      <c r="V8" s="51"/>
    </row>
    <row r="9" spans="2:22" ht="15" thickBot="1" x14ac:dyDescent="0.4">
      <c r="B9" s="1" t="s">
        <v>61</v>
      </c>
      <c r="C9" s="69"/>
      <c r="D9" s="22" t="s">
        <v>268</v>
      </c>
      <c r="F9" s="21" t="str">
        <f>$B$10</f>
        <v>LB Unique ID</v>
      </c>
      <c r="G9" s="21" t="str">
        <f>$B$14</f>
        <v>OPC Server</v>
      </c>
      <c r="H9" s="21" t="str">
        <f>$B$15</f>
        <v>Safety Zone #</v>
      </c>
      <c r="I9" s="21" t="str">
        <f>$B$16</f>
        <v>&lt;Config3&gt;</v>
      </c>
      <c r="J9" s="21" t="str">
        <f>$B$17</f>
        <v>&lt;Config4&gt;</v>
      </c>
      <c r="K9" s="21" t="str">
        <f>$B$18</f>
        <v>&lt;Config5&gt;</v>
      </c>
      <c r="L9" s="21" t="str">
        <f>$B$19</f>
        <v>&lt;Config6&gt;</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60</v>
      </c>
      <c r="C10" s="5"/>
      <c r="D10" s="78" t="s">
        <v>261</v>
      </c>
      <c r="F10" s="70" t="s">
        <v>374</v>
      </c>
      <c r="G10" s="71" t="s">
        <v>375</v>
      </c>
      <c r="H10" s="71" t="s">
        <v>376</v>
      </c>
      <c r="I10" s="71"/>
      <c r="J10" s="71"/>
      <c r="K10" s="71"/>
      <c r="L10" s="71"/>
      <c r="M10" s="71"/>
      <c r="N10" s="71"/>
      <c r="O10" s="71"/>
      <c r="P10" s="71"/>
      <c r="Q10" s="71"/>
      <c r="R10" s="71"/>
      <c r="S10" s="71"/>
      <c r="T10" s="71"/>
      <c r="U10" s="71"/>
      <c r="V10" s="72"/>
    </row>
    <row r="11" spans="2:22" x14ac:dyDescent="0.35">
      <c r="B11" s="2" t="s">
        <v>18</v>
      </c>
      <c r="C11" s="5"/>
      <c r="D11" s="3" t="str">
        <f>$D$9&amp;"_"&amp;SUBSTITUTE($D$10,":","_")</f>
        <v>CELL_SAFE_INTERLOCKS_Saa_Sbb</v>
      </c>
      <c r="F11" s="73"/>
      <c r="G11" s="18"/>
      <c r="H11" s="18"/>
      <c r="I11" s="18"/>
      <c r="J11" s="18"/>
      <c r="K11" s="18"/>
      <c r="L11" s="18"/>
      <c r="M11" s="18"/>
      <c r="N11" s="18"/>
      <c r="O11" s="18"/>
      <c r="P11" s="18"/>
      <c r="Q11" s="18"/>
      <c r="R11" s="18"/>
      <c r="S11" s="18"/>
      <c r="T11" s="18"/>
      <c r="U11" s="18"/>
      <c r="V11" s="74"/>
    </row>
    <row r="12" spans="2:22" x14ac:dyDescent="0.35">
      <c r="B12" s="2" t="s">
        <v>66</v>
      </c>
      <c r="C12" s="5"/>
      <c r="D12" s="3" t="s">
        <v>67</v>
      </c>
      <c r="F12" s="73"/>
      <c r="G12" s="18"/>
      <c r="H12" s="18"/>
      <c r="I12" s="18"/>
      <c r="J12" s="18"/>
      <c r="K12" s="18"/>
      <c r="L12" s="18"/>
      <c r="M12" s="18"/>
      <c r="N12" s="18"/>
      <c r="O12" s="18"/>
      <c r="P12" s="18"/>
      <c r="Q12" s="18"/>
      <c r="R12" s="18"/>
      <c r="S12" s="18"/>
      <c r="T12" s="18"/>
      <c r="U12" s="18"/>
      <c r="V12" s="74"/>
    </row>
    <row r="13" spans="2:22" x14ac:dyDescent="0.35">
      <c r="B13" s="58" t="s">
        <v>158</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242</v>
      </c>
      <c r="C14" s="5"/>
      <c r="D14" s="78" t="s">
        <v>246</v>
      </c>
      <c r="F14" s="73"/>
      <c r="G14" s="18"/>
      <c r="H14" s="18"/>
      <c r="I14" s="18"/>
      <c r="J14" s="18"/>
      <c r="K14" s="18"/>
      <c r="L14" s="18"/>
      <c r="M14" s="18"/>
      <c r="N14" s="18"/>
      <c r="O14" s="18"/>
      <c r="P14" s="18"/>
      <c r="Q14" s="18"/>
      <c r="R14" s="18"/>
      <c r="S14" s="18"/>
      <c r="T14" s="18"/>
      <c r="U14" s="18"/>
      <c r="V14" s="74"/>
    </row>
    <row r="15" spans="2:22" x14ac:dyDescent="0.35">
      <c r="B15" s="10" t="s">
        <v>269</v>
      </c>
      <c r="C15" s="5"/>
      <c r="D15" s="78">
        <v>1</v>
      </c>
      <c r="F15" s="73"/>
      <c r="G15" s="18"/>
      <c r="H15" s="18"/>
      <c r="I15" s="18"/>
      <c r="J15" s="18"/>
      <c r="K15" s="18"/>
      <c r="L15" s="18"/>
      <c r="M15" s="18"/>
      <c r="N15" s="18"/>
      <c r="O15" s="18"/>
      <c r="P15" s="18"/>
      <c r="Q15" s="18"/>
      <c r="R15" s="18"/>
      <c r="S15" s="18"/>
      <c r="T15" s="18"/>
      <c r="U15" s="18"/>
      <c r="V15" s="74"/>
    </row>
    <row r="16" spans="2:22" x14ac:dyDescent="0.35">
      <c r="B16" s="10" t="s">
        <v>255</v>
      </c>
      <c r="C16" s="5"/>
      <c r="D16" s="78" t="s">
        <v>241</v>
      </c>
      <c r="F16" s="73"/>
      <c r="G16" s="18"/>
      <c r="H16" s="18"/>
      <c r="I16" s="18"/>
      <c r="J16" s="18"/>
      <c r="K16" s="18"/>
      <c r="L16" s="18"/>
      <c r="M16" s="18"/>
      <c r="N16" s="18"/>
      <c r="O16" s="18"/>
      <c r="P16" s="18"/>
      <c r="Q16" s="18"/>
      <c r="R16" s="18"/>
      <c r="S16" s="18"/>
      <c r="T16" s="18"/>
      <c r="U16" s="18"/>
      <c r="V16" s="74"/>
    </row>
    <row r="17" spans="2:22" x14ac:dyDescent="0.35">
      <c r="B17" s="10" t="s">
        <v>254</v>
      </c>
      <c r="C17" s="5"/>
      <c r="D17" s="78" t="s">
        <v>241</v>
      </c>
      <c r="F17" s="73"/>
      <c r="G17" s="18"/>
      <c r="H17" s="18"/>
      <c r="I17" s="18"/>
      <c r="J17" s="18"/>
      <c r="K17" s="18"/>
      <c r="L17" s="18"/>
      <c r="M17" s="18"/>
      <c r="N17" s="18"/>
      <c r="O17" s="18"/>
      <c r="P17" s="18"/>
      <c r="Q17" s="18"/>
      <c r="R17" s="18"/>
      <c r="S17" s="18"/>
      <c r="T17" s="18"/>
      <c r="U17" s="18"/>
      <c r="V17" s="74"/>
    </row>
    <row r="18" spans="2:22" x14ac:dyDescent="0.35">
      <c r="B18" s="10" t="s">
        <v>252</v>
      </c>
      <c r="C18" s="5"/>
      <c r="D18" s="78" t="s">
        <v>241</v>
      </c>
      <c r="F18" s="73"/>
      <c r="G18" s="18"/>
      <c r="H18" s="18"/>
      <c r="I18" s="18"/>
      <c r="J18" s="18"/>
      <c r="K18" s="18"/>
      <c r="L18" s="18"/>
      <c r="M18" s="18"/>
      <c r="N18" s="18"/>
      <c r="O18" s="18"/>
      <c r="P18" s="18"/>
      <c r="Q18" s="18"/>
      <c r="R18" s="18"/>
      <c r="S18" s="18"/>
      <c r="T18" s="18"/>
      <c r="U18" s="18"/>
      <c r="V18" s="74"/>
    </row>
    <row r="19" spans="2:22" x14ac:dyDescent="0.35">
      <c r="B19" s="10" t="s">
        <v>253</v>
      </c>
      <c r="C19" s="5"/>
      <c r="D19" s="78" t="s">
        <v>241</v>
      </c>
      <c r="F19" s="73"/>
      <c r="G19" s="18"/>
      <c r="H19" s="18"/>
      <c r="I19" s="18"/>
      <c r="J19" s="18"/>
      <c r="K19" s="18"/>
      <c r="L19" s="18"/>
      <c r="M19" s="18"/>
      <c r="N19" s="18"/>
      <c r="O19" s="18"/>
      <c r="P19" s="18"/>
      <c r="Q19" s="18"/>
      <c r="R19" s="18"/>
      <c r="S19" s="18"/>
      <c r="T19" s="18"/>
      <c r="U19" s="18"/>
      <c r="V19" s="74"/>
    </row>
    <row r="20" spans="2:22" x14ac:dyDescent="0.35">
      <c r="B20" s="10" t="s">
        <v>243</v>
      </c>
      <c r="C20" s="5"/>
      <c r="D20" s="78" t="s">
        <v>241</v>
      </c>
      <c r="F20" s="73"/>
      <c r="G20" s="18"/>
      <c r="H20" s="18"/>
      <c r="I20" s="18"/>
      <c r="J20" s="18"/>
      <c r="K20" s="18"/>
      <c r="L20" s="18"/>
      <c r="M20" s="18"/>
      <c r="N20" s="18"/>
      <c r="O20" s="18"/>
      <c r="P20" s="18"/>
      <c r="Q20" s="18"/>
      <c r="R20" s="18"/>
      <c r="S20" s="18"/>
      <c r="T20" s="18"/>
      <c r="U20" s="18"/>
      <c r="V20" s="74"/>
    </row>
    <row r="21" spans="2:22" x14ac:dyDescent="0.35">
      <c r="B21" s="10" t="s">
        <v>244</v>
      </c>
      <c r="C21" s="5"/>
      <c r="D21" s="78" t="s">
        <v>241</v>
      </c>
      <c r="F21" s="73"/>
      <c r="G21" s="18"/>
      <c r="H21" s="18"/>
      <c r="I21" s="18"/>
      <c r="J21" s="18"/>
      <c r="K21" s="18"/>
      <c r="L21" s="18"/>
      <c r="M21" s="18"/>
      <c r="N21" s="18"/>
      <c r="O21" s="18"/>
      <c r="P21" s="18"/>
      <c r="Q21" s="18"/>
      <c r="R21" s="18"/>
      <c r="S21" s="18"/>
      <c r="T21" s="18"/>
      <c r="U21" s="18"/>
      <c r="V21" s="74"/>
    </row>
    <row r="22" spans="2:22" x14ac:dyDescent="0.35">
      <c r="B22" s="10" t="s">
        <v>245</v>
      </c>
      <c r="C22" s="5"/>
      <c r="D22" s="78" t="s">
        <v>241</v>
      </c>
      <c r="F22" s="73"/>
      <c r="G22" s="18"/>
      <c r="H22" s="18"/>
      <c r="I22" s="18"/>
      <c r="J22" s="18"/>
      <c r="K22" s="18"/>
      <c r="L22" s="18"/>
      <c r="M22" s="18"/>
      <c r="N22" s="18"/>
      <c r="O22" s="18"/>
      <c r="P22" s="18"/>
      <c r="Q22" s="18"/>
      <c r="R22" s="18"/>
      <c r="S22" s="18"/>
      <c r="T22" s="18"/>
      <c r="U22" s="18"/>
      <c r="V22" s="74"/>
    </row>
    <row r="23" spans="2:22" x14ac:dyDescent="0.35">
      <c r="B23" s="10" t="s">
        <v>123</v>
      </c>
      <c r="C23" s="5"/>
      <c r="D23" s="78" t="s">
        <v>241</v>
      </c>
      <c r="F23" s="73"/>
      <c r="G23" s="18"/>
      <c r="H23" s="18"/>
      <c r="I23" s="18"/>
      <c r="J23" s="18"/>
      <c r="K23" s="18"/>
      <c r="L23" s="18"/>
      <c r="M23" s="18"/>
      <c r="N23" s="18"/>
      <c r="O23" s="18"/>
      <c r="P23" s="18"/>
      <c r="Q23" s="18"/>
      <c r="R23" s="18"/>
      <c r="S23" s="18"/>
      <c r="T23" s="18"/>
      <c r="U23" s="18"/>
      <c r="V23" s="74"/>
    </row>
    <row r="24" spans="2:22" x14ac:dyDescent="0.35">
      <c r="B24" s="10" t="s">
        <v>122</v>
      </c>
      <c r="C24" s="5"/>
      <c r="D24" s="78" t="s">
        <v>241</v>
      </c>
      <c r="F24" s="73"/>
      <c r="G24" s="18"/>
      <c r="H24" s="18"/>
      <c r="I24" s="18"/>
      <c r="J24" s="18"/>
      <c r="K24" s="18"/>
      <c r="L24" s="18"/>
      <c r="M24" s="18"/>
      <c r="N24" s="18"/>
      <c r="O24" s="18"/>
      <c r="P24" s="18"/>
      <c r="Q24" s="18"/>
      <c r="R24" s="18"/>
      <c r="S24" s="18"/>
      <c r="T24" s="18"/>
      <c r="U24" s="18"/>
      <c r="V24" s="74"/>
    </row>
    <row r="25" spans="2:22" x14ac:dyDescent="0.35">
      <c r="B25" s="10" t="s">
        <v>121</v>
      </c>
      <c r="C25" s="5"/>
      <c r="D25" s="78" t="s">
        <v>241</v>
      </c>
      <c r="F25" s="73"/>
      <c r="G25" s="18"/>
      <c r="H25" s="18"/>
      <c r="I25" s="18"/>
      <c r="J25" s="18"/>
      <c r="K25" s="18"/>
      <c r="L25" s="18"/>
      <c r="M25" s="18"/>
      <c r="N25" s="18"/>
      <c r="O25" s="18"/>
      <c r="P25" s="18"/>
      <c r="Q25" s="18"/>
      <c r="R25" s="18"/>
      <c r="S25" s="18"/>
      <c r="T25" s="18"/>
      <c r="U25" s="18"/>
      <c r="V25" s="74"/>
    </row>
    <row r="26" spans="2:22" x14ac:dyDescent="0.35">
      <c r="B26" s="10" t="s">
        <v>144</v>
      </c>
      <c r="C26" s="5"/>
      <c r="D26" s="78" t="s">
        <v>241</v>
      </c>
      <c r="F26" s="73"/>
      <c r="G26" s="18"/>
      <c r="H26" s="18"/>
      <c r="I26" s="18"/>
      <c r="J26" s="18"/>
      <c r="K26" s="18"/>
      <c r="L26" s="18"/>
      <c r="M26" s="18"/>
      <c r="N26" s="18"/>
      <c r="O26" s="18"/>
      <c r="P26" s="18"/>
      <c r="Q26" s="18"/>
      <c r="R26" s="18"/>
      <c r="S26" s="18"/>
      <c r="T26" s="18"/>
      <c r="U26" s="18"/>
      <c r="V26" s="74"/>
    </row>
    <row r="27" spans="2:22" x14ac:dyDescent="0.35">
      <c r="B27" s="10" t="s">
        <v>145</v>
      </c>
      <c r="C27" s="5"/>
      <c r="D27" s="78" t="s">
        <v>241</v>
      </c>
      <c r="F27" s="73"/>
      <c r="G27" s="18"/>
      <c r="H27" s="18"/>
      <c r="I27" s="18"/>
      <c r="J27" s="18"/>
      <c r="K27" s="18"/>
      <c r="L27" s="18"/>
      <c r="M27" s="18"/>
      <c r="N27" s="18"/>
      <c r="O27" s="18"/>
      <c r="P27" s="18"/>
      <c r="Q27" s="18"/>
      <c r="R27" s="18"/>
      <c r="S27" s="18"/>
      <c r="T27" s="18"/>
      <c r="U27" s="18"/>
      <c r="V27" s="74"/>
    </row>
    <row r="28" spans="2:22" x14ac:dyDescent="0.35">
      <c r="B28" s="10" t="s">
        <v>146</v>
      </c>
      <c r="C28" s="5"/>
      <c r="D28" s="78" t="s">
        <v>241</v>
      </c>
      <c r="F28" s="73"/>
      <c r="G28" s="18"/>
      <c r="H28" s="18"/>
      <c r="I28" s="18"/>
      <c r="J28" s="18"/>
      <c r="K28" s="18"/>
      <c r="L28" s="18"/>
      <c r="M28" s="18"/>
      <c r="N28" s="18"/>
      <c r="O28" s="18"/>
      <c r="P28" s="18"/>
      <c r="Q28" s="18"/>
      <c r="R28" s="18"/>
      <c r="S28" s="18"/>
      <c r="T28" s="18"/>
      <c r="U28" s="18"/>
      <c r="V28" s="74"/>
    </row>
    <row r="29" spans="2:22" ht="15" thickBot="1" x14ac:dyDescent="0.4">
      <c r="B29" s="24" t="s">
        <v>147</v>
      </c>
      <c r="C29" s="6"/>
      <c r="D29" s="79" t="s">
        <v>241</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10:D16"/>
  <sheetViews>
    <sheetView workbookViewId="0"/>
  </sheetViews>
  <sheetFormatPr defaultRowHeight="14.5" x14ac:dyDescent="0.35"/>
  <cols>
    <col min="2" max="2" width="22" bestFit="1" customWidth="1"/>
    <col min="3" max="3" width="46" bestFit="1" customWidth="1"/>
  </cols>
  <sheetData>
    <row r="10" spans="2:4" x14ac:dyDescent="0.35">
      <c r="B10" s="83" t="s">
        <v>247</v>
      </c>
    </row>
    <row r="11" spans="2:4" x14ac:dyDescent="0.35">
      <c r="B11" s="81" t="s">
        <v>248</v>
      </c>
      <c r="C11" s="82" t="str">
        <f>LEFT(Header_COJT_Full_Name,SEARCH(".v",Header_COJT_Full_Name)-1)</f>
        <v>STELLANTIS_EIP_CELL_SAFE_INTERLOCKS_Saa_Sbb</v>
      </c>
      <c r="D11" s="82" t="str">
        <f>"&lt;"&amp;LOWER(B11)&amp;"&gt;"&amp;IF(ISERROR(C11),"***ERROR***",IF(C11="","***BLANK***",C11))&amp;"&lt;/"&amp;LOWER(B11)&amp;"&gt;"</f>
        <v>&lt;component&gt;STELLANTIS_EIP_CELL_SAFE_INTERLOCKS_Saa_Sbb&lt;/component&gt;</v>
      </c>
    </row>
    <row r="12" spans="2:4" x14ac:dyDescent="0.35">
      <c r="B12" s="81" t="s">
        <v>249</v>
      </c>
      <c r="C12" s="82" t="s">
        <v>273</v>
      </c>
      <c r="D12" s="82" t="str">
        <f t="shared" ref="D12:D16" si="0">"&lt;"&amp;LOWER(B12)&amp;"&gt;"&amp;IF(ISERROR(C12),"***ERROR***",IF(C12="","***BLANK***",C12))&amp;"&lt;/"&amp;LOWER(B12)&amp;"&gt;"</f>
        <v>&lt;type&gt;Interlocks&lt;/type&gt;</v>
      </c>
    </row>
    <row r="13" spans="2:4" x14ac:dyDescent="0.35">
      <c r="B13" s="81" t="s">
        <v>250</v>
      </c>
      <c r="C13" s="82" t="str">
        <f>Header_LB_Unique_ID</f>
        <v>Saa_Sbb</v>
      </c>
      <c r="D13" s="82" t="str">
        <f t="shared" si="0"/>
        <v>&lt;name&gt;Saa_Sbb&lt;/name&gt;</v>
      </c>
    </row>
    <row r="14" spans="2:4" x14ac:dyDescent="0.35">
      <c r="B14" s="81" t="s">
        <v>274</v>
      </c>
      <c r="C14" s="82" t="str">
        <f>SUBSTITUTE(Header_LB_Unique_ID,":","")</f>
        <v>Saa_Sbb</v>
      </c>
      <c r="D14" s="82" t="str">
        <f t="shared" si="0"/>
        <v>&lt;remote_cell&gt;Saa_Sbb&lt;/remote_cell&gt;</v>
      </c>
    </row>
    <row r="15" spans="2:4" x14ac:dyDescent="0.35">
      <c r="B15" s="81" t="s">
        <v>275</v>
      </c>
      <c r="C15" s="82" t="str">
        <f>"Consumer_"&amp;Header_LB_Unique_ID&amp;"_S"</f>
        <v>Consumer_Saa_Sbb_S</v>
      </c>
      <c r="D15" s="82" t="str">
        <f t="shared" si="0"/>
        <v>&lt;consumed_tag_base&gt;Consumer_Saa_Sbb_S&lt;/consumed_tag_base&gt;</v>
      </c>
    </row>
    <row r="16" spans="2:4" x14ac:dyDescent="0.35">
      <c r="B16" s="81" t="s">
        <v>373</v>
      </c>
      <c r="C16" s="82">
        <f>Header_Config02</f>
        <v>1</v>
      </c>
      <c r="D16" s="82" t="str">
        <f t="shared" si="0"/>
        <v>&lt;safety_zone&gt;1&lt;/safety_zone&gt;</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43"/>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86</v>
      </c>
    </row>
    <row r="3" spans="2:96" x14ac:dyDescent="0.35">
      <c r="CO3" t="s">
        <v>90</v>
      </c>
    </row>
    <row r="4" spans="2:96" x14ac:dyDescent="0.35">
      <c r="B4" t="s">
        <v>175</v>
      </c>
      <c r="D4" t="s">
        <v>187</v>
      </c>
      <c r="E4" t="s">
        <v>178</v>
      </c>
      <c r="CO4" s="39" t="s">
        <v>89</v>
      </c>
    </row>
    <row r="5" spans="2:96" x14ac:dyDescent="0.35">
      <c r="B5" t="s">
        <v>170</v>
      </c>
      <c r="D5" t="s">
        <v>173</v>
      </c>
      <c r="E5" t="s">
        <v>172</v>
      </c>
      <c r="CO5" s="39" t="s">
        <v>88</v>
      </c>
    </row>
    <row r="6" spans="2:96" x14ac:dyDescent="0.35">
      <c r="B6" t="s">
        <v>167</v>
      </c>
      <c r="D6" t="s">
        <v>169</v>
      </c>
      <c r="E6" t="s">
        <v>171</v>
      </c>
      <c r="CO6" t="s">
        <v>87</v>
      </c>
    </row>
    <row r="7" spans="2:96" x14ac:dyDescent="0.35">
      <c r="B7" t="s">
        <v>168</v>
      </c>
      <c r="D7" t="s">
        <v>174</v>
      </c>
      <c r="E7" t="s">
        <v>179</v>
      </c>
    </row>
    <row r="8" spans="2:96" x14ac:dyDescent="0.35">
      <c r="B8" t="s">
        <v>220</v>
      </c>
      <c r="D8" t="s">
        <v>176</v>
      </c>
      <c r="E8" t="s">
        <v>177</v>
      </c>
      <c r="CB8" s="9" t="s">
        <v>91</v>
      </c>
      <c r="CO8" s="9" t="s">
        <v>91</v>
      </c>
    </row>
    <row r="9" spans="2:96" x14ac:dyDescent="0.35">
      <c r="B9" t="s">
        <v>221</v>
      </c>
      <c r="D9" t="s">
        <v>222</v>
      </c>
      <c r="E9" t="s">
        <v>223</v>
      </c>
    </row>
    <row r="10" spans="2:96" x14ac:dyDescent="0.35">
      <c r="CB10" t="s">
        <v>106</v>
      </c>
      <c r="CO10" t="s">
        <v>78</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107</v>
      </c>
      <c r="CE11" t="s">
        <v>84</v>
      </c>
      <c r="CO11" t="s">
        <v>79</v>
      </c>
      <c r="CR11" t="s">
        <v>84</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82</v>
      </c>
      <c r="AY12">
        <f>COLUMN()</f>
        <v>51</v>
      </c>
      <c r="BB12" s="47" t="s">
        <v>85</v>
      </c>
      <c r="BY12" s="47" t="s">
        <v>80</v>
      </c>
      <c r="CB12" t="s">
        <v>73</v>
      </c>
      <c r="CE12" t="s">
        <v>68</v>
      </c>
      <c r="CH12" s="47" t="s">
        <v>81</v>
      </c>
      <c r="CO12" t="s">
        <v>73</v>
      </c>
      <c r="CR12" t="s">
        <v>68</v>
      </c>
    </row>
    <row r="13" spans="2:96" ht="101.5" x14ac:dyDescent="0.35">
      <c r="B13" s="61" t="s">
        <v>0</v>
      </c>
      <c r="C13" s="61" t="s">
        <v>1</v>
      </c>
      <c r="D13" s="61" t="s">
        <v>2</v>
      </c>
      <c r="E13" s="61" t="s">
        <v>3</v>
      </c>
      <c r="F13" s="61" t="s">
        <v>4</v>
      </c>
      <c r="G13" s="61" t="s">
        <v>5</v>
      </c>
      <c r="H13" s="61" t="s">
        <v>6</v>
      </c>
      <c r="I13" s="61" t="s">
        <v>7</v>
      </c>
      <c r="J13" s="61" t="s">
        <v>8</v>
      </c>
      <c r="K13" s="57" t="s">
        <v>135</v>
      </c>
      <c r="L13" s="57" t="s">
        <v>209</v>
      </c>
      <c r="M13" s="57" t="s">
        <v>208</v>
      </c>
      <c r="N13" s="57" t="s">
        <v>152</v>
      </c>
      <c r="O13" s="57" t="s">
        <v>211</v>
      </c>
      <c r="P13" s="57" t="s">
        <v>153</v>
      </c>
      <c r="Q13" s="57" t="s">
        <v>234</v>
      </c>
      <c r="R13" s="57" t="s">
        <v>235</v>
      </c>
      <c r="S13" s="57" t="s">
        <v>237</v>
      </c>
      <c r="T13" s="57" t="s">
        <v>239</v>
      </c>
      <c r="U13" s="57" t="s">
        <v>229</v>
      </c>
      <c r="V13" s="57" t="s">
        <v>230</v>
      </c>
      <c r="W13" s="57" t="s">
        <v>134</v>
      </c>
      <c r="X13" s="57" t="s">
        <v>134</v>
      </c>
      <c r="Y13" s="57" t="s">
        <v>134</v>
      </c>
      <c r="Z13" s="57" t="s">
        <v>227</v>
      </c>
      <c r="AA13" s="57" t="s">
        <v>219</v>
      </c>
      <c r="AB13" s="57" t="s">
        <v>182</v>
      </c>
      <c r="AC13" s="57" t="s">
        <v>166</v>
      </c>
      <c r="AD13" s="57" t="s">
        <v>163</v>
      </c>
      <c r="AE13" s="57" t="s">
        <v>199</v>
      </c>
      <c r="AF13" s="57" t="s">
        <v>190</v>
      </c>
      <c r="AG13" s="57" t="s">
        <v>200</v>
      </c>
      <c r="AH13" s="57" t="s">
        <v>201</v>
      </c>
      <c r="AI13" s="57" t="s">
        <v>202</v>
      </c>
      <c r="AJ13" s="57" t="s">
        <v>203</v>
      </c>
      <c r="AK13" s="57" t="s">
        <v>204</v>
      </c>
      <c r="AL13" s="57" t="s">
        <v>205</v>
      </c>
      <c r="AM13" s="57" t="s">
        <v>206</v>
      </c>
      <c r="AN13" s="57" t="s">
        <v>154</v>
      </c>
      <c r="AO13" s="57" t="s">
        <v>155</v>
      </c>
      <c r="AP13" s="57" t="s">
        <v>13</v>
      </c>
      <c r="AQ13" s="57" t="s">
        <v>156</v>
      </c>
      <c r="AR13" s="45" t="s">
        <v>19</v>
      </c>
      <c r="AT13" s="33" t="s">
        <v>64</v>
      </c>
      <c r="AU13" s="34" t="s">
        <v>69</v>
      </c>
      <c r="AV13" s="34" t="s">
        <v>83</v>
      </c>
      <c r="AW13" s="34" t="s">
        <v>72</v>
      </c>
      <c r="AX13" s="34" t="s">
        <v>70</v>
      </c>
      <c r="AY13" s="35" t="s">
        <v>71</v>
      </c>
      <c r="AZ13" s="62" t="s">
        <v>140</v>
      </c>
      <c r="BA13" s="62" t="s">
        <v>140</v>
      </c>
      <c r="BB13" s="25" t="s">
        <v>14</v>
      </c>
      <c r="BC13" s="26" t="s">
        <v>13</v>
      </c>
      <c r="BD13" s="27" t="s">
        <v>224</v>
      </c>
      <c r="BE13" s="27" t="s">
        <v>133</v>
      </c>
      <c r="BF13" s="27" t="s">
        <v>225</v>
      </c>
      <c r="BG13" s="27" t="s">
        <v>236</v>
      </c>
      <c r="BH13" s="27" t="s">
        <v>233</v>
      </c>
      <c r="BI13" s="27" t="s">
        <v>238</v>
      </c>
      <c r="BJ13" s="27" t="s">
        <v>228</v>
      </c>
      <c r="BK13" s="27" t="s">
        <v>232</v>
      </c>
      <c r="BL13" s="27" t="s">
        <v>231</v>
      </c>
      <c r="BM13" s="27" t="s">
        <v>134</v>
      </c>
      <c r="BN13" s="27" t="s">
        <v>134</v>
      </c>
      <c r="BO13" s="27" t="s">
        <v>134</v>
      </c>
      <c r="BP13" s="27" t="s">
        <v>226</v>
      </c>
      <c r="BQ13" s="27" t="s">
        <v>218</v>
      </c>
      <c r="BR13" s="27" t="s">
        <v>149</v>
      </c>
      <c r="BS13" s="27" t="s">
        <v>148</v>
      </c>
      <c r="BT13" s="27" t="s">
        <v>138</v>
      </c>
      <c r="BU13" s="27" t="s">
        <v>216</v>
      </c>
      <c r="BV13" s="46" t="s">
        <v>130</v>
      </c>
      <c r="BW13" s="62" t="s">
        <v>140</v>
      </c>
      <c r="BX13" s="62" t="s">
        <v>140</v>
      </c>
      <c r="BY13" s="43" t="s">
        <v>95</v>
      </c>
      <c r="BZ13" s="28" t="s">
        <v>96</v>
      </c>
      <c r="CA13" s="28" t="s">
        <v>97</v>
      </c>
      <c r="CB13" s="43" t="s">
        <v>104</v>
      </c>
      <c r="CC13" s="28" t="s">
        <v>105</v>
      </c>
      <c r="CD13" s="28" t="s">
        <v>10</v>
      </c>
      <c r="CE13" s="31" t="s">
        <v>11</v>
      </c>
      <c r="CF13" s="62" t="s">
        <v>140</v>
      </c>
      <c r="CG13" s="62" t="s">
        <v>140</v>
      </c>
      <c r="CH13" s="41" t="s">
        <v>92</v>
      </c>
      <c r="CI13" s="29" t="s">
        <v>93</v>
      </c>
      <c r="CJ13" s="29" t="s">
        <v>74</v>
      </c>
      <c r="CK13" s="29" t="s">
        <v>75</v>
      </c>
      <c r="CL13" s="29" t="s">
        <v>125</v>
      </c>
      <c r="CM13" s="29" t="s">
        <v>76</v>
      </c>
      <c r="CN13" s="32" t="s">
        <v>77</v>
      </c>
      <c r="CO13" s="37" t="s">
        <v>9</v>
      </c>
      <c r="CP13" s="37" t="s">
        <v>10</v>
      </c>
      <c r="CQ13" s="37"/>
      <c r="CR13" s="38" t="s">
        <v>11</v>
      </c>
    </row>
    <row r="14" spans="2:96" x14ac:dyDescent="0.35">
      <c r="B14" s="4" t="str">
        <f t="shared" ref="B14" si="0">IF(LEN(BT14)=0,Header_LB_Name,"&lt;BLANK&gt;")</f>
        <v>CELL_SAFE_INTERLOCKS_Saa_Sbb</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From_KEY_PressEStopPB</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KEY_CELL_Saa_Sbb_PressEStopPB</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38" si="4">Header_Resource_Compound</f>
        <v>SYSTEM\INTERLOCKS</v>
      </c>
      <c r="M14" s="56" t="str">
        <f t="shared" ref="M14:M38" si="5">Header_Sysroot_Folder</f>
        <v>STELLANTIS\Common\ToolPrototype\Interlocks</v>
      </c>
      <c r="N14" s="56" t="str">
        <f t="shared" ref="N14:N38" si="6">Header_COJT_Full_Name</f>
        <v>STELLANTIS_EIP_CELL_SAFE_INTERLOCKS_Saa_Sbb.v00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38" si="9">IF(Header_COJT_Type_Definition="","ToolPrototype",Header_COJT_Type_Definition)</f>
        <v>ToolPrototype</v>
      </c>
      <c r="AC14" s="56" t="str">
        <f>IF(ISBLANK(BT14),"","Optional")</f>
        <v/>
      </c>
      <c r="AD14" s="56" t="str">
        <f t="shared" ref="AD14:AD38" si="10">IF(Export_VC_Forms="","",Export_VC_Forms)</f>
        <v/>
      </c>
      <c r="AE14" s="56" t="str">
        <f t="shared" ref="AE14:AE38" si="11">IF(Export_Setup_Tracker="","",Export_Setup_Tracker)</f>
        <v/>
      </c>
      <c r="AF14" s="56" t="str">
        <f t="shared" ref="AF14:AF38" si="12">IF(Export_Validation_Tracker="","",Export_Validation_Tracker)</f>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4" s="56" t="str">
        <f t="shared" ref="AG14:AG38" si="13">IF(Export_Spare_04="","",Export_Spare_04)</f>
        <v/>
      </c>
      <c r="AH14" s="56" t="str">
        <f t="shared" ref="AH14:AH38" si="14">IF(Export_Spare_05="","",Export_Spare_05)</f>
        <v/>
      </c>
      <c r="AI14" s="56" t="str">
        <f t="shared" ref="AI14:AI38" si="15">IF(Export_Spare_06="","",Export_Spare_06)</f>
        <v/>
      </c>
      <c r="AJ14" s="56" t="str">
        <f t="shared" ref="AJ14:AJ38" si="16">IF(Export_Spare_07="","",Export_Spare_07)</f>
        <v/>
      </c>
      <c r="AK14" s="56" t="str">
        <f t="shared" ref="AK14:AK38" si="17">IF(Export_Spare_08="","",Export_Spare_08)</f>
        <v/>
      </c>
      <c r="AL14" s="56" t="str">
        <f t="shared" ref="AL14:AL38" si="18">IF(Export_Spare_09="","",Export_Spare_09)</f>
        <v/>
      </c>
      <c r="AM14" s="56" t="str">
        <f t="shared" ref="AM14:AM38" si="19">IF(Export_Spare_10="","",Export_Spare_10)</f>
        <v/>
      </c>
      <c r="AN14" s="56" t="str">
        <f>IF(BR14&lt;&gt;"",BR14,"")</f>
        <v/>
      </c>
      <c r="AO14" s="56" t="str">
        <f>IF(BS14&lt;&gt;"",BS14,"")</f>
        <v/>
      </c>
      <c r="AP14" s="56" t="str">
        <f>IF(BC14&lt;&gt;"CUSTOM",BC14,BU14)</f>
        <v>KEY</v>
      </c>
      <c r="AQ14" s="56" t="str">
        <f>BB14</f>
        <v>ENTRY</v>
      </c>
      <c r="AR14" s="39" t="s">
        <v>129</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99</v>
      </c>
      <c r="BD14" t="str">
        <f t="shared" ref="BD14:BD23" si="26">"CELL_"&amp;Header_LB_Unique_ID</f>
        <v>CELL_Saa_Sbb</v>
      </c>
      <c r="BV14" s="30" t="s">
        <v>263</v>
      </c>
      <c r="BY14" s="42"/>
      <c r="CB14" s="42"/>
      <c r="CE14" s="30"/>
      <c r="CH14" s="42"/>
      <c r="CN14" s="30"/>
      <c r="CP14" t="s">
        <v>12</v>
      </c>
      <c r="CQ14" s="40"/>
      <c r="CR14" s="30"/>
    </row>
    <row r="15" spans="2:96" x14ac:dyDescent="0.35">
      <c r="B15" s="4" t="str">
        <f t="shared" ref="B15:B19" si="27">IF(LEN(BT15)=0,Header_LB_Name,"&lt;BLANK&gt;")</f>
        <v>CELL_SAFE_INTERLOCKS_Saa_Sbb</v>
      </c>
      <c r="C15" s="4"/>
      <c r="D15" s="4" t="str">
        <f t="shared" ref="D15:D19" si="28">IF(BC15="CUSTOM",BV15,IF(BB15="ENTRY","From_",IF(BB15="EXIT","To_","&lt;invalid&gt;"))&amp;IF(OR(BC15="RBT",BC15="KEY",BC15="SNS"),IF(BE15="",BC15,BC15&amp;"_"&amp;BE15),IF(BC15="OPR",IF(BE15="",BC15&amp;"_"&amp;BD15,BC15&amp;"_"&amp;BE15),IF(BC15="LBS",IF(BE15="",BD15,BE15),BC15)))&amp;"_"&amp;IF(BC15="OPR",IF(BB15="ENTRY","end",IF(BB15="EXIT","start","&lt;invalid&gt;")),BV15))</f>
        <v>From_KEY_OpenGate</v>
      </c>
      <c r="E15" s="4" t="str">
        <f t="shared" ref="E15:E19" si="29">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KEY_CELL_Saa_Sbb_OpenGate</v>
      </c>
      <c r="F15" s="4" t="str">
        <f t="shared" ref="F15:F19" si="30">IF(BC15="CUSTOM",BE15,IF(OR(AND(BB15="ENTRY",OR(BC15="PLC",BC15="PSF")),AND(BB15="EXIT",OR(BC15="RBT",BC15="OPR"))),"Q","I"))</f>
        <v>I</v>
      </c>
      <c r="G15" s="4" t="str">
        <f t="shared" ref="G15:G19" si="31">IF(Header_PLC_Type="S7-ADD",IF(OR(BC15="PSF",BC15="PLC"),IF(BY15&lt;&gt;"",IF(AT15="BOOL",BY15&amp;"."&amp;BZ15,BY15),"&lt;missing&gt;"),""),"")</f>
        <v/>
      </c>
      <c r="H15" s="4" t="str">
        <f t="shared" ref="H15:H19" si="32">IF(OR(BC15="PLC",BC15="PSF"),IF(Header_PLC_Type="CLX",AY15&amp;CR15,IF(LEFT(Header_PLC_Type,2)="S7",AW15&amp;CE15,"&lt;invalid PLC type&gt;")),IF(Header_PLC_Type="CLX",IF(CR15&lt;&gt;"",CR15,""),IF(LEFT(Header_PLC_Type,2)="S7",IF(CE15&lt;&gt;"",CE15,""),"&lt;invalid PLC type&gt;")))</f>
        <v/>
      </c>
      <c r="I15" s="4" t="str">
        <f t="shared" ref="I15:I19" si="33">IF(OR(BC15="PLC",BC15="PSF"),BD15,IF(AND(BC15="CUSTOM",BF15&lt;&gt;""),BF15,""))</f>
        <v/>
      </c>
      <c r="J15" s="4"/>
      <c r="K15" s="56" t="str">
        <f t="shared" ref="K15:K19" si="34">AT15</f>
        <v>BOOL</v>
      </c>
      <c r="L15" s="56" t="str">
        <f t="shared" si="4"/>
        <v>SYSTEM\INTERLOCKS</v>
      </c>
      <c r="M15" s="56" t="str">
        <f t="shared" si="5"/>
        <v>STELLANTIS\Common\ToolPrototype\Interlocks</v>
      </c>
      <c r="N15" s="56" t="str">
        <f t="shared" si="6"/>
        <v>STELLANTIS_EIP_CELL_SAFE_INTERLOCKS_Saa_Sbb.v00</v>
      </c>
      <c r="O15" s="56" t="str">
        <f t="shared" ref="O15:O19" si="35">IF(AND(OR(BC15="SNS",BC15="OPR",BC15="RBT"),BF15&lt;&gt;""),BF15,IF(OR(BC15="PSF",BC15="PLC"),IF(BB15="ENTRY",IF(OR(ISLOGICAL(BF15),ISNUMBER(BF15)),LOWER(TEXT(BF15,"General")),IF((ISTEXT(BF15)),"CEE_To_VC_"&amp;BE15&amp;"_"&amp;BF15,"")),IF((ISTEXT(BF15)),"CEE_From_VC_"&amp;BE15&amp;"_"&amp;BF15,"")),IF(BC15="CUSTOM",IF(BH15&lt;&gt;"",BH15,""),"")))</f>
        <v/>
      </c>
      <c r="P15" s="56" t="str">
        <f t="shared" ref="P15:P19" si="36">IF(OR(BC15="SNS",BC15="OPR"),IF(BG15&lt;&gt;"",BG15,""),IF(BC15="RBT",BD15,IF(BC15="CUSTOM",IF(BG15&lt;&gt;"",BG15,""),"")))</f>
        <v/>
      </c>
      <c r="Q15" s="56" t="str">
        <f t="shared" ref="Q15:Q19" si="37">IF(BC15="OPR",IF(BV15&lt;&gt;"",BV15,"NONSIM"),IF(BC15="RBT",IF(BH15&lt;&gt;"",BH15,""),IF(BC15="SNS",IF(BH15&lt;&gt;"",BH15,L15),IF(OR(BC15="PLC",BC15="PSF"),IF(BG15&lt;&gt;"",BG15,""),""))))</f>
        <v/>
      </c>
      <c r="R15" s="56" t="str">
        <f t="shared" ref="R15:R19" si="38">IF(OR(BC15="PLC",BC15="PSF",BC15="OPR"),IF(BH15&lt;&gt;"",BH15,""),IF(BC15="RBT",IF(BI15&lt;&gt;"",BI15,""),IF(BC15="SNS",IF(BI15&lt;&gt;"",BI15,"PHOTOELECTRIC"),"")))</f>
        <v/>
      </c>
      <c r="S15" s="56" t="str">
        <f t="shared" ref="S15:S19" si="39">IF(OR(BC15="PLC",BC15="PSF",BC15="OPR",AND(BC15="CUSTOM",OR(BU15="PLC",BU15="PSF"))),IF(BI15&lt;&gt;"",BI15,""),IF(BC15="SNS",IF(BJ15&lt;&gt;"",BJ15,""),""))</f>
        <v/>
      </c>
      <c r="T15" s="56" t="str">
        <f t="shared" ref="T15:T19" si="40">IF(AND(Header_PLC_Type="CLX",BC15="PSF",BB15="EXIT"),CJ15&amp;CK15,IF(BC15="OPR",IF(BJ15&lt;&gt;"",BJ15,""),""))</f>
        <v/>
      </c>
      <c r="U15" s="56" t="str">
        <f t="shared" ref="U15:U19" si="41">IF(OR(BC15="SNS",BC15="OPR"),IF(BK15&lt;&gt;"",BK15,""),"")</f>
        <v/>
      </c>
      <c r="V15" s="56" t="str">
        <f t="shared" ref="V15:V19" si="42">IF(OR(BC15="SNS",BC15="OPR"),IF(BL15&lt;&gt;"",BL15,""),"")</f>
        <v/>
      </c>
      <c r="W15" s="56"/>
      <c r="X15" s="56"/>
      <c r="Y15" s="56"/>
      <c r="Z15" s="56" t="str">
        <f t="shared" ref="Z15:Z19" si="43">IF(BP15="","",BP15)</f>
        <v/>
      </c>
      <c r="AA15" s="56" t="str">
        <f t="shared" ref="AA15:AA19" si="44">IF($BQ15="","",$BQ15)</f>
        <v/>
      </c>
      <c r="AB15" s="56" t="str">
        <f t="shared" si="9"/>
        <v>ToolPrototype</v>
      </c>
      <c r="AC15" s="56" t="str">
        <f t="shared" ref="AC15:AC19" si="45">IF(ISBLANK(BT15),"","Optional")</f>
        <v/>
      </c>
      <c r="AD15" s="56" t="str">
        <f t="shared" si="10"/>
        <v/>
      </c>
      <c r="AE15" s="56" t="str">
        <f t="shared" si="11"/>
        <v/>
      </c>
      <c r="AF15"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19" si="46">IF(BR15&lt;&gt;"",BR15,"")</f>
        <v/>
      </c>
      <c r="AO15" s="56" t="str">
        <f t="shared" ref="AO15:AO19" si="47">IF(BS15&lt;&gt;"",BS15,"")</f>
        <v/>
      </c>
      <c r="AP15" s="56" t="str">
        <f t="shared" ref="AP15:AP19" si="48">IF(BC15&lt;&gt;"CUSTOM",BC15,BU15)</f>
        <v>KEY</v>
      </c>
      <c r="AQ15" s="56" t="str">
        <f t="shared" ref="AQ15:AQ19" si="49">BB15</f>
        <v>ENTRY</v>
      </c>
      <c r="AR15" s="39" t="s">
        <v>129</v>
      </c>
      <c r="AT15" s="44" t="str">
        <f t="shared" ref="AT15:AT19" si="50">IF(Header_PLC_Type="CLX",IF(CP15&lt;&gt;"",CP15,"&lt;noType&gt;"),IF(LEFT(Header_PLC_Type,2)="S7",IF(CD15&lt;&gt;"",CD15,"&lt;noType&gt;"),"&lt;noPLC&gt;"))</f>
        <v>BOOL</v>
      </c>
      <c r="AU15" s="23" t="str">
        <f t="shared" ref="AU15:AU19" si="51">IF(OR(BC15="PLC",BC15="PSF"),CA15,"")</f>
        <v/>
      </c>
      <c r="AV15" s="23" t="str">
        <f t="shared" ref="AV15:AV19" si="52">IF(OR(BC15="PLC",BC15="PSF"),IF(AT15="BOOL",F15,IF(AT15="BYTE",F15&amp;"B",IF(OR(AT15="WORD",AT15="INT"),F15&amp;"W",IF(OR(AT15="DWORD",AT15="DINT",AT15="REAL"),F15&amp;"D","&lt;invalid&gt;")))),"")</f>
        <v/>
      </c>
      <c r="AW15" s="23" t="str">
        <f t="shared" ref="AW15:AW19" si="53">IF(OR(BC15="PLC",BC15="PSF"),""&amp;AV15&amp;IF(AT15="BOOL",BY15&amp;"."&amp;BZ15,BY15)&amp; IF(CA15&lt;&gt;"",": &lt;"&amp;CA15&amp;"&gt; - ",": "),"")</f>
        <v/>
      </c>
      <c r="AX15" s="23" t="str">
        <f t="shared" ref="AX15:AX19" si="54">IF(OR(BC15="PLC",BC15="PSF"),IF(AND(BB15="EXIT",BC15="PSF"),CH15&amp;SUBSTITUTE(CJ15,":","_")&amp;CK15,CJ15&amp;CK15),"")</f>
        <v/>
      </c>
      <c r="AY15" s="36" t="str">
        <f t="shared" ref="AY15:AY19" si="55">IF(OR(BC15="PLC",BC15="PSF"),IF(CM15&lt;&gt;"",CM15 &amp; ": &lt;" &amp; CN15&amp;CO15 &amp; "&gt; - ","Controller: &lt;"&amp;CJ15&amp;CK15&amp;"&gt; - "),"")</f>
        <v/>
      </c>
      <c r="BB15" s="42" t="s">
        <v>15</v>
      </c>
      <c r="BC15" t="s">
        <v>99</v>
      </c>
      <c r="BD15" t="str">
        <f t="shared" si="26"/>
        <v>CELL_Saa_Sbb</v>
      </c>
      <c r="BV15" s="30" t="s">
        <v>265</v>
      </c>
      <c r="BY15" s="42"/>
      <c r="CB15" s="42"/>
      <c r="CE15" s="30"/>
      <c r="CH15" s="42"/>
      <c r="CN15" s="30"/>
      <c r="CP15" t="s">
        <v>12</v>
      </c>
      <c r="CQ15" s="40"/>
      <c r="CR15" s="30"/>
    </row>
    <row r="16" spans="2:96" x14ac:dyDescent="0.35">
      <c r="B16" s="4" t="str">
        <f t="shared" si="27"/>
        <v>CELL_SAFE_INTERLOCKS_Saa_Sbb</v>
      </c>
      <c r="C16" s="4"/>
      <c r="D16" s="4" t="str">
        <f t="shared" si="28"/>
        <v>From_KEY_UnplugPendant</v>
      </c>
      <c r="E16" s="4" t="str">
        <f t="shared" si="29"/>
        <v>KEY_CELL_Saa_Sbb_UnplugPendant</v>
      </c>
      <c r="F16" s="4" t="str">
        <f t="shared" si="30"/>
        <v>I</v>
      </c>
      <c r="G16" s="4" t="str">
        <f t="shared" si="31"/>
        <v/>
      </c>
      <c r="H16" s="4" t="str">
        <f t="shared" si="32"/>
        <v/>
      </c>
      <c r="I16" s="4" t="str">
        <f t="shared" si="33"/>
        <v/>
      </c>
      <c r="J16" s="4"/>
      <c r="K16" s="56" t="str">
        <f t="shared" si="34"/>
        <v>BOOL</v>
      </c>
      <c r="L16" s="56" t="str">
        <f t="shared" si="4"/>
        <v>SYSTEM\INTERLOCKS</v>
      </c>
      <c r="M16" s="56" t="str">
        <f t="shared" si="5"/>
        <v>STELLANTIS\Common\ToolPrototype\Interlocks</v>
      </c>
      <c r="N16" s="56" t="str">
        <f t="shared" si="6"/>
        <v>STELLANTIS_EIP_CELL_SAFE_INTERLOCKS_Saa_Sbb.v00</v>
      </c>
      <c r="O16" s="56" t="str">
        <f t="shared" si="35"/>
        <v/>
      </c>
      <c r="P16" s="56" t="str">
        <f t="shared" si="36"/>
        <v/>
      </c>
      <c r="Q16" s="56" t="str">
        <f t="shared" si="37"/>
        <v/>
      </c>
      <c r="R16" s="56" t="str">
        <f t="shared" si="38"/>
        <v/>
      </c>
      <c r="S16" s="56" t="str">
        <f t="shared" si="39"/>
        <v/>
      </c>
      <c r="T16" s="56" t="str">
        <f t="shared" si="40"/>
        <v/>
      </c>
      <c r="U16" s="56" t="str">
        <f t="shared" si="41"/>
        <v/>
      </c>
      <c r="V16" s="56" t="str">
        <f t="shared" si="42"/>
        <v/>
      </c>
      <c r="W16" s="56"/>
      <c r="X16" s="56"/>
      <c r="Y16" s="56"/>
      <c r="Z16" s="56" t="str">
        <f t="shared" si="43"/>
        <v/>
      </c>
      <c r="AA16" s="56" t="str">
        <f t="shared" si="44"/>
        <v/>
      </c>
      <c r="AB16" s="56" t="str">
        <f t="shared" si="9"/>
        <v>ToolPrototype</v>
      </c>
      <c r="AC16" s="56" t="str">
        <f t="shared" si="45"/>
        <v/>
      </c>
      <c r="AD16" s="56" t="str">
        <f t="shared" si="10"/>
        <v/>
      </c>
      <c r="AE16" s="56" t="str">
        <f t="shared" si="11"/>
        <v/>
      </c>
      <c r="AF16"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6"/>
        <v/>
      </c>
      <c r="AO16" s="56" t="str">
        <f t="shared" si="47"/>
        <v/>
      </c>
      <c r="AP16" s="56" t="str">
        <f t="shared" si="48"/>
        <v>KEY</v>
      </c>
      <c r="AQ16" s="56" t="str">
        <f t="shared" si="49"/>
        <v>ENTRY</v>
      </c>
      <c r="AR16" s="39" t="s">
        <v>129</v>
      </c>
      <c r="AT16" s="44" t="str">
        <f t="shared" si="50"/>
        <v>BOOL</v>
      </c>
      <c r="AU16" s="23" t="str">
        <f t="shared" si="51"/>
        <v/>
      </c>
      <c r="AV16" s="23" t="str">
        <f t="shared" si="52"/>
        <v/>
      </c>
      <c r="AW16" s="23" t="str">
        <f t="shared" si="53"/>
        <v/>
      </c>
      <c r="AX16" s="23" t="str">
        <f t="shared" si="54"/>
        <v/>
      </c>
      <c r="AY16" s="36" t="str">
        <f t="shared" si="55"/>
        <v/>
      </c>
      <c r="BB16" s="42" t="s">
        <v>15</v>
      </c>
      <c r="BC16" t="s">
        <v>99</v>
      </c>
      <c r="BD16" t="str">
        <f t="shared" si="26"/>
        <v>CELL_Saa_Sbb</v>
      </c>
      <c r="BV16" s="30" t="s">
        <v>276</v>
      </c>
      <c r="BY16" s="42"/>
      <c r="CB16" s="42"/>
      <c r="CE16" s="30"/>
      <c r="CH16" s="42"/>
      <c r="CN16" s="30"/>
      <c r="CP16" t="s">
        <v>12</v>
      </c>
      <c r="CQ16" s="40"/>
      <c r="CR16" s="30"/>
    </row>
    <row r="17" spans="2:96" x14ac:dyDescent="0.35">
      <c r="B17" s="4" t="str">
        <f t="shared" si="27"/>
        <v>CELL_SAFE_INTERLOCKS_Saa_Sbb</v>
      </c>
      <c r="C17" s="4"/>
      <c r="D17" s="4" t="str">
        <f t="shared" si="28"/>
        <v>From_KEY_EnablePendant</v>
      </c>
      <c r="E17" s="4" t="str">
        <f t="shared" si="29"/>
        <v>KEY_CELL_Saa_Sbb_EnablePendant</v>
      </c>
      <c r="F17" s="4" t="str">
        <f t="shared" si="30"/>
        <v>I</v>
      </c>
      <c r="G17" s="4" t="str">
        <f t="shared" si="31"/>
        <v/>
      </c>
      <c r="H17" s="4" t="str">
        <f t="shared" si="32"/>
        <v/>
      </c>
      <c r="I17" s="4" t="str">
        <f t="shared" si="33"/>
        <v/>
      </c>
      <c r="J17" s="4"/>
      <c r="K17" s="56" t="str">
        <f t="shared" si="34"/>
        <v>BOOL</v>
      </c>
      <c r="L17" s="56" t="str">
        <f t="shared" si="4"/>
        <v>SYSTEM\INTERLOCKS</v>
      </c>
      <c r="M17" s="56" t="str">
        <f t="shared" si="5"/>
        <v>STELLANTIS\Common\ToolPrototype\Interlocks</v>
      </c>
      <c r="N17" s="56" t="str">
        <f t="shared" si="6"/>
        <v>STELLANTIS_EIP_CELL_SAFE_INTERLOCKS_Saa_Sbb.v00</v>
      </c>
      <c r="O17" s="56" t="str">
        <f t="shared" si="35"/>
        <v/>
      </c>
      <c r="P17" s="56" t="str">
        <f t="shared" si="36"/>
        <v/>
      </c>
      <c r="Q17" s="56" t="str">
        <f t="shared" si="37"/>
        <v/>
      </c>
      <c r="R17" s="56" t="str">
        <f t="shared" si="38"/>
        <v/>
      </c>
      <c r="S17" s="56" t="str">
        <f t="shared" si="39"/>
        <v/>
      </c>
      <c r="T17" s="56" t="str">
        <f t="shared" si="40"/>
        <v/>
      </c>
      <c r="U17" s="56" t="str">
        <f t="shared" si="41"/>
        <v/>
      </c>
      <c r="V17" s="56" t="str">
        <f t="shared" si="42"/>
        <v/>
      </c>
      <c r="W17" s="56"/>
      <c r="X17" s="56"/>
      <c r="Y17" s="56"/>
      <c r="Z17" s="56" t="str">
        <f t="shared" si="43"/>
        <v/>
      </c>
      <c r="AA17" s="56" t="str">
        <f t="shared" si="44"/>
        <v/>
      </c>
      <c r="AB17" s="56" t="str">
        <f t="shared" si="9"/>
        <v>ToolPrototype</v>
      </c>
      <c r="AC17" s="56" t="str">
        <f t="shared" si="45"/>
        <v/>
      </c>
      <c r="AD17" s="56" t="str">
        <f t="shared" si="10"/>
        <v/>
      </c>
      <c r="AE17" s="56" t="str">
        <f t="shared" si="11"/>
        <v/>
      </c>
      <c r="AF17"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6"/>
        <v/>
      </c>
      <c r="AO17" s="56" t="str">
        <f t="shared" si="47"/>
        <v/>
      </c>
      <c r="AP17" s="56" t="str">
        <f t="shared" si="48"/>
        <v>KEY</v>
      </c>
      <c r="AQ17" s="56" t="str">
        <f t="shared" si="49"/>
        <v>ENTRY</v>
      </c>
      <c r="AR17" s="39" t="s">
        <v>129</v>
      </c>
      <c r="AT17" s="44" t="str">
        <f t="shared" si="50"/>
        <v>BOOL</v>
      </c>
      <c r="AU17" s="23" t="str">
        <f t="shared" si="51"/>
        <v/>
      </c>
      <c r="AV17" s="23" t="str">
        <f t="shared" si="52"/>
        <v/>
      </c>
      <c r="AW17" s="23" t="str">
        <f t="shared" si="53"/>
        <v/>
      </c>
      <c r="AX17" s="23" t="str">
        <f t="shared" si="54"/>
        <v/>
      </c>
      <c r="AY17" s="36" t="str">
        <f t="shared" si="55"/>
        <v/>
      </c>
      <c r="BB17" s="42" t="s">
        <v>15</v>
      </c>
      <c r="BC17" t="s">
        <v>99</v>
      </c>
      <c r="BD17" t="str">
        <f t="shared" si="26"/>
        <v>CELL_Saa_Sbb</v>
      </c>
      <c r="BV17" s="30" t="s">
        <v>257</v>
      </c>
      <c r="BY17" s="42"/>
      <c r="CB17" s="42"/>
      <c r="CE17" s="30"/>
      <c r="CH17" s="42"/>
      <c r="CN17" s="30"/>
      <c r="CP17" t="s">
        <v>12</v>
      </c>
      <c r="CQ17" s="40"/>
      <c r="CR17" s="30"/>
    </row>
    <row r="18" spans="2:96" x14ac:dyDescent="0.35">
      <c r="B18" s="4" t="str">
        <f t="shared" si="27"/>
        <v>CELL_SAFE_INTERLOCKS_Saa_Sbb</v>
      </c>
      <c r="C18" s="4"/>
      <c r="D18" s="4" t="str">
        <f t="shared" si="28"/>
        <v>From_KEY_UpStreamMZOff</v>
      </c>
      <c r="E18" s="4" t="str">
        <f t="shared" si="29"/>
        <v>KEY_CELL_Saa_Sbb_UpStreamMZOff</v>
      </c>
      <c r="F18" s="4" t="str">
        <f t="shared" si="30"/>
        <v>I</v>
      </c>
      <c r="G18" s="4" t="str">
        <f t="shared" si="31"/>
        <v/>
      </c>
      <c r="H18" s="4" t="str">
        <f t="shared" si="32"/>
        <v/>
      </c>
      <c r="I18" s="4" t="str">
        <f t="shared" si="33"/>
        <v/>
      </c>
      <c r="J18" s="4"/>
      <c r="K18" s="56" t="str">
        <f t="shared" si="34"/>
        <v>BOOL</v>
      </c>
      <c r="L18" s="56" t="str">
        <f t="shared" si="4"/>
        <v>SYSTEM\INTERLOCKS</v>
      </c>
      <c r="M18" s="56" t="str">
        <f t="shared" si="5"/>
        <v>STELLANTIS\Common\ToolPrototype\Interlocks</v>
      </c>
      <c r="N18" s="56" t="str">
        <f t="shared" si="6"/>
        <v>STELLANTIS_EIP_CELL_SAFE_INTERLOCKS_Saa_Sbb.v00</v>
      </c>
      <c r="O18" s="56" t="str">
        <f t="shared" si="35"/>
        <v/>
      </c>
      <c r="P18" s="56" t="str">
        <f t="shared" si="36"/>
        <v/>
      </c>
      <c r="Q18" s="56" t="str">
        <f t="shared" si="37"/>
        <v/>
      </c>
      <c r="R18" s="56" t="str">
        <f t="shared" si="38"/>
        <v/>
      </c>
      <c r="S18" s="56" t="str">
        <f t="shared" si="39"/>
        <v/>
      </c>
      <c r="T18" s="56" t="str">
        <f t="shared" si="40"/>
        <v/>
      </c>
      <c r="U18" s="56" t="str">
        <f t="shared" si="41"/>
        <v/>
      </c>
      <c r="V18" s="56" t="str">
        <f t="shared" si="42"/>
        <v/>
      </c>
      <c r="W18" s="56"/>
      <c r="X18" s="56"/>
      <c r="Y18" s="56"/>
      <c r="Z18" s="56" t="str">
        <f t="shared" si="43"/>
        <v/>
      </c>
      <c r="AA18" s="56" t="str">
        <f t="shared" si="44"/>
        <v/>
      </c>
      <c r="AB18" s="56" t="str">
        <f t="shared" si="9"/>
        <v>ToolPrototype</v>
      </c>
      <c r="AC18" s="56" t="str">
        <f t="shared" si="45"/>
        <v/>
      </c>
      <c r="AD18" s="56" t="str">
        <f t="shared" si="10"/>
        <v/>
      </c>
      <c r="AE18" s="56" t="str">
        <f t="shared" si="11"/>
        <v/>
      </c>
      <c r="AF18"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6"/>
        <v/>
      </c>
      <c r="AO18" s="56" t="str">
        <f t="shared" si="47"/>
        <v/>
      </c>
      <c r="AP18" s="56" t="str">
        <f t="shared" si="48"/>
        <v>KEY</v>
      </c>
      <c r="AQ18" s="56" t="str">
        <f t="shared" si="49"/>
        <v>ENTRY</v>
      </c>
      <c r="AR18" s="39" t="s">
        <v>129</v>
      </c>
      <c r="AT18" s="44" t="str">
        <f t="shared" si="50"/>
        <v>BOOL</v>
      </c>
      <c r="AU18" s="23" t="str">
        <f t="shared" si="51"/>
        <v/>
      </c>
      <c r="AV18" s="23" t="str">
        <f t="shared" si="52"/>
        <v/>
      </c>
      <c r="AW18" s="23" t="str">
        <f t="shared" si="53"/>
        <v/>
      </c>
      <c r="AX18" s="23" t="str">
        <f t="shared" si="54"/>
        <v/>
      </c>
      <c r="AY18" s="36" t="str">
        <f t="shared" si="55"/>
        <v/>
      </c>
      <c r="BB18" s="42" t="s">
        <v>15</v>
      </c>
      <c r="BC18" t="s">
        <v>99</v>
      </c>
      <c r="BD18" t="str">
        <f t="shared" si="26"/>
        <v>CELL_Saa_Sbb</v>
      </c>
      <c r="BV18" s="30" t="s">
        <v>277</v>
      </c>
      <c r="BY18" s="42"/>
      <c r="CB18" s="42"/>
      <c r="CE18" s="30"/>
      <c r="CH18" s="42"/>
      <c r="CN18" s="30"/>
      <c r="CP18" t="s">
        <v>12</v>
      </c>
      <c r="CQ18" s="40"/>
      <c r="CR18" s="30"/>
    </row>
    <row r="19" spans="2:96" x14ac:dyDescent="0.35">
      <c r="B19" s="4" t="str">
        <f t="shared" si="27"/>
        <v>CELL_SAFE_INTERLOCKS_Saa_Sbb</v>
      </c>
      <c r="C19" s="4"/>
      <c r="D19" s="4" t="str">
        <f t="shared" si="28"/>
        <v>From_KEY_DnStreamMZOff</v>
      </c>
      <c r="E19" s="4" t="str">
        <f t="shared" si="29"/>
        <v>KEY_CELL_Saa_Sbb_DnStreamMZOff</v>
      </c>
      <c r="F19" s="4" t="str">
        <f t="shared" si="30"/>
        <v>I</v>
      </c>
      <c r="G19" s="4" t="str">
        <f t="shared" si="31"/>
        <v/>
      </c>
      <c r="H19" s="4" t="str">
        <f t="shared" si="32"/>
        <v/>
      </c>
      <c r="I19" s="4" t="str">
        <f t="shared" si="33"/>
        <v/>
      </c>
      <c r="J19" s="4"/>
      <c r="K19" s="56" t="str">
        <f t="shared" si="34"/>
        <v>BOOL</v>
      </c>
      <c r="L19" s="56" t="str">
        <f t="shared" si="4"/>
        <v>SYSTEM\INTERLOCKS</v>
      </c>
      <c r="M19" s="56" t="str">
        <f t="shared" si="5"/>
        <v>STELLANTIS\Common\ToolPrototype\Interlocks</v>
      </c>
      <c r="N19" s="56" t="str">
        <f t="shared" si="6"/>
        <v>STELLANTIS_EIP_CELL_SAFE_INTERLOCKS_Saa_Sbb.v00</v>
      </c>
      <c r="O19" s="56" t="str">
        <f t="shared" si="35"/>
        <v/>
      </c>
      <c r="P19" s="56" t="str">
        <f t="shared" si="36"/>
        <v/>
      </c>
      <c r="Q19" s="56" t="str">
        <f t="shared" si="37"/>
        <v/>
      </c>
      <c r="R19" s="56" t="str">
        <f t="shared" si="38"/>
        <v/>
      </c>
      <c r="S19" s="56" t="str">
        <f t="shared" si="39"/>
        <v/>
      </c>
      <c r="T19" s="56" t="str">
        <f t="shared" si="40"/>
        <v/>
      </c>
      <c r="U19" s="56" t="str">
        <f t="shared" si="41"/>
        <v/>
      </c>
      <c r="V19" s="56" t="str">
        <f t="shared" si="42"/>
        <v/>
      </c>
      <c r="W19" s="56"/>
      <c r="X19" s="56"/>
      <c r="Y19" s="56"/>
      <c r="Z19" s="56" t="str">
        <f t="shared" si="43"/>
        <v/>
      </c>
      <c r="AA19" s="56" t="str">
        <f t="shared" si="44"/>
        <v/>
      </c>
      <c r="AB19" s="56" t="str">
        <f t="shared" si="9"/>
        <v>ToolPrototype</v>
      </c>
      <c r="AC19" s="56" t="str">
        <f t="shared" si="45"/>
        <v/>
      </c>
      <c r="AD19" s="56" t="str">
        <f t="shared" si="10"/>
        <v/>
      </c>
      <c r="AE19" s="56" t="str">
        <f t="shared" si="11"/>
        <v/>
      </c>
      <c r="AF19"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6"/>
        <v/>
      </c>
      <c r="AO19" s="56" t="str">
        <f t="shared" si="47"/>
        <v/>
      </c>
      <c r="AP19" s="56" t="str">
        <f t="shared" si="48"/>
        <v>KEY</v>
      </c>
      <c r="AQ19" s="56" t="str">
        <f t="shared" si="49"/>
        <v>ENTRY</v>
      </c>
      <c r="AR19" s="39" t="s">
        <v>129</v>
      </c>
      <c r="AT19" s="44" t="str">
        <f t="shared" si="50"/>
        <v>BOOL</v>
      </c>
      <c r="AU19" s="23" t="str">
        <f t="shared" si="51"/>
        <v/>
      </c>
      <c r="AV19" s="23" t="str">
        <f t="shared" si="52"/>
        <v/>
      </c>
      <c r="AW19" s="23" t="str">
        <f t="shared" si="53"/>
        <v/>
      </c>
      <c r="AX19" s="23" t="str">
        <f t="shared" si="54"/>
        <v/>
      </c>
      <c r="AY19" s="36" t="str">
        <f t="shared" si="55"/>
        <v/>
      </c>
      <c r="BB19" s="42" t="s">
        <v>15</v>
      </c>
      <c r="BC19" t="s">
        <v>99</v>
      </c>
      <c r="BD19" t="str">
        <f t="shared" si="26"/>
        <v>CELL_Saa_Sbb</v>
      </c>
      <c r="BV19" s="30" t="s">
        <v>278</v>
      </c>
      <c r="BY19" s="42"/>
      <c r="CB19" s="42"/>
      <c r="CE19" s="30"/>
      <c r="CH19" s="42"/>
      <c r="CN19" s="30"/>
      <c r="CP19" t="s">
        <v>12</v>
      </c>
      <c r="CQ19" s="40"/>
      <c r="CR19" s="30"/>
    </row>
    <row r="20" spans="2:96" x14ac:dyDescent="0.35">
      <c r="B20" s="4" t="str">
        <f t="shared" ref="B20:B32" si="56">IF(LEN(BT20)=0,Header_LB_Name,"&lt;BLANK&gt;")</f>
        <v>CELL_SAFE_INTERLOCKS_Saa_Sbb</v>
      </c>
      <c r="C20" s="4"/>
      <c r="D20" s="4" t="str">
        <f t="shared" ref="D20:D32" si="57">IF(BC20="CUSTOM",BV20,IF(BB20="ENTRY","From_",IF(BB20="EXIT","To_","&lt;invalid&gt;"))&amp;IF(OR(BC20="RBT",BC20="KEY",BC20="SNS"),IF(BE20="",BC20,BC20&amp;"_"&amp;BE20),IF(BC20="OPR",IF(BE20="",BC20&amp;"_"&amp;BD20,BC20&amp;"_"&amp;BE20),IF(BC20="LBS",IF(BE20="",BD20,BE20),BC20)))&amp;"_"&amp;IF(BC20="OPR",IF(BB20="ENTRY","end",IF(BB20="EXIT","start","&lt;invalid&gt;")),BV20))</f>
        <v>From_KEY_PermSafetiesOff</v>
      </c>
      <c r="E20" s="4" t="str">
        <f t="shared" ref="E20:E32" si="58">IF(OR(BC20="PLC",BC20="PSF"),IF(Header_PLC_Type="CLX",AX20,IF(LEFT(Header_PLC_Type,2)="S7",AU20,"&lt;invalid PLC type&gt;")),IF(BB20="ENTRY",IF(BC20="LBS",IF(BD20&lt;&gt;"",IF(BF20="",BC20&amp;"_"&amp;BD20&amp;"_To_"&amp;B20&amp;"_"&amp;BV20,BC20&amp;"_"&amp;BD20&amp;"_To_"&amp;BF20&amp;"_"&amp;BV20),"&lt;missing other LB/group name&gt;"),IF(OR(BC20="SNS",BC20="KEY"),IF(BD20&lt;&gt;"",BC20&amp;"_"&amp;BD20&amp;"_"&amp;BV20,"&lt;missing unique identifier&gt;"),IF(OR(BC20="RBT",BC20="OPR"),IF(BD20&lt;&gt;"",BD20&amp;"_"&amp;IF(BC20="OPR","end",IF(BG20&lt;&gt;"",BG20,BV20)),"&lt;missing unique identifier&gt;"),IF(BC20="CUSTOM",BD20,"&lt;invalid connection&gt;")))),IF(BB20="EXIT",IF(BC20="LBS",IF(BD20&lt;&gt;"",BC20&amp;"_"&amp;B20&amp;"_To_"&amp;BD20&amp;"_"&amp;BV20,"&lt;missing other LB/group name&gt;"),IF(OR(BC20="RBT",BC20="OPR"),IF(BD20&lt;&gt;"",BD20&amp;"_"&amp;IF(BC20="OPR","start",IF(BG20&lt;&gt;"",BG20,BV20)),"&lt;missing unique identifier&gt;"),IF(BC20="CUSTOM",BD20,"&lt;invalid connection (sensor or key signal can't be exit)&gt;"))),"&lt;invalid entry/exit&gt;")))</f>
        <v>KEY_CELL_Saa_Sbb_PermSafetiesOff</v>
      </c>
      <c r="F20" s="4" t="str">
        <f t="shared" ref="F20:F32" si="59">IF(BC20="CUSTOM",BE20,IF(OR(AND(BB20="ENTRY",OR(BC20="PLC",BC20="PSF")),AND(BB20="EXIT",OR(BC20="RBT",BC20="OPR"))),"Q","I"))</f>
        <v>I</v>
      </c>
      <c r="G20" s="4" t="str">
        <f t="shared" ref="G20:G32" si="60">IF(Header_PLC_Type="S7-ADD",IF(OR(BC20="PSF",BC20="PLC"),IF(BY20&lt;&gt;"",IF(AT20="BOOL",BY20&amp;"."&amp;BZ20,BY20),"&lt;missing&gt;"),""),"")</f>
        <v/>
      </c>
      <c r="H20" s="4" t="str">
        <f t="shared" ref="H20:H32" si="61">IF(OR(BC20="PLC",BC20="PSF"),IF(Header_PLC_Type="CLX",AY20&amp;CR20,IF(LEFT(Header_PLC_Type,2)="S7",AW20&amp;CE20,"&lt;invalid PLC type&gt;")),IF(Header_PLC_Type="CLX",IF(CR20&lt;&gt;"",CR20,""),IF(LEFT(Header_PLC_Type,2)="S7",IF(CE20&lt;&gt;"",CE20,""),"&lt;invalid PLC type&gt;")))</f>
        <v/>
      </c>
      <c r="I20" s="4" t="str">
        <f t="shared" ref="I20:I32" si="62">IF(OR(BC20="PLC",BC20="PSF"),BD20,IF(AND(BC20="CUSTOM",BF20&lt;&gt;""),BF20,""))</f>
        <v/>
      </c>
      <c r="J20" s="4"/>
      <c r="K20" s="56" t="str">
        <f t="shared" ref="K20:K32" si="63">AT20</f>
        <v>BOOL</v>
      </c>
      <c r="L20" s="56" t="str">
        <f t="shared" si="4"/>
        <v>SYSTEM\INTERLOCKS</v>
      </c>
      <c r="M20" s="56" t="str">
        <f t="shared" si="5"/>
        <v>STELLANTIS\Common\ToolPrototype\Interlocks</v>
      </c>
      <c r="N20" s="56" t="str">
        <f t="shared" si="6"/>
        <v>STELLANTIS_EIP_CELL_SAFE_INTERLOCKS_Saa_Sbb.v00</v>
      </c>
      <c r="O20" s="56" t="str">
        <f t="shared" ref="O20:O32" si="64">IF(AND(OR(BC20="SNS",BC20="OPR",BC20="RBT"),BF20&lt;&gt;""),BF20,IF(OR(BC20="PSF",BC20="PLC"),IF(BB20="ENTRY",IF(OR(ISLOGICAL(BF20),ISNUMBER(BF20)),LOWER(TEXT(BF20,"General")),IF((ISTEXT(BF20)),"CEE_To_VC_"&amp;BE20&amp;"_"&amp;BF20,"")),IF((ISTEXT(BF20)),"CEE_From_VC_"&amp;BE20&amp;"_"&amp;BF20,"")),IF(BC20="CUSTOM",IF(BH20&lt;&gt;"",BH20,""),"")))</f>
        <v/>
      </c>
      <c r="P20" s="56" t="str">
        <f t="shared" ref="P20:P32" si="65">IF(OR(BC20="SNS",BC20="OPR"),IF(BG20&lt;&gt;"",BG20,""),IF(BC20="RBT",BD20,IF(BC20="CUSTOM",IF(BG20&lt;&gt;"",BG20,""),"")))</f>
        <v/>
      </c>
      <c r="Q20" s="56" t="str">
        <f t="shared" ref="Q20:Q32" si="66">IF(BC20="OPR",IF(BV20&lt;&gt;"",BV20,"NONSIM"),IF(BC20="RBT",IF(BH20&lt;&gt;"",BH20,""),IF(BC20="SNS",IF(BH20&lt;&gt;"",BH20,L20),IF(OR(BC20="PLC",BC20="PSF"),IF(BG20&lt;&gt;"",BG20,""),""))))</f>
        <v/>
      </c>
      <c r="R20" s="56" t="str">
        <f t="shared" ref="R20:R32" si="67">IF(OR(BC20="PLC",BC20="PSF",BC20="OPR"),IF(BH20&lt;&gt;"",BH20,""),IF(BC20="RBT",IF(BI20&lt;&gt;"",BI20,""),IF(BC20="SNS",IF(BI20&lt;&gt;"",BI20,"PHOTOELECTRIC"),"")))</f>
        <v/>
      </c>
      <c r="S20" s="56" t="str">
        <f t="shared" ref="S20:S32" si="68">IF(OR(BC20="PLC",BC20="PSF",BC20="OPR",AND(BC20="CUSTOM",OR(BU20="PLC",BU20="PSF"))),IF(BI20&lt;&gt;"",BI20,""),IF(BC20="SNS",IF(BJ20&lt;&gt;"",BJ20,""),""))</f>
        <v/>
      </c>
      <c r="T20" s="56" t="str">
        <f t="shared" ref="T20:T32" si="69">IF(AND(Header_PLC_Type="CLX",BC20="PSF",BB20="EXIT"),CJ20&amp;CK20,IF(BC20="OPR",IF(BJ20&lt;&gt;"",BJ20,""),""))</f>
        <v/>
      </c>
      <c r="U20" s="56" t="str">
        <f t="shared" ref="U20:U32" si="70">IF(OR(BC20="SNS",BC20="OPR"),IF(BK20&lt;&gt;"",BK20,""),"")</f>
        <v/>
      </c>
      <c r="V20" s="56" t="str">
        <f t="shared" ref="V20:V32" si="71">IF(OR(BC20="SNS",BC20="OPR"),IF(BL20&lt;&gt;"",BL20,""),"")</f>
        <v/>
      </c>
      <c r="W20" s="56"/>
      <c r="X20" s="56"/>
      <c r="Y20" s="56"/>
      <c r="Z20" s="56" t="str">
        <f t="shared" ref="Z20:Z32" si="72">IF(BP20="","",BP20)</f>
        <v/>
      </c>
      <c r="AA20" s="56" t="str">
        <f t="shared" ref="AA20:AA32" si="73">IF($BQ20="","",$BQ20)</f>
        <v/>
      </c>
      <c r="AB20" s="56" t="str">
        <f t="shared" si="9"/>
        <v>ToolPrototype</v>
      </c>
      <c r="AC20" s="56" t="str">
        <f t="shared" ref="AC20:AC32" si="74">IF(ISBLANK(BT20),"","Optional")</f>
        <v/>
      </c>
      <c r="AD20" s="56" t="str">
        <f t="shared" si="10"/>
        <v/>
      </c>
      <c r="AE20" s="56" t="str">
        <f t="shared" si="11"/>
        <v/>
      </c>
      <c r="AF20"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ref="AN20:AN32" si="75">IF(BR20&lt;&gt;"",BR20,"")</f>
        <v/>
      </c>
      <c r="AO20" s="56" t="str">
        <f t="shared" ref="AO20:AO32" si="76">IF(BS20&lt;&gt;"",BS20,"")</f>
        <v/>
      </c>
      <c r="AP20" s="56" t="str">
        <f t="shared" ref="AP20:AP32" si="77">IF(BC20&lt;&gt;"CUSTOM",BC20,BU20)</f>
        <v>KEY</v>
      </c>
      <c r="AQ20" s="56" t="str">
        <f t="shared" ref="AQ20:AQ32" si="78">BB20</f>
        <v>ENTRY</v>
      </c>
      <c r="AR20" s="39" t="s">
        <v>129</v>
      </c>
      <c r="AT20" s="44" t="str">
        <f t="shared" ref="AT20:AT32" si="79">IF(Header_PLC_Type="CLX",IF(CP20&lt;&gt;"",CP20,"&lt;noType&gt;"),IF(LEFT(Header_PLC_Type,2)="S7",IF(CD20&lt;&gt;"",CD20,"&lt;noType&gt;"),"&lt;noPLC&gt;"))</f>
        <v>BOOL</v>
      </c>
      <c r="AU20" s="23" t="str">
        <f t="shared" ref="AU20:AU32" si="80">IF(OR(BC20="PLC",BC20="PSF"),CA20,"")</f>
        <v/>
      </c>
      <c r="AV20" s="23" t="str">
        <f t="shared" ref="AV20:AV32" si="81">IF(OR(BC20="PLC",BC20="PSF"),IF(AT20="BOOL",F20,IF(AT20="BYTE",F20&amp;"B",IF(OR(AT20="WORD",AT20="INT"),F20&amp;"W",IF(OR(AT20="DWORD",AT20="DINT",AT20="REAL"),F20&amp;"D","&lt;invalid&gt;")))),"")</f>
        <v/>
      </c>
      <c r="AW20" s="23" t="str">
        <f t="shared" ref="AW20:AW32" si="82">IF(OR(BC20="PLC",BC20="PSF"),""&amp;AV20&amp;IF(AT20="BOOL",BY20&amp;"."&amp;BZ20,BY20)&amp; IF(CA20&lt;&gt;"",": &lt;"&amp;CA20&amp;"&gt; - ",": "),"")</f>
        <v/>
      </c>
      <c r="AX20" s="23" t="str">
        <f t="shared" ref="AX20:AX32" si="83">IF(OR(BC20="PLC",BC20="PSF"),IF(AND(BB20="EXIT",BC20="PSF"),CH20&amp;SUBSTITUTE(CJ20,":","_")&amp;CK20,CJ20&amp;CK20),"")</f>
        <v/>
      </c>
      <c r="AY20" s="36" t="str">
        <f t="shared" ref="AY20:AY32" si="84">IF(OR(BC20="PLC",BC20="PSF"),IF(CM20&lt;&gt;"",CM20 &amp; ": &lt;" &amp; CN20&amp;CO20 &amp; "&gt; - ","Controller: &lt;"&amp;CJ20&amp;CK20&amp;"&gt; - "),"")</f>
        <v/>
      </c>
      <c r="BB20" s="42" t="s">
        <v>15</v>
      </c>
      <c r="BC20" t="s">
        <v>99</v>
      </c>
      <c r="BD20" t="str">
        <f t="shared" si="26"/>
        <v>CELL_Saa_Sbb</v>
      </c>
      <c r="BV20" s="30" t="s">
        <v>279</v>
      </c>
      <c r="BY20" s="42"/>
      <c r="CB20" s="42"/>
      <c r="CE20" s="30"/>
      <c r="CH20" s="42"/>
      <c r="CN20" s="30"/>
      <c r="CP20" t="s">
        <v>12</v>
      </c>
      <c r="CQ20" s="40"/>
      <c r="CR20" s="30"/>
    </row>
    <row r="21" spans="2:96" x14ac:dyDescent="0.35">
      <c r="B21" s="4" t="str">
        <f t="shared" si="56"/>
        <v>CELL_SAFE_INTERLOCKS_Saa_Sbb</v>
      </c>
      <c r="C21" s="4"/>
      <c r="D21" s="4" t="str">
        <f t="shared" si="57"/>
        <v>From_KEY_UpStreamSftyOff</v>
      </c>
      <c r="E21" s="4" t="str">
        <f t="shared" si="58"/>
        <v>KEY_CELL_Saa_Sbb_UpStreamSftyOff</v>
      </c>
      <c r="F21" s="4" t="str">
        <f t="shared" si="59"/>
        <v>I</v>
      </c>
      <c r="G21" s="4" t="str">
        <f t="shared" si="60"/>
        <v/>
      </c>
      <c r="H21" s="4" t="str">
        <f t="shared" si="61"/>
        <v/>
      </c>
      <c r="I21" s="4" t="str">
        <f t="shared" si="62"/>
        <v/>
      </c>
      <c r="J21" s="4"/>
      <c r="K21" s="56" t="str">
        <f t="shared" si="63"/>
        <v>BOOL</v>
      </c>
      <c r="L21" s="56" t="str">
        <f t="shared" si="4"/>
        <v>SYSTEM\INTERLOCKS</v>
      </c>
      <c r="M21" s="56" t="str">
        <f t="shared" si="5"/>
        <v>STELLANTIS\Common\ToolPrototype\Interlocks</v>
      </c>
      <c r="N21" s="56" t="str">
        <f t="shared" si="6"/>
        <v>STELLANTIS_EIP_CELL_SAFE_INTERLOCKS_Saa_Sbb.v00</v>
      </c>
      <c r="O21" s="56" t="str">
        <f t="shared" si="64"/>
        <v/>
      </c>
      <c r="P21" s="56" t="str">
        <f t="shared" si="65"/>
        <v/>
      </c>
      <c r="Q21" s="56" t="str">
        <f t="shared" si="66"/>
        <v/>
      </c>
      <c r="R21" s="56" t="str">
        <f t="shared" si="67"/>
        <v/>
      </c>
      <c r="S21" s="56" t="str">
        <f t="shared" si="68"/>
        <v/>
      </c>
      <c r="T21" s="56" t="str">
        <f t="shared" si="69"/>
        <v/>
      </c>
      <c r="U21" s="56" t="str">
        <f t="shared" si="70"/>
        <v/>
      </c>
      <c r="V21" s="56" t="str">
        <f t="shared" si="71"/>
        <v/>
      </c>
      <c r="W21" s="56"/>
      <c r="X21" s="56"/>
      <c r="Y21" s="56"/>
      <c r="Z21" s="56" t="str">
        <f t="shared" si="72"/>
        <v/>
      </c>
      <c r="AA21" s="56" t="str">
        <f t="shared" si="73"/>
        <v/>
      </c>
      <c r="AB21" s="56" t="str">
        <f t="shared" si="9"/>
        <v>ToolPrototype</v>
      </c>
      <c r="AC21" s="56" t="str">
        <f t="shared" si="74"/>
        <v/>
      </c>
      <c r="AD21" s="56" t="str">
        <f t="shared" si="10"/>
        <v/>
      </c>
      <c r="AE21" s="56" t="str">
        <f t="shared" si="11"/>
        <v/>
      </c>
      <c r="AF21"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75"/>
        <v/>
      </c>
      <c r="AO21" s="56" t="str">
        <f t="shared" si="76"/>
        <v/>
      </c>
      <c r="AP21" s="56" t="str">
        <f t="shared" si="77"/>
        <v>KEY</v>
      </c>
      <c r="AQ21" s="56" t="str">
        <f t="shared" si="78"/>
        <v>ENTRY</v>
      </c>
      <c r="AR21" s="39" t="s">
        <v>129</v>
      </c>
      <c r="AT21" s="44" t="str">
        <f t="shared" si="79"/>
        <v>BOOL</v>
      </c>
      <c r="AU21" s="23" t="str">
        <f t="shared" si="80"/>
        <v/>
      </c>
      <c r="AV21" s="23" t="str">
        <f t="shared" si="81"/>
        <v/>
      </c>
      <c r="AW21" s="23" t="str">
        <f t="shared" si="82"/>
        <v/>
      </c>
      <c r="AX21" s="23" t="str">
        <f t="shared" si="83"/>
        <v/>
      </c>
      <c r="AY21" s="36" t="str">
        <f t="shared" si="84"/>
        <v/>
      </c>
      <c r="BB21" s="42" t="s">
        <v>15</v>
      </c>
      <c r="BC21" t="s">
        <v>99</v>
      </c>
      <c r="BD21" t="str">
        <f t="shared" si="26"/>
        <v>CELL_Saa_Sbb</v>
      </c>
      <c r="BV21" s="30" t="s">
        <v>280</v>
      </c>
      <c r="BY21" s="42"/>
      <c r="CB21" s="42"/>
      <c r="CE21" s="30"/>
      <c r="CH21" s="42"/>
      <c r="CN21" s="30"/>
      <c r="CP21" t="s">
        <v>12</v>
      </c>
      <c r="CQ21" s="40"/>
      <c r="CR21" s="30"/>
    </row>
    <row r="22" spans="2:96" x14ac:dyDescent="0.35">
      <c r="B22" s="4" t="str">
        <f t="shared" si="56"/>
        <v>CELL_SAFE_INTERLOCKS_Saa_Sbb</v>
      </c>
      <c r="C22" s="4"/>
      <c r="D22" s="4" t="str">
        <f t="shared" si="57"/>
        <v>From_KEY_DnStreamSftyOff</v>
      </c>
      <c r="E22" s="4" t="str">
        <f t="shared" si="58"/>
        <v>KEY_CELL_Saa_Sbb_DnStreamSftyOff</v>
      </c>
      <c r="F22" s="4" t="str">
        <f t="shared" si="59"/>
        <v>I</v>
      </c>
      <c r="G22" s="4" t="str">
        <f t="shared" si="60"/>
        <v/>
      </c>
      <c r="H22" s="4" t="str">
        <f t="shared" si="61"/>
        <v/>
      </c>
      <c r="I22" s="4" t="str">
        <f t="shared" si="62"/>
        <v/>
      </c>
      <c r="J22" s="4"/>
      <c r="K22" s="56" t="str">
        <f t="shared" si="63"/>
        <v>BOOL</v>
      </c>
      <c r="L22" s="56" t="str">
        <f t="shared" si="4"/>
        <v>SYSTEM\INTERLOCKS</v>
      </c>
      <c r="M22" s="56" t="str">
        <f t="shared" si="5"/>
        <v>STELLANTIS\Common\ToolPrototype\Interlocks</v>
      </c>
      <c r="N22" s="56" t="str">
        <f t="shared" si="6"/>
        <v>STELLANTIS_EIP_CELL_SAFE_INTERLOCKS_Saa_Sbb.v00</v>
      </c>
      <c r="O22" s="56" t="str">
        <f t="shared" si="64"/>
        <v/>
      </c>
      <c r="P22" s="56" t="str">
        <f t="shared" si="65"/>
        <v/>
      </c>
      <c r="Q22" s="56" t="str">
        <f t="shared" si="66"/>
        <v/>
      </c>
      <c r="R22" s="56" t="str">
        <f t="shared" si="67"/>
        <v/>
      </c>
      <c r="S22" s="56" t="str">
        <f t="shared" si="68"/>
        <v/>
      </c>
      <c r="T22" s="56" t="str">
        <f t="shared" si="69"/>
        <v/>
      </c>
      <c r="U22" s="56" t="str">
        <f t="shared" si="70"/>
        <v/>
      </c>
      <c r="V22" s="56" t="str">
        <f t="shared" si="71"/>
        <v/>
      </c>
      <c r="W22" s="56"/>
      <c r="X22" s="56"/>
      <c r="Y22" s="56"/>
      <c r="Z22" s="56" t="str">
        <f t="shared" si="72"/>
        <v/>
      </c>
      <c r="AA22" s="56" t="str">
        <f t="shared" si="73"/>
        <v/>
      </c>
      <c r="AB22" s="56" t="str">
        <f t="shared" si="9"/>
        <v>ToolPrototype</v>
      </c>
      <c r="AC22" s="56" t="str">
        <f t="shared" si="74"/>
        <v/>
      </c>
      <c r="AD22" s="56" t="str">
        <f t="shared" si="10"/>
        <v/>
      </c>
      <c r="AE22" s="56" t="str">
        <f t="shared" si="11"/>
        <v/>
      </c>
      <c r="AF22"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75"/>
        <v/>
      </c>
      <c r="AO22" s="56" t="str">
        <f t="shared" si="76"/>
        <v/>
      </c>
      <c r="AP22" s="56" t="str">
        <f t="shared" si="77"/>
        <v>KEY</v>
      </c>
      <c r="AQ22" s="56" t="str">
        <f t="shared" si="78"/>
        <v>ENTRY</v>
      </c>
      <c r="AR22" s="39" t="s">
        <v>129</v>
      </c>
      <c r="AT22" s="44" t="str">
        <f t="shared" si="79"/>
        <v>BOOL</v>
      </c>
      <c r="AU22" s="23" t="str">
        <f t="shared" si="80"/>
        <v/>
      </c>
      <c r="AV22" s="23" t="str">
        <f t="shared" si="81"/>
        <v/>
      </c>
      <c r="AW22" s="23" t="str">
        <f t="shared" si="82"/>
        <v/>
      </c>
      <c r="AX22" s="23" t="str">
        <f t="shared" si="83"/>
        <v/>
      </c>
      <c r="AY22" s="36" t="str">
        <f t="shared" si="84"/>
        <v/>
      </c>
      <c r="BB22" s="42" t="s">
        <v>15</v>
      </c>
      <c r="BC22" t="s">
        <v>99</v>
      </c>
      <c r="BD22" t="str">
        <f t="shared" si="26"/>
        <v>CELL_Saa_Sbb</v>
      </c>
      <c r="BV22" s="30" t="s">
        <v>281</v>
      </c>
      <c r="BY22" s="42"/>
      <c r="CB22" s="42"/>
      <c r="CE22" s="30"/>
      <c r="CH22" s="42"/>
      <c r="CN22" s="30"/>
      <c r="CP22" t="s">
        <v>12</v>
      </c>
      <c r="CQ22" s="40"/>
      <c r="CR22" s="30"/>
    </row>
    <row r="23" spans="2:96" x14ac:dyDescent="0.35">
      <c r="B23" s="4" t="str">
        <f t="shared" si="56"/>
        <v>CELL_SAFE_INTERLOCKS_Saa_Sbb</v>
      </c>
      <c r="C23" s="4"/>
      <c r="D23" s="4" t="str">
        <f t="shared" si="57"/>
        <v>From_KEY_PressSDResetPB</v>
      </c>
      <c r="E23" s="4" t="str">
        <f t="shared" si="58"/>
        <v>KEY_CELL_Saa_Sbb_PressSDResetPB</v>
      </c>
      <c r="F23" s="4" t="str">
        <f t="shared" si="59"/>
        <v>I</v>
      </c>
      <c r="G23" s="4" t="str">
        <f t="shared" si="60"/>
        <v/>
      </c>
      <c r="H23" s="4" t="str">
        <f t="shared" si="61"/>
        <v/>
      </c>
      <c r="I23" s="4" t="str">
        <f t="shared" si="62"/>
        <v/>
      </c>
      <c r="J23" s="4"/>
      <c r="K23" s="56" t="str">
        <f t="shared" si="63"/>
        <v>BOOL</v>
      </c>
      <c r="L23" s="56" t="str">
        <f t="shared" si="4"/>
        <v>SYSTEM\INTERLOCKS</v>
      </c>
      <c r="M23" s="56" t="str">
        <f t="shared" si="5"/>
        <v>STELLANTIS\Common\ToolPrototype\Interlocks</v>
      </c>
      <c r="N23" s="56" t="str">
        <f t="shared" si="6"/>
        <v>STELLANTIS_EIP_CELL_SAFE_INTERLOCKS_Saa_Sbb.v00</v>
      </c>
      <c r="O23" s="56" t="str">
        <f t="shared" si="64"/>
        <v/>
      </c>
      <c r="P23" s="56" t="str">
        <f t="shared" si="65"/>
        <v/>
      </c>
      <c r="Q23" s="56" t="str">
        <f t="shared" si="66"/>
        <v/>
      </c>
      <c r="R23" s="56" t="str">
        <f t="shared" si="67"/>
        <v/>
      </c>
      <c r="S23" s="56" t="str">
        <f t="shared" si="68"/>
        <v/>
      </c>
      <c r="T23" s="56" t="str">
        <f t="shared" si="69"/>
        <v/>
      </c>
      <c r="U23" s="56" t="str">
        <f t="shared" si="70"/>
        <v/>
      </c>
      <c r="V23" s="56" t="str">
        <f t="shared" si="71"/>
        <v/>
      </c>
      <c r="W23" s="56"/>
      <c r="X23" s="56"/>
      <c r="Y23" s="56"/>
      <c r="Z23" s="56" t="str">
        <f t="shared" si="72"/>
        <v/>
      </c>
      <c r="AA23" s="56" t="str">
        <f t="shared" si="73"/>
        <v/>
      </c>
      <c r="AB23" s="56" t="str">
        <f t="shared" si="9"/>
        <v>ToolPrototype</v>
      </c>
      <c r="AC23" s="56" t="str">
        <f t="shared" si="74"/>
        <v/>
      </c>
      <c r="AD23" s="56" t="str">
        <f t="shared" si="10"/>
        <v/>
      </c>
      <c r="AE23" s="56" t="str">
        <f t="shared" si="11"/>
        <v/>
      </c>
      <c r="AF23"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75"/>
        <v/>
      </c>
      <c r="AO23" s="56" t="str">
        <f t="shared" si="76"/>
        <v/>
      </c>
      <c r="AP23" s="56" t="str">
        <f t="shared" si="77"/>
        <v>KEY</v>
      </c>
      <c r="AQ23" s="56" t="str">
        <f t="shared" si="78"/>
        <v>ENTRY</v>
      </c>
      <c r="AR23" s="39" t="s">
        <v>129</v>
      </c>
      <c r="AT23" s="44" t="str">
        <f t="shared" si="79"/>
        <v>BOOL</v>
      </c>
      <c r="AU23" s="23" t="str">
        <f t="shared" si="80"/>
        <v/>
      </c>
      <c r="AV23" s="23" t="str">
        <f t="shared" si="81"/>
        <v/>
      </c>
      <c r="AW23" s="23" t="str">
        <f t="shared" si="82"/>
        <v/>
      </c>
      <c r="AX23" s="23" t="str">
        <f t="shared" si="83"/>
        <v/>
      </c>
      <c r="AY23" s="36" t="str">
        <f t="shared" si="84"/>
        <v/>
      </c>
      <c r="BB23" s="42" t="s">
        <v>15</v>
      </c>
      <c r="BC23" t="s">
        <v>99</v>
      </c>
      <c r="BD23" t="str">
        <f t="shared" si="26"/>
        <v>CELL_Saa_Sbb</v>
      </c>
      <c r="BV23" s="30" t="s">
        <v>282</v>
      </c>
      <c r="BY23" s="42"/>
      <c r="CB23" s="42"/>
      <c r="CE23" s="30"/>
      <c r="CH23" s="42"/>
      <c r="CN23" s="30"/>
      <c r="CP23" t="s">
        <v>12</v>
      </c>
      <c r="CQ23" s="40"/>
      <c r="CR23" s="30"/>
    </row>
    <row r="24" spans="2:96" x14ac:dyDescent="0.35">
      <c r="B24" s="4" t="str">
        <f t="shared" si="56"/>
        <v>CELL_SAFE_INTERLOCKS_Saa_Sbb</v>
      </c>
      <c r="C24" s="4"/>
      <c r="D24" s="4" t="str">
        <f t="shared" si="57"/>
        <v>To_PSF_RunMode</v>
      </c>
      <c r="E24" s="4" t="str">
        <f t="shared" si="58"/>
        <v>_VC_Consumer_Saa_Sbb_S.ConnStatus.RunMode</v>
      </c>
      <c r="F24" s="4" t="str">
        <f t="shared" si="59"/>
        <v>I</v>
      </c>
      <c r="G24" s="4" t="str">
        <f t="shared" si="60"/>
        <v/>
      </c>
      <c r="H24" s="4" t="str">
        <f t="shared" si="61"/>
        <v xml:space="preserve">Controller: &lt;Consumer_Saa_Sbb_S.ConnStatus.RunMode&gt; - </v>
      </c>
      <c r="I24" s="4" t="str">
        <f t="shared" si="62"/>
        <v>AB_RACKx_SLOTa</v>
      </c>
      <c r="J24" s="4"/>
      <c r="K24" s="56" t="str">
        <f t="shared" si="63"/>
        <v>BOOL</v>
      </c>
      <c r="L24" s="56" t="str">
        <f t="shared" si="4"/>
        <v>SYSTEM\INTERLOCKS</v>
      </c>
      <c r="M24" s="56" t="str">
        <f t="shared" si="5"/>
        <v>STELLANTIS\Common\ToolPrototype\Interlocks</v>
      </c>
      <c r="N24" s="56" t="str">
        <f t="shared" si="6"/>
        <v>STELLANTIS_EIP_CELL_SAFE_INTERLOCKS_Saa_Sbb.v00</v>
      </c>
      <c r="O24" s="56" t="str">
        <f t="shared" si="64"/>
        <v/>
      </c>
      <c r="P24" s="56" t="str">
        <f t="shared" si="65"/>
        <v/>
      </c>
      <c r="Q24" s="56" t="str">
        <f t="shared" si="66"/>
        <v/>
      </c>
      <c r="R24" s="56" t="str">
        <f t="shared" si="67"/>
        <v/>
      </c>
      <c r="S24" s="56" t="str">
        <f t="shared" si="68"/>
        <v/>
      </c>
      <c r="T24" s="56" t="str">
        <f t="shared" si="69"/>
        <v>Consumer_Saa_Sbb_S.ConnStatus.RunMode</v>
      </c>
      <c r="U24" s="56" t="str">
        <f t="shared" si="70"/>
        <v/>
      </c>
      <c r="V24" s="56" t="str">
        <f t="shared" si="71"/>
        <v/>
      </c>
      <c r="W24" s="56"/>
      <c r="X24" s="56"/>
      <c r="Y24" s="56"/>
      <c r="Z24" s="56" t="str">
        <f t="shared" si="72"/>
        <v/>
      </c>
      <c r="AA24" s="56" t="str">
        <f t="shared" si="73"/>
        <v/>
      </c>
      <c r="AB24" s="56" t="str">
        <f t="shared" si="9"/>
        <v>ToolPrototype</v>
      </c>
      <c r="AC24" s="56" t="str">
        <f t="shared" si="74"/>
        <v/>
      </c>
      <c r="AD24" s="56" t="str">
        <f t="shared" si="10"/>
        <v/>
      </c>
      <c r="AE24" s="56" t="str">
        <f t="shared" si="11"/>
        <v/>
      </c>
      <c r="AF24"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75"/>
        <v/>
      </c>
      <c r="AO24" s="56" t="str">
        <f t="shared" si="76"/>
        <v/>
      </c>
      <c r="AP24" s="56" t="str">
        <f t="shared" si="77"/>
        <v>PSF</v>
      </c>
      <c r="AQ24" s="56" t="str">
        <f t="shared" si="78"/>
        <v>EXIT</v>
      </c>
      <c r="AR24" s="39" t="s">
        <v>129</v>
      </c>
      <c r="AT24" s="44" t="str">
        <f t="shared" si="79"/>
        <v>BOOL</v>
      </c>
      <c r="AU24" s="23">
        <f t="shared" si="80"/>
        <v>0</v>
      </c>
      <c r="AV24" s="23" t="str">
        <f t="shared" si="81"/>
        <v>I</v>
      </c>
      <c r="AW24" s="23" t="str">
        <f t="shared" si="82"/>
        <v xml:space="preserve">I.: </v>
      </c>
      <c r="AX24" s="23" t="str">
        <f t="shared" si="83"/>
        <v>_VC_Consumer_Saa_Sbb_S.ConnStatus.RunMode</v>
      </c>
      <c r="AY24" s="36" t="str">
        <f t="shared" si="84"/>
        <v xml:space="preserve">Controller: &lt;Consumer_Saa_Sbb_S.ConnStatus.RunMode&gt; - </v>
      </c>
      <c r="BB24" s="42" t="s">
        <v>17</v>
      </c>
      <c r="BC24" t="s">
        <v>22</v>
      </c>
      <c r="BD24" t="str">
        <f t="shared" ref="BD24:BD42" si="85">Header_Config01</f>
        <v>AB_RACKx_SLOTa</v>
      </c>
      <c r="BV24" s="30" t="s">
        <v>20</v>
      </c>
      <c r="BY24" s="42"/>
      <c r="CB24" s="42"/>
      <c r="CE24" s="30"/>
      <c r="CH24" s="42" t="s">
        <v>65</v>
      </c>
      <c r="CI24" t="s">
        <v>94</v>
      </c>
      <c r="CJ24" t="str">
        <f>"Consumer_"&amp;Header_LB_Unique_ID&amp;"_S."</f>
        <v>Consumer_Saa_Sbb_S.</v>
      </c>
      <c r="CK24" t="s">
        <v>283</v>
      </c>
      <c r="CN24" s="30"/>
      <c r="CO24" t="s">
        <v>20</v>
      </c>
      <c r="CP24" t="s">
        <v>12</v>
      </c>
      <c r="CQ24" s="40" t="s">
        <v>284</v>
      </c>
      <c r="CR24" s="30"/>
    </row>
    <row r="25" spans="2:96" x14ac:dyDescent="0.35">
      <c r="B25" s="4" t="str">
        <f t="shared" si="56"/>
        <v>CELL_SAFE_INTERLOCKS_Saa_Sbb</v>
      </c>
      <c r="C25" s="4"/>
      <c r="D25" s="4" t="str">
        <f t="shared" si="57"/>
        <v>To_PSF_ConnectionFaulted</v>
      </c>
      <c r="E25" s="4" t="str">
        <f t="shared" si="58"/>
        <v>_VC_Consumer_Saa_Sbb_S.ConnStatus.ConnectionFaulted</v>
      </c>
      <c r="F25" s="4" t="str">
        <f t="shared" si="59"/>
        <v>I</v>
      </c>
      <c r="G25" s="4" t="str">
        <f t="shared" si="60"/>
        <v/>
      </c>
      <c r="H25" s="4" t="str">
        <f t="shared" si="61"/>
        <v xml:space="preserve">Controller: &lt;Consumer_Saa_Sbb_S.ConnStatus.ConnectionFaulted&gt; - </v>
      </c>
      <c r="I25" s="4" t="str">
        <f t="shared" si="62"/>
        <v>AB_RACKx_SLOTa</v>
      </c>
      <c r="J25" s="4"/>
      <c r="K25" s="56" t="str">
        <f t="shared" si="63"/>
        <v>BOOL</v>
      </c>
      <c r="L25" s="56" t="str">
        <f t="shared" si="4"/>
        <v>SYSTEM\INTERLOCKS</v>
      </c>
      <c r="M25" s="56" t="str">
        <f t="shared" si="5"/>
        <v>STELLANTIS\Common\ToolPrototype\Interlocks</v>
      </c>
      <c r="N25" s="56" t="str">
        <f t="shared" si="6"/>
        <v>STELLANTIS_EIP_CELL_SAFE_INTERLOCKS_Saa_Sbb.v00</v>
      </c>
      <c r="O25" s="56" t="str">
        <f t="shared" si="64"/>
        <v/>
      </c>
      <c r="P25" s="56" t="str">
        <f t="shared" si="65"/>
        <v/>
      </c>
      <c r="Q25" s="56" t="str">
        <f t="shared" si="66"/>
        <v/>
      </c>
      <c r="R25" s="56" t="str">
        <f t="shared" si="67"/>
        <v/>
      </c>
      <c r="S25" s="56" t="str">
        <f t="shared" si="68"/>
        <v/>
      </c>
      <c r="T25" s="56" t="str">
        <f t="shared" si="69"/>
        <v>Consumer_Saa_Sbb_S.ConnStatus.ConnectionFaulted</v>
      </c>
      <c r="U25" s="56" t="str">
        <f t="shared" si="70"/>
        <v/>
      </c>
      <c r="V25" s="56" t="str">
        <f t="shared" si="71"/>
        <v/>
      </c>
      <c r="W25" s="56"/>
      <c r="X25" s="56"/>
      <c r="Y25" s="56"/>
      <c r="Z25" s="56" t="str">
        <f t="shared" si="72"/>
        <v/>
      </c>
      <c r="AA25" s="56" t="str">
        <f t="shared" si="73"/>
        <v/>
      </c>
      <c r="AB25" s="56" t="str">
        <f t="shared" si="9"/>
        <v>ToolPrototype</v>
      </c>
      <c r="AC25" s="56" t="str">
        <f t="shared" si="74"/>
        <v/>
      </c>
      <c r="AD25" s="56" t="str">
        <f t="shared" si="10"/>
        <v/>
      </c>
      <c r="AE25" s="56" t="str">
        <f t="shared" si="11"/>
        <v/>
      </c>
      <c r="AF25"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75"/>
        <v/>
      </c>
      <c r="AO25" s="56" t="str">
        <f t="shared" si="76"/>
        <v/>
      </c>
      <c r="AP25" s="56" t="str">
        <f t="shared" si="77"/>
        <v>PSF</v>
      </c>
      <c r="AQ25" s="56" t="str">
        <f t="shared" si="78"/>
        <v>EXIT</v>
      </c>
      <c r="AR25" s="39" t="s">
        <v>129</v>
      </c>
      <c r="AT25" s="44" t="str">
        <f t="shared" si="79"/>
        <v>BOOL</v>
      </c>
      <c r="AU25" s="23">
        <f t="shared" si="80"/>
        <v>0</v>
      </c>
      <c r="AV25" s="23" t="str">
        <f t="shared" si="81"/>
        <v>I</v>
      </c>
      <c r="AW25" s="23" t="str">
        <f t="shared" si="82"/>
        <v xml:space="preserve">I.: </v>
      </c>
      <c r="AX25" s="23" t="str">
        <f t="shared" si="83"/>
        <v>_VC_Consumer_Saa_Sbb_S.ConnStatus.ConnectionFaulted</v>
      </c>
      <c r="AY25" s="36" t="str">
        <f t="shared" si="84"/>
        <v xml:space="preserve">Controller: &lt;Consumer_Saa_Sbb_S.ConnStatus.ConnectionFaulted&gt; - </v>
      </c>
      <c r="BB25" s="42" t="s">
        <v>17</v>
      </c>
      <c r="BC25" t="s">
        <v>22</v>
      </c>
      <c r="BD25" t="str">
        <f t="shared" si="85"/>
        <v>AB_RACKx_SLOTa</v>
      </c>
      <c r="BV25" s="30" t="s">
        <v>21</v>
      </c>
      <c r="BY25" s="42"/>
      <c r="CB25" s="42"/>
      <c r="CE25" s="30"/>
      <c r="CH25" s="42" t="s">
        <v>65</v>
      </c>
      <c r="CI25" t="s">
        <v>94</v>
      </c>
      <c r="CJ25" t="str">
        <f>"Consumer_"&amp;Header_LB_Unique_ID&amp;"_S."</f>
        <v>Consumer_Saa_Sbb_S.</v>
      </c>
      <c r="CK25" t="s">
        <v>285</v>
      </c>
      <c r="CN25" s="30"/>
      <c r="CO25" t="s">
        <v>21</v>
      </c>
      <c r="CP25" t="s">
        <v>12</v>
      </c>
      <c r="CQ25" s="40" t="s">
        <v>284</v>
      </c>
      <c r="CR25" s="30"/>
    </row>
    <row r="26" spans="2:96" x14ac:dyDescent="0.35">
      <c r="B26" s="4" t="str">
        <f t="shared" si="56"/>
        <v>CELL_SAFE_INTERLOCKS_Saa_Sbb</v>
      </c>
      <c r="C26" s="4"/>
      <c r="D26" s="4" t="str">
        <f t="shared" si="57"/>
        <v>To_PSF_Cell_EStopsOK</v>
      </c>
      <c r="E26" s="4" t="str">
        <f t="shared" si="58"/>
        <v>_VC_Consumer_Saa_Sbb_S.SftyZone[1].ES</v>
      </c>
      <c r="F26" s="4" t="str">
        <f t="shared" si="59"/>
        <v>I</v>
      </c>
      <c r="G26" s="4" t="str">
        <f t="shared" si="60"/>
        <v/>
      </c>
      <c r="H26" s="4" t="str">
        <f t="shared" si="61"/>
        <v>SafetyProgramZn1: &lt;ConsumerNext.ES&gt; - Emergency Stop Ok</v>
      </c>
      <c r="I26" s="4" t="str">
        <f t="shared" si="62"/>
        <v>AB_RACKx_SLOTa</v>
      </c>
      <c r="J26" s="4"/>
      <c r="K26" s="56" t="str">
        <f t="shared" si="63"/>
        <v>BOOL</v>
      </c>
      <c r="L26" s="56" t="str">
        <f t="shared" si="4"/>
        <v>SYSTEM\INTERLOCKS</v>
      </c>
      <c r="M26" s="56" t="str">
        <f t="shared" si="5"/>
        <v>STELLANTIS\Common\ToolPrototype\Interlocks</v>
      </c>
      <c r="N26" s="56" t="str">
        <f t="shared" si="6"/>
        <v>STELLANTIS_EIP_CELL_SAFE_INTERLOCKS_Saa_Sbb.v00</v>
      </c>
      <c r="O26" s="56" t="str">
        <f t="shared" si="64"/>
        <v/>
      </c>
      <c r="P26" s="56" t="str">
        <f t="shared" si="65"/>
        <v/>
      </c>
      <c r="Q26" s="56" t="str">
        <f t="shared" si="66"/>
        <v/>
      </c>
      <c r="R26" s="56" t="str">
        <f t="shared" si="67"/>
        <v/>
      </c>
      <c r="S26" s="56" t="str">
        <f t="shared" si="68"/>
        <v/>
      </c>
      <c r="T26" s="56" t="str">
        <f t="shared" si="69"/>
        <v>Consumer_Saa_Sbb_S.SftyZone[1].ES</v>
      </c>
      <c r="U26" s="56" t="str">
        <f t="shared" si="70"/>
        <v/>
      </c>
      <c r="V26" s="56" t="str">
        <f t="shared" si="71"/>
        <v/>
      </c>
      <c r="W26" s="56"/>
      <c r="X26" s="56"/>
      <c r="Y26" s="56"/>
      <c r="Z26" s="56" t="str">
        <f t="shared" si="72"/>
        <v/>
      </c>
      <c r="AA26" s="56" t="str">
        <f t="shared" si="73"/>
        <v/>
      </c>
      <c r="AB26" s="56" t="str">
        <f t="shared" si="9"/>
        <v>ToolPrototype</v>
      </c>
      <c r="AC26" s="56" t="str">
        <f t="shared" si="74"/>
        <v/>
      </c>
      <c r="AD26" s="56" t="str">
        <f t="shared" si="10"/>
        <v/>
      </c>
      <c r="AE26" s="56" t="str">
        <f t="shared" si="11"/>
        <v/>
      </c>
      <c r="AF26"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75"/>
        <v/>
      </c>
      <c r="AO26" s="56" t="str">
        <f t="shared" si="76"/>
        <v/>
      </c>
      <c r="AP26" s="56" t="str">
        <f t="shared" si="77"/>
        <v>PSF</v>
      </c>
      <c r="AQ26" s="56" t="str">
        <f t="shared" si="78"/>
        <v>EXIT</v>
      </c>
      <c r="AR26" s="39" t="s">
        <v>129</v>
      </c>
      <c r="AT26" s="44" t="str">
        <f t="shared" si="79"/>
        <v>BOOL</v>
      </c>
      <c r="AU26" s="23">
        <f t="shared" si="80"/>
        <v>0</v>
      </c>
      <c r="AV26" s="23" t="str">
        <f t="shared" si="81"/>
        <v>I</v>
      </c>
      <c r="AW26" s="23" t="str">
        <f t="shared" si="82"/>
        <v xml:space="preserve">I.: </v>
      </c>
      <c r="AX26" s="23" t="str">
        <f t="shared" si="83"/>
        <v>_VC_Consumer_Saa_Sbb_S.SftyZone[1].ES</v>
      </c>
      <c r="AY26" s="36" t="str">
        <f t="shared" si="84"/>
        <v xml:space="preserve">SafetyProgramZn1: &lt;ConsumerNext.ES&gt; - </v>
      </c>
      <c r="BB26" s="42" t="s">
        <v>17</v>
      </c>
      <c r="BC26" t="s">
        <v>22</v>
      </c>
      <c r="BD26" t="str">
        <f t="shared" si="85"/>
        <v>AB_RACKx_SLOTa</v>
      </c>
      <c r="BV26" s="30" t="s">
        <v>286</v>
      </c>
      <c r="BY26" s="42"/>
      <c r="CB26" s="42"/>
      <c r="CE26" s="30"/>
      <c r="CH26" s="42" t="s">
        <v>65</v>
      </c>
      <c r="CI26" t="s">
        <v>94</v>
      </c>
      <c r="CJ26" t="str">
        <f t="shared" ref="CJ26:CJ35" si="86">"Consumer_"&amp;Header_LB_Unique_ID&amp;"_S.SftyZone["&amp;Header_Config02&amp;"]."</f>
        <v>Consumer_Saa_Sbb_S.SftyZone[1].</v>
      </c>
      <c r="CK26" t="s">
        <v>287</v>
      </c>
      <c r="CM26" t="str">
        <f t="shared" ref="CM26:CM42" si="87">"SafetyProgramZn"&amp;Header_Config02</f>
        <v>SafetyProgramZn1</v>
      </c>
      <c r="CN26" s="30" t="str">
        <f>"ConsumerNext."</f>
        <v>ConsumerNext.</v>
      </c>
      <c r="CO26" t="s">
        <v>287</v>
      </c>
      <c r="CP26" t="s">
        <v>12</v>
      </c>
      <c r="CQ26" s="40" t="s">
        <v>284</v>
      </c>
      <c r="CR26" s="30" t="s">
        <v>288</v>
      </c>
    </row>
    <row r="27" spans="2:96" x14ac:dyDescent="0.35">
      <c r="B27" s="4" t="str">
        <f t="shared" si="56"/>
        <v>CELL_SAFE_INTERLOCKS_Saa_Sbb</v>
      </c>
      <c r="C27" s="4"/>
      <c r="D27" s="4" t="str">
        <f t="shared" si="57"/>
        <v>To_PSF_Cell_GatesOK</v>
      </c>
      <c r="E27" s="4" t="str">
        <f t="shared" si="58"/>
        <v>_VC_Consumer_Saa_Sbb_S.SftyZone[1].SG</v>
      </c>
      <c r="F27" s="4" t="str">
        <f t="shared" si="59"/>
        <v>I</v>
      </c>
      <c r="G27" s="4" t="str">
        <f t="shared" si="60"/>
        <v/>
      </c>
      <c r="H27" s="4" t="str">
        <f t="shared" si="61"/>
        <v>SafetyProgramZn1: &lt;ConsumerNext.SG&gt; - Safety Gate Ok</v>
      </c>
      <c r="I27" s="4" t="str">
        <f t="shared" si="62"/>
        <v>AB_RACKx_SLOTa</v>
      </c>
      <c r="J27" s="4"/>
      <c r="K27" s="56" t="str">
        <f t="shared" si="63"/>
        <v>BOOL</v>
      </c>
      <c r="L27" s="56" t="str">
        <f t="shared" si="4"/>
        <v>SYSTEM\INTERLOCKS</v>
      </c>
      <c r="M27" s="56" t="str">
        <f t="shared" si="5"/>
        <v>STELLANTIS\Common\ToolPrototype\Interlocks</v>
      </c>
      <c r="N27" s="56" t="str">
        <f t="shared" si="6"/>
        <v>STELLANTIS_EIP_CELL_SAFE_INTERLOCKS_Saa_Sbb.v00</v>
      </c>
      <c r="O27" s="56" t="str">
        <f t="shared" si="64"/>
        <v/>
      </c>
      <c r="P27" s="56" t="str">
        <f t="shared" si="65"/>
        <v/>
      </c>
      <c r="Q27" s="56" t="str">
        <f t="shared" si="66"/>
        <v/>
      </c>
      <c r="R27" s="56" t="str">
        <f t="shared" si="67"/>
        <v/>
      </c>
      <c r="S27" s="56" t="str">
        <f t="shared" si="68"/>
        <v/>
      </c>
      <c r="T27" s="56" t="str">
        <f t="shared" si="69"/>
        <v>Consumer_Saa_Sbb_S.SftyZone[1].SG</v>
      </c>
      <c r="U27" s="56" t="str">
        <f t="shared" si="70"/>
        <v/>
      </c>
      <c r="V27" s="56" t="str">
        <f t="shared" si="71"/>
        <v/>
      </c>
      <c r="W27" s="56"/>
      <c r="X27" s="56"/>
      <c r="Y27" s="56"/>
      <c r="Z27" s="56" t="str">
        <f t="shared" si="72"/>
        <v/>
      </c>
      <c r="AA27" s="56" t="str">
        <f t="shared" si="73"/>
        <v/>
      </c>
      <c r="AB27" s="56" t="str">
        <f t="shared" si="9"/>
        <v>ToolPrototype</v>
      </c>
      <c r="AC27" s="56" t="str">
        <f t="shared" si="74"/>
        <v/>
      </c>
      <c r="AD27" s="56" t="str">
        <f t="shared" si="10"/>
        <v/>
      </c>
      <c r="AE27" s="56" t="str">
        <f t="shared" si="11"/>
        <v/>
      </c>
      <c r="AF27"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75"/>
        <v/>
      </c>
      <c r="AO27" s="56" t="str">
        <f t="shared" si="76"/>
        <v/>
      </c>
      <c r="AP27" s="56" t="str">
        <f t="shared" si="77"/>
        <v>PSF</v>
      </c>
      <c r="AQ27" s="56" t="str">
        <f t="shared" si="78"/>
        <v>EXIT</v>
      </c>
      <c r="AR27" s="39" t="s">
        <v>129</v>
      </c>
      <c r="AT27" s="44" t="str">
        <f t="shared" si="79"/>
        <v>BOOL</v>
      </c>
      <c r="AU27" s="23">
        <f t="shared" si="80"/>
        <v>0</v>
      </c>
      <c r="AV27" s="23" t="str">
        <f t="shared" si="81"/>
        <v>I</v>
      </c>
      <c r="AW27" s="23" t="str">
        <f t="shared" si="82"/>
        <v xml:space="preserve">I.: </v>
      </c>
      <c r="AX27" s="23" t="str">
        <f t="shared" si="83"/>
        <v>_VC_Consumer_Saa_Sbb_S.SftyZone[1].SG</v>
      </c>
      <c r="AY27" s="36" t="str">
        <f t="shared" si="84"/>
        <v xml:space="preserve">SafetyProgramZn1: &lt;ConsumerNext.SG&gt; - </v>
      </c>
      <c r="BB27" s="42" t="s">
        <v>17</v>
      </c>
      <c r="BC27" t="s">
        <v>22</v>
      </c>
      <c r="BD27" t="str">
        <f t="shared" si="85"/>
        <v>AB_RACKx_SLOTa</v>
      </c>
      <c r="BV27" s="30" t="s">
        <v>289</v>
      </c>
      <c r="BY27" s="42"/>
      <c r="CB27" s="42"/>
      <c r="CE27" s="30"/>
      <c r="CH27" s="42" t="s">
        <v>65</v>
      </c>
      <c r="CI27" t="s">
        <v>94</v>
      </c>
      <c r="CJ27" t="str">
        <f t="shared" si="86"/>
        <v>Consumer_Saa_Sbb_S.SftyZone[1].</v>
      </c>
      <c r="CK27" t="s">
        <v>290</v>
      </c>
      <c r="CM27" t="str">
        <f t="shared" si="87"/>
        <v>SafetyProgramZn1</v>
      </c>
      <c r="CN27" s="30" t="s">
        <v>291</v>
      </c>
      <c r="CO27" t="s">
        <v>290</v>
      </c>
      <c r="CP27" t="s">
        <v>12</v>
      </c>
      <c r="CQ27" s="40" t="s">
        <v>284</v>
      </c>
      <c r="CR27" s="30" t="s">
        <v>292</v>
      </c>
    </row>
    <row r="28" spans="2:96" x14ac:dyDescent="0.35">
      <c r="B28" s="4" t="str">
        <f t="shared" si="56"/>
        <v>CELL_SAFE_INTERLOCKS_Saa_Sbb</v>
      </c>
      <c r="C28" s="4"/>
      <c r="D28" s="4" t="str">
        <f t="shared" si="57"/>
        <v>To_PSF_Cell_SafetyPinsOK</v>
      </c>
      <c r="E28" s="4" t="str">
        <f t="shared" si="58"/>
        <v>_VC_Consumer_Saa_Sbb_S.SftyZone[1].SP</v>
      </c>
      <c r="F28" s="4" t="str">
        <f t="shared" si="59"/>
        <v>I</v>
      </c>
      <c r="G28" s="4" t="str">
        <f t="shared" si="60"/>
        <v/>
      </c>
      <c r="H28" s="4" t="str">
        <f t="shared" si="61"/>
        <v>SafetyProgramZn1: &lt;ConsumerNext.SP&gt; - Safety Pin  Ok</v>
      </c>
      <c r="I28" s="4" t="str">
        <f t="shared" si="62"/>
        <v>AB_RACKx_SLOTa</v>
      </c>
      <c r="J28" s="4"/>
      <c r="K28" s="56" t="str">
        <f t="shared" si="63"/>
        <v>BOOL</v>
      </c>
      <c r="L28" s="56" t="str">
        <f t="shared" si="4"/>
        <v>SYSTEM\INTERLOCKS</v>
      </c>
      <c r="M28" s="56" t="str">
        <f t="shared" si="5"/>
        <v>STELLANTIS\Common\ToolPrototype\Interlocks</v>
      </c>
      <c r="N28" s="56" t="str">
        <f t="shared" si="6"/>
        <v>STELLANTIS_EIP_CELL_SAFE_INTERLOCKS_Saa_Sbb.v00</v>
      </c>
      <c r="O28" s="56" t="str">
        <f t="shared" si="64"/>
        <v/>
      </c>
      <c r="P28" s="56" t="str">
        <f t="shared" si="65"/>
        <v/>
      </c>
      <c r="Q28" s="56" t="str">
        <f t="shared" si="66"/>
        <v/>
      </c>
      <c r="R28" s="56" t="str">
        <f t="shared" si="67"/>
        <v/>
      </c>
      <c r="S28" s="56" t="str">
        <f t="shared" si="68"/>
        <v/>
      </c>
      <c r="T28" s="56" t="str">
        <f t="shared" si="69"/>
        <v>Consumer_Saa_Sbb_S.SftyZone[1].SP</v>
      </c>
      <c r="U28" s="56" t="str">
        <f t="shared" si="70"/>
        <v/>
      </c>
      <c r="V28" s="56" t="str">
        <f t="shared" si="71"/>
        <v/>
      </c>
      <c r="W28" s="56"/>
      <c r="X28" s="56"/>
      <c r="Y28" s="56"/>
      <c r="Z28" s="56" t="str">
        <f t="shared" si="72"/>
        <v/>
      </c>
      <c r="AA28" s="56" t="str">
        <f t="shared" si="73"/>
        <v/>
      </c>
      <c r="AB28" s="56" t="str">
        <f t="shared" si="9"/>
        <v>ToolPrototype</v>
      </c>
      <c r="AC28" s="56" t="str">
        <f t="shared" si="74"/>
        <v/>
      </c>
      <c r="AD28" s="56" t="str">
        <f t="shared" si="10"/>
        <v/>
      </c>
      <c r="AE28" s="56" t="str">
        <f t="shared" si="11"/>
        <v/>
      </c>
      <c r="AF28"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si="75"/>
        <v/>
      </c>
      <c r="AO28" s="56" t="str">
        <f t="shared" si="76"/>
        <v/>
      </c>
      <c r="AP28" s="56" t="str">
        <f t="shared" si="77"/>
        <v>PSF</v>
      </c>
      <c r="AQ28" s="56" t="str">
        <f t="shared" si="78"/>
        <v>EXIT</v>
      </c>
      <c r="AR28" s="39" t="s">
        <v>129</v>
      </c>
      <c r="AT28" s="44" t="str">
        <f t="shared" si="79"/>
        <v>BOOL</v>
      </c>
      <c r="AU28" s="23">
        <f t="shared" si="80"/>
        <v>0</v>
      </c>
      <c r="AV28" s="23" t="str">
        <f t="shared" si="81"/>
        <v>I</v>
      </c>
      <c r="AW28" s="23" t="str">
        <f t="shared" si="82"/>
        <v xml:space="preserve">I.: </v>
      </c>
      <c r="AX28" s="23" t="str">
        <f t="shared" si="83"/>
        <v>_VC_Consumer_Saa_Sbb_S.SftyZone[1].SP</v>
      </c>
      <c r="AY28" s="36" t="str">
        <f t="shared" si="84"/>
        <v xml:space="preserve">SafetyProgramZn1: &lt;ConsumerNext.SP&gt; - </v>
      </c>
      <c r="BB28" s="42" t="s">
        <v>17</v>
      </c>
      <c r="BC28" t="s">
        <v>22</v>
      </c>
      <c r="BD28" t="str">
        <f t="shared" si="85"/>
        <v>AB_RACKx_SLOTa</v>
      </c>
      <c r="BV28" s="30" t="s">
        <v>293</v>
      </c>
      <c r="BY28" s="42"/>
      <c r="CB28" s="42"/>
      <c r="CE28" s="30"/>
      <c r="CH28" s="42" t="s">
        <v>65</v>
      </c>
      <c r="CI28" t="s">
        <v>94</v>
      </c>
      <c r="CJ28" t="str">
        <f t="shared" si="86"/>
        <v>Consumer_Saa_Sbb_S.SftyZone[1].</v>
      </c>
      <c r="CK28" t="s">
        <v>294</v>
      </c>
      <c r="CM28" t="str">
        <f t="shared" si="87"/>
        <v>SafetyProgramZn1</v>
      </c>
      <c r="CN28" s="30" t="s">
        <v>291</v>
      </c>
      <c r="CO28" t="s">
        <v>294</v>
      </c>
      <c r="CP28" t="s">
        <v>12</v>
      </c>
      <c r="CQ28" s="40" t="s">
        <v>284</v>
      </c>
      <c r="CR28" s="30" t="s">
        <v>295</v>
      </c>
    </row>
    <row r="29" spans="2:96" x14ac:dyDescent="0.35">
      <c r="B29" s="4" t="str">
        <f t="shared" si="56"/>
        <v>CELL_SAFE_INTERLOCKS_Saa_Sbb</v>
      </c>
      <c r="C29" s="4"/>
      <c r="D29" s="4" t="str">
        <f t="shared" si="57"/>
        <v>To_PSF_Cell_MasterRelayOK</v>
      </c>
      <c r="E29" s="4" t="str">
        <f t="shared" si="58"/>
        <v>_VC_Consumer_Saa_Sbb_S.SftyZone[1].MR</v>
      </c>
      <c r="F29" s="4" t="str">
        <f t="shared" si="59"/>
        <v>I</v>
      </c>
      <c r="G29" s="4" t="str">
        <f t="shared" si="60"/>
        <v/>
      </c>
      <c r="H29" s="4" t="str">
        <f t="shared" si="61"/>
        <v>SafetyProgramZn1: &lt;ConsumerNext.MR&gt; - Master Relay Ok</v>
      </c>
      <c r="I29" s="4" t="str">
        <f t="shared" si="62"/>
        <v>AB_RACKx_SLOTa</v>
      </c>
      <c r="J29" s="4"/>
      <c r="K29" s="56" t="str">
        <f t="shared" si="63"/>
        <v>BOOL</v>
      </c>
      <c r="L29" s="56" t="str">
        <f t="shared" si="4"/>
        <v>SYSTEM\INTERLOCKS</v>
      </c>
      <c r="M29" s="56" t="str">
        <f t="shared" si="5"/>
        <v>STELLANTIS\Common\ToolPrototype\Interlocks</v>
      </c>
      <c r="N29" s="56" t="str">
        <f t="shared" si="6"/>
        <v>STELLANTIS_EIP_CELL_SAFE_INTERLOCKS_Saa_Sbb.v00</v>
      </c>
      <c r="O29" s="56" t="str">
        <f t="shared" si="64"/>
        <v/>
      </c>
      <c r="P29" s="56" t="str">
        <f t="shared" si="65"/>
        <v/>
      </c>
      <c r="Q29" s="56" t="str">
        <f t="shared" si="66"/>
        <v/>
      </c>
      <c r="R29" s="56" t="str">
        <f t="shared" si="67"/>
        <v/>
      </c>
      <c r="S29" s="56" t="str">
        <f t="shared" si="68"/>
        <v/>
      </c>
      <c r="T29" s="56" t="str">
        <f t="shared" si="69"/>
        <v>Consumer_Saa_Sbb_S.SftyZone[1].MR</v>
      </c>
      <c r="U29" s="56" t="str">
        <f t="shared" si="70"/>
        <v/>
      </c>
      <c r="V29" s="56" t="str">
        <f t="shared" si="71"/>
        <v/>
      </c>
      <c r="W29" s="56"/>
      <c r="X29" s="56"/>
      <c r="Y29" s="56"/>
      <c r="Z29" s="56" t="str">
        <f t="shared" si="72"/>
        <v/>
      </c>
      <c r="AA29" s="56" t="str">
        <f t="shared" si="73"/>
        <v/>
      </c>
      <c r="AB29" s="56" t="str">
        <f t="shared" si="9"/>
        <v>ToolPrototype</v>
      </c>
      <c r="AC29" s="56" t="str">
        <f t="shared" si="74"/>
        <v/>
      </c>
      <c r="AD29" s="56" t="str">
        <f t="shared" si="10"/>
        <v/>
      </c>
      <c r="AE29" s="56" t="str">
        <f t="shared" si="11"/>
        <v/>
      </c>
      <c r="AF29"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75"/>
        <v/>
      </c>
      <c r="AO29" s="56" t="str">
        <f t="shared" si="76"/>
        <v/>
      </c>
      <c r="AP29" s="56" t="str">
        <f t="shared" si="77"/>
        <v>PSF</v>
      </c>
      <c r="AQ29" s="56" t="str">
        <f t="shared" si="78"/>
        <v>EXIT</v>
      </c>
      <c r="AR29" s="39" t="s">
        <v>129</v>
      </c>
      <c r="AT29" s="44" t="str">
        <f t="shared" si="79"/>
        <v>BOOL</v>
      </c>
      <c r="AU29" s="23">
        <f t="shared" si="80"/>
        <v>0</v>
      </c>
      <c r="AV29" s="23" t="str">
        <f t="shared" si="81"/>
        <v>I</v>
      </c>
      <c r="AW29" s="23" t="str">
        <f t="shared" si="82"/>
        <v xml:space="preserve">I.: </v>
      </c>
      <c r="AX29" s="23" t="str">
        <f t="shared" si="83"/>
        <v>_VC_Consumer_Saa_Sbb_S.SftyZone[1].MR</v>
      </c>
      <c r="AY29" s="36" t="str">
        <f t="shared" si="84"/>
        <v xml:space="preserve">SafetyProgramZn1: &lt;ConsumerNext.MR&gt; - </v>
      </c>
      <c r="BB29" s="42" t="s">
        <v>17</v>
      </c>
      <c r="BC29" t="s">
        <v>22</v>
      </c>
      <c r="BD29" t="str">
        <f t="shared" si="85"/>
        <v>AB_RACKx_SLOTa</v>
      </c>
      <c r="BV29" s="30" t="s">
        <v>296</v>
      </c>
      <c r="BY29" s="42"/>
      <c r="CB29" s="42"/>
      <c r="CE29" s="30"/>
      <c r="CH29" s="42" t="s">
        <v>65</v>
      </c>
      <c r="CI29" t="s">
        <v>94</v>
      </c>
      <c r="CJ29" t="str">
        <f t="shared" si="86"/>
        <v>Consumer_Saa_Sbb_S.SftyZone[1].</v>
      </c>
      <c r="CK29" t="s">
        <v>297</v>
      </c>
      <c r="CM29" t="str">
        <f t="shared" si="87"/>
        <v>SafetyProgramZn1</v>
      </c>
      <c r="CN29" s="30" t="s">
        <v>291</v>
      </c>
      <c r="CO29" t="s">
        <v>297</v>
      </c>
      <c r="CP29" t="s">
        <v>12</v>
      </c>
      <c r="CQ29" s="40" t="s">
        <v>284</v>
      </c>
      <c r="CR29" s="30" t="s">
        <v>298</v>
      </c>
    </row>
    <row r="30" spans="2:96" x14ac:dyDescent="0.35">
      <c r="B30" s="4" t="str">
        <f t="shared" si="56"/>
        <v>CELL_SAFE_INTERLOCKS_Saa_Sbb</v>
      </c>
      <c r="C30" s="4"/>
      <c r="D30" s="4" t="str">
        <f t="shared" si="57"/>
        <v>To_PSF_Cell_CycleEnableOK</v>
      </c>
      <c r="E30" s="4" t="str">
        <f t="shared" si="58"/>
        <v>_VC_Consumer_Saa_Sbb_S.SftyZone[1].CE</v>
      </c>
      <c r="F30" s="4" t="str">
        <f t="shared" si="59"/>
        <v>I</v>
      </c>
      <c r="G30" s="4" t="str">
        <f t="shared" si="60"/>
        <v/>
      </c>
      <c r="H30" s="4" t="str">
        <f t="shared" si="61"/>
        <v>SafetyProgramZn1: &lt;ConsumerNext.CE&gt; - Cycle Enable Ok</v>
      </c>
      <c r="I30" s="4" t="str">
        <f t="shared" si="62"/>
        <v>AB_RACKx_SLOTa</v>
      </c>
      <c r="J30" s="4"/>
      <c r="K30" s="56" t="str">
        <f t="shared" si="63"/>
        <v>BOOL</v>
      </c>
      <c r="L30" s="56" t="str">
        <f t="shared" si="4"/>
        <v>SYSTEM\INTERLOCKS</v>
      </c>
      <c r="M30" s="56" t="str">
        <f t="shared" si="5"/>
        <v>STELLANTIS\Common\ToolPrototype\Interlocks</v>
      </c>
      <c r="N30" s="56" t="str">
        <f t="shared" si="6"/>
        <v>STELLANTIS_EIP_CELL_SAFE_INTERLOCKS_Saa_Sbb.v00</v>
      </c>
      <c r="O30" s="56" t="str">
        <f t="shared" si="64"/>
        <v/>
      </c>
      <c r="P30" s="56" t="str">
        <f t="shared" si="65"/>
        <v/>
      </c>
      <c r="Q30" s="56" t="str">
        <f t="shared" si="66"/>
        <v/>
      </c>
      <c r="R30" s="56" t="str">
        <f t="shared" si="67"/>
        <v/>
      </c>
      <c r="S30" s="56" t="str">
        <f t="shared" si="68"/>
        <v/>
      </c>
      <c r="T30" s="56" t="str">
        <f t="shared" si="69"/>
        <v>Consumer_Saa_Sbb_S.SftyZone[1].CE</v>
      </c>
      <c r="U30" s="56" t="str">
        <f t="shared" si="70"/>
        <v/>
      </c>
      <c r="V30" s="56" t="str">
        <f t="shared" si="71"/>
        <v/>
      </c>
      <c r="W30" s="56"/>
      <c r="X30" s="56"/>
      <c r="Y30" s="56"/>
      <c r="Z30" s="56" t="str">
        <f t="shared" si="72"/>
        <v/>
      </c>
      <c r="AA30" s="56" t="str">
        <f t="shared" si="73"/>
        <v/>
      </c>
      <c r="AB30" s="56" t="str">
        <f t="shared" si="9"/>
        <v>ToolPrototype</v>
      </c>
      <c r="AC30" s="56" t="str">
        <f t="shared" si="74"/>
        <v/>
      </c>
      <c r="AD30" s="56" t="str">
        <f t="shared" si="10"/>
        <v/>
      </c>
      <c r="AE30" s="56" t="str">
        <f t="shared" si="11"/>
        <v/>
      </c>
      <c r="AF30"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75"/>
        <v/>
      </c>
      <c r="AO30" s="56" t="str">
        <f t="shared" si="76"/>
        <v/>
      </c>
      <c r="AP30" s="56" t="str">
        <f t="shared" si="77"/>
        <v>PSF</v>
      </c>
      <c r="AQ30" s="56" t="str">
        <f t="shared" si="78"/>
        <v>EXIT</v>
      </c>
      <c r="AR30" s="39" t="s">
        <v>129</v>
      </c>
      <c r="AT30" s="44" t="str">
        <f t="shared" si="79"/>
        <v>BOOL</v>
      </c>
      <c r="AU30" s="23">
        <f t="shared" si="80"/>
        <v>0</v>
      </c>
      <c r="AV30" s="23" t="str">
        <f t="shared" si="81"/>
        <v>I</v>
      </c>
      <c r="AW30" s="23" t="str">
        <f t="shared" si="82"/>
        <v xml:space="preserve">I.: </v>
      </c>
      <c r="AX30" s="23" t="str">
        <f t="shared" si="83"/>
        <v>_VC_Consumer_Saa_Sbb_S.SftyZone[1].CE</v>
      </c>
      <c r="AY30" s="36" t="str">
        <f t="shared" si="84"/>
        <v xml:space="preserve">SafetyProgramZn1: &lt;ConsumerNext.CE&gt; - </v>
      </c>
      <c r="BB30" s="42" t="s">
        <v>17</v>
      </c>
      <c r="BC30" t="s">
        <v>22</v>
      </c>
      <c r="BD30" t="str">
        <f t="shared" si="85"/>
        <v>AB_RACKx_SLOTa</v>
      </c>
      <c r="BV30" s="30" t="s">
        <v>299</v>
      </c>
      <c r="BY30" s="42"/>
      <c r="CB30" s="42"/>
      <c r="CE30" s="30"/>
      <c r="CH30" s="42" t="s">
        <v>65</v>
      </c>
      <c r="CI30" t="s">
        <v>94</v>
      </c>
      <c r="CJ30" t="str">
        <f t="shared" si="86"/>
        <v>Consumer_Saa_Sbb_S.SftyZone[1].</v>
      </c>
      <c r="CK30" t="s">
        <v>300</v>
      </c>
      <c r="CM30" t="str">
        <f t="shared" si="87"/>
        <v>SafetyProgramZn1</v>
      </c>
      <c r="CN30" s="30" t="s">
        <v>291</v>
      </c>
      <c r="CO30" t="s">
        <v>300</v>
      </c>
      <c r="CP30" t="s">
        <v>12</v>
      </c>
      <c r="CQ30" s="40" t="s">
        <v>284</v>
      </c>
      <c r="CR30" s="30" t="s">
        <v>301</v>
      </c>
    </row>
    <row r="31" spans="2:96" x14ac:dyDescent="0.35">
      <c r="B31" s="4" t="str">
        <f t="shared" si="56"/>
        <v>CELL_SAFE_INTERLOCKS_Saa_Sbb</v>
      </c>
      <c r="C31" s="4"/>
      <c r="D31" s="4" t="str">
        <f t="shared" si="57"/>
        <v>To_PSF_Cell_StationEnableOK</v>
      </c>
      <c r="E31" s="4" t="str">
        <f t="shared" si="58"/>
        <v>_VC_Consumer_Saa_Sbb_S.SftyZone[1].SE</v>
      </c>
      <c r="F31" s="4" t="str">
        <f t="shared" si="59"/>
        <v>I</v>
      </c>
      <c r="G31" s="4" t="str">
        <f t="shared" si="60"/>
        <v/>
      </c>
      <c r="H31" s="4" t="str">
        <f t="shared" si="61"/>
        <v>SafetyProgramZn1: &lt;ConsumerNext.SE&gt; - Station Enable Ok</v>
      </c>
      <c r="I31" s="4" t="str">
        <f t="shared" si="62"/>
        <v>AB_RACKx_SLOTa</v>
      </c>
      <c r="J31" s="4"/>
      <c r="K31" s="56" t="str">
        <f t="shared" si="63"/>
        <v>BOOL</v>
      </c>
      <c r="L31" s="56" t="str">
        <f t="shared" si="4"/>
        <v>SYSTEM\INTERLOCKS</v>
      </c>
      <c r="M31" s="56" t="str">
        <f t="shared" si="5"/>
        <v>STELLANTIS\Common\ToolPrototype\Interlocks</v>
      </c>
      <c r="N31" s="56" t="str">
        <f t="shared" si="6"/>
        <v>STELLANTIS_EIP_CELL_SAFE_INTERLOCKS_Saa_Sbb.v00</v>
      </c>
      <c r="O31" s="56" t="str">
        <f t="shared" si="64"/>
        <v/>
      </c>
      <c r="P31" s="56" t="str">
        <f t="shared" si="65"/>
        <v/>
      </c>
      <c r="Q31" s="56" t="str">
        <f t="shared" si="66"/>
        <v/>
      </c>
      <c r="R31" s="56" t="str">
        <f t="shared" si="67"/>
        <v/>
      </c>
      <c r="S31" s="56" t="str">
        <f t="shared" si="68"/>
        <v/>
      </c>
      <c r="T31" s="56" t="str">
        <f t="shared" si="69"/>
        <v>Consumer_Saa_Sbb_S.SftyZone[1].SE</v>
      </c>
      <c r="U31" s="56" t="str">
        <f t="shared" si="70"/>
        <v/>
      </c>
      <c r="V31" s="56" t="str">
        <f t="shared" si="71"/>
        <v/>
      </c>
      <c r="W31" s="56"/>
      <c r="X31" s="56"/>
      <c r="Y31" s="56"/>
      <c r="Z31" s="56" t="str">
        <f t="shared" si="72"/>
        <v/>
      </c>
      <c r="AA31" s="56" t="str">
        <f t="shared" si="73"/>
        <v/>
      </c>
      <c r="AB31" s="56" t="str">
        <f t="shared" si="9"/>
        <v>ToolPrototype</v>
      </c>
      <c r="AC31" s="56" t="str">
        <f t="shared" si="74"/>
        <v/>
      </c>
      <c r="AD31" s="56" t="str">
        <f t="shared" si="10"/>
        <v/>
      </c>
      <c r="AE31" s="56" t="str">
        <f t="shared" si="11"/>
        <v/>
      </c>
      <c r="AF31"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75"/>
        <v/>
      </c>
      <c r="AO31" s="56" t="str">
        <f t="shared" si="76"/>
        <v/>
      </c>
      <c r="AP31" s="56" t="str">
        <f t="shared" si="77"/>
        <v>PSF</v>
      </c>
      <c r="AQ31" s="56" t="str">
        <f t="shared" si="78"/>
        <v>EXIT</v>
      </c>
      <c r="AR31" s="39" t="s">
        <v>129</v>
      </c>
      <c r="AT31" s="44" t="str">
        <f t="shared" si="79"/>
        <v>BOOL</v>
      </c>
      <c r="AU31" s="23">
        <f t="shared" si="80"/>
        <v>0</v>
      </c>
      <c r="AV31" s="23" t="str">
        <f t="shared" si="81"/>
        <v>I</v>
      </c>
      <c r="AW31" s="23" t="str">
        <f t="shared" si="82"/>
        <v xml:space="preserve">I.: </v>
      </c>
      <c r="AX31" s="23" t="str">
        <f t="shared" si="83"/>
        <v>_VC_Consumer_Saa_Sbb_S.SftyZone[1].SE</v>
      </c>
      <c r="AY31" s="36" t="str">
        <f t="shared" si="84"/>
        <v xml:space="preserve">SafetyProgramZn1: &lt;ConsumerNext.SE&gt; - </v>
      </c>
      <c r="BB31" s="42" t="s">
        <v>17</v>
      </c>
      <c r="BC31" t="s">
        <v>22</v>
      </c>
      <c r="BD31" t="str">
        <f t="shared" si="85"/>
        <v>AB_RACKx_SLOTa</v>
      </c>
      <c r="BV31" s="30" t="s">
        <v>302</v>
      </c>
      <c r="BY31" s="42"/>
      <c r="CB31" s="42"/>
      <c r="CE31" s="30"/>
      <c r="CH31" s="42" t="s">
        <v>65</v>
      </c>
      <c r="CI31" t="s">
        <v>94</v>
      </c>
      <c r="CJ31" t="str">
        <f t="shared" si="86"/>
        <v>Consumer_Saa_Sbb_S.SftyZone[1].</v>
      </c>
      <c r="CK31" t="s">
        <v>303</v>
      </c>
      <c r="CM31" t="str">
        <f t="shared" si="87"/>
        <v>SafetyProgramZn1</v>
      </c>
      <c r="CN31" s="30" t="s">
        <v>291</v>
      </c>
      <c r="CO31" t="s">
        <v>303</v>
      </c>
      <c r="CP31" t="s">
        <v>12</v>
      </c>
      <c r="CQ31" s="40" t="s">
        <v>284</v>
      </c>
      <c r="CR31" s="30" t="s">
        <v>304</v>
      </c>
    </row>
    <row r="32" spans="2:96" x14ac:dyDescent="0.35">
      <c r="B32" s="4" t="str">
        <f t="shared" si="56"/>
        <v>CELL_SAFE_INTERLOCKS_Saa_Sbb</v>
      </c>
      <c r="C32" s="4"/>
      <c r="D32" s="4" t="str">
        <f t="shared" si="57"/>
        <v>To_PSF_Cell_MotionEnableOK</v>
      </c>
      <c r="E32" s="4" t="str">
        <f t="shared" si="58"/>
        <v>_VC_Consumer_Saa_Sbb_S.SftyZone[1].ME</v>
      </c>
      <c r="F32" s="4" t="str">
        <f t="shared" si="59"/>
        <v>I</v>
      </c>
      <c r="G32" s="4" t="str">
        <f t="shared" si="60"/>
        <v/>
      </c>
      <c r="H32" s="4" t="str">
        <f t="shared" si="61"/>
        <v>SafetyProgramZn1: &lt;ConsumerNext.ME&gt; - Motion Enable Ok</v>
      </c>
      <c r="I32" s="4" t="str">
        <f t="shared" si="62"/>
        <v>AB_RACKx_SLOTa</v>
      </c>
      <c r="J32" s="4"/>
      <c r="K32" s="56" t="str">
        <f t="shared" si="63"/>
        <v>BOOL</v>
      </c>
      <c r="L32" s="56" t="str">
        <f t="shared" si="4"/>
        <v>SYSTEM\INTERLOCKS</v>
      </c>
      <c r="M32" s="56" t="str">
        <f t="shared" si="5"/>
        <v>STELLANTIS\Common\ToolPrototype\Interlocks</v>
      </c>
      <c r="N32" s="56" t="str">
        <f t="shared" si="6"/>
        <v>STELLANTIS_EIP_CELL_SAFE_INTERLOCKS_Saa_Sbb.v00</v>
      </c>
      <c r="O32" s="56" t="str">
        <f t="shared" si="64"/>
        <v/>
      </c>
      <c r="P32" s="56" t="str">
        <f t="shared" si="65"/>
        <v/>
      </c>
      <c r="Q32" s="56" t="str">
        <f t="shared" si="66"/>
        <v/>
      </c>
      <c r="R32" s="56" t="str">
        <f t="shared" si="67"/>
        <v/>
      </c>
      <c r="S32" s="56" t="str">
        <f t="shared" si="68"/>
        <v/>
      </c>
      <c r="T32" s="56" t="str">
        <f t="shared" si="69"/>
        <v>Consumer_Saa_Sbb_S.SftyZone[1].ME</v>
      </c>
      <c r="U32" s="56" t="str">
        <f t="shared" si="70"/>
        <v/>
      </c>
      <c r="V32" s="56" t="str">
        <f t="shared" si="71"/>
        <v/>
      </c>
      <c r="W32" s="56"/>
      <c r="X32" s="56"/>
      <c r="Y32" s="56"/>
      <c r="Z32" s="56" t="str">
        <f t="shared" si="72"/>
        <v/>
      </c>
      <c r="AA32" s="56" t="str">
        <f t="shared" si="73"/>
        <v/>
      </c>
      <c r="AB32" s="56" t="str">
        <f t="shared" si="9"/>
        <v>ToolPrototype</v>
      </c>
      <c r="AC32" s="56" t="str">
        <f t="shared" si="74"/>
        <v/>
      </c>
      <c r="AD32" s="56" t="str">
        <f t="shared" si="10"/>
        <v/>
      </c>
      <c r="AE32" s="56" t="str">
        <f t="shared" si="11"/>
        <v/>
      </c>
      <c r="AF32"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75"/>
        <v/>
      </c>
      <c r="AO32" s="56" t="str">
        <f t="shared" si="76"/>
        <v/>
      </c>
      <c r="AP32" s="56" t="str">
        <f t="shared" si="77"/>
        <v>PSF</v>
      </c>
      <c r="AQ32" s="56" t="str">
        <f t="shared" si="78"/>
        <v>EXIT</v>
      </c>
      <c r="AR32" s="39" t="s">
        <v>129</v>
      </c>
      <c r="AT32" s="44" t="str">
        <f t="shared" si="79"/>
        <v>BOOL</v>
      </c>
      <c r="AU32" s="23">
        <f t="shared" si="80"/>
        <v>0</v>
      </c>
      <c r="AV32" s="23" t="str">
        <f t="shared" si="81"/>
        <v>I</v>
      </c>
      <c r="AW32" s="23" t="str">
        <f t="shared" si="82"/>
        <v xml:space="preserve">I.: </v>
      </c>
      <c r="AX32" s="23" t="str">
        <f t="shared" si="83"/>
        <v>_VC_Consumer_Saa_Sbb_S.SftyZone[1].ME</v>
      </c>
      <c r="AY32" s="36" t="str">
        <f t="shared" si="84"/>
        <v xml:space="preserve">SafetyProgramZn1: &lt;ConsumerNext.ME&gt; - </v>
      </c>
      <c r="BB32" s="42" t="s">
        <v>17</v>
      </c>
      <c r="BC32" t="s">
        <v>22</v>
      </c>
      <c r="BD32" t="str">
        <f t="shared" si="85"/>
        <v>AB_RACKx_SLOTa</v>
      </c>
      <c r="BV32" s="30" t="s">
        <v>305</v>
      </c>
      <c r="BY32" s="42"/>
      <c r="CB32" s="42"/>
      <c r="CE32" s="30"/>
      <c r="CH32" s="42" t="s">
        <v>65</v>
      </c>
      <c r="CI32" t="s">
        <v>94</v>
      </c>
      <c r="CJ32" t="str">
        <f t="shared" si="86"/>
        <v>Consumer_Saa_Sbb_S.SftyZone[1].</v>
      </c>
      <c r="CK32" t="s">
        <v>306</v>
      </c>
      <c r="CM32" t="str">
        <f t="shared" si="87"/>
        <v>SafetyProgramZn1</v>
      </c>
      <c r="CN32" s="30" t="s">
        <v>291</v>
      </c>
      <c r="CO32" t="s">
        <v>306</v>
      </c>
      <c r="CP32" t="s">
        <v>12</v>
      </c>
      <c r="CQ32" s="40" t="s">
        <v>284</v>
      </c>
      <c r="CR32" s="30" t="s">
        <v>307</v>
      </c>
    </row>
    <row r="33" spans="2:96" x14ac:dyDescent="0.35">
      <c r="B33" s="4" t="str">
        <f t="shared" ref="B33:B36" si="88">IF(LEN(BT33)=0,Header_LB_Name,"&lt;BLANK&gt;")</f>
        <v>CELL_SAFE_INTERLOCKS_Saa_Sbb</v>
      </c>
      <c r="C33" s="4"/>
      <c r="D33" s="4" t="str">
        <f t="shared" ref="D33:D36" si="89">IF(BC33="CUSTOM",BV33,IF(BB33="ENTRY","From_",IF(BB33="EXIT","To_","&lt;invalid&gt;"))&amp;IF(OR(BC33="RBT",BC33="KEY",BC33="SNS"),IF(BE33="",BC33,BC33&amp;"_"&amp;BE33),IF(BC33="OPR",IF(BE33="",BC33&amp;"_"&amp;BD33,BC33&amp;"_"&amp;BE33),IF(BC33="LBS",IF(BE33="",BD33,BE33),BC33)))&amp;"_"&amp;IF(BC33="OPR",IF(BB33="ENTRY","end",IF(BB33="EXIT","start","&lt;invalid&gt;")),BV33))</f>
        <v>To_PSF_Cell_PendantUnplugged</v>
      </c>
      <c r="E33" s="4" t="str">
        <f t="shared" ref="E33:E36" si="90">IF(OR(BC33="PLC",BC33="PSF"),IF(Header_PLC_Type="CLX",AX33,IF(LEFT(Header_PLC_Type,2)="S7",AU33,"&lt;invalid PLC type&gt;")),IF(BB33="ENTRY",IF(BC33="LBS",IF(BD33&lt;&gt;"",IF(BF33="",BC33&amp;"_"&amp;BD33&amp;"_To_"&amp;B33&amp;"_"&amp;BV33,BC33&amp;"_"&amp;BD33&amp;"_To_"&amp;BF33&amp;"_"&amp;BV33),"&lt;missing other LB/group name&gt;"),IF(OR(BC33="SNS",BC33="KEY"),IF(BD33&lt;&gt;"",BC33&amp;"_"&amp;BD33&amp;"_"&amp;BV33,"&lt;missing unique identifier&gt;"),IF(OR(BC33="RBT",BC33="OPR"),IF(BD33&lt;&gt;"",BD33&amp;"_"&amp;IF(BC33="OPR","end",IF(BG33&lt;&gt;"",BG33,BV33)),"&lt;missing unique identifier&gt;"),IF(BC33="CUSTOM",BD33,"&lt;invalid connection&gt;")))),IF(BB33="EXIT",IF(BC33="LBS",IF(BD33&lt;&gt;"",BC33&amp;"_"&amp;B33&amp;"_To_"&amp;BD33&amp;"_"&amp;BV33,"&lt;missing other LB/group name&gt;"),IF(OR(BC33="RBT",BC33="OPR"),IF(BD33&lt;&gt;"",BD33&amp;"_"&amp;IF(BC33="OPR","start",IF(BG33&lt;&gt;"",BG33,BV33)),"&lt;missing unique identifier&gt;"),IF(BC33="CUSTOM",BD33,"&lt;invalid connection (sensor or key signal can't be exit)&gt;"))),"&lt;invalid entry/exit&gt;")))</f>
        <v>_VC_Consumer_Saa_Sbb_S.SftyZone[1].PendantsUnplgd</v>
      </c>
      <c r="F33" s="4" t="str">
        <f t="shared" ref="F33:F36" si="91">IF(BC33="CUSTOM",BE33,IF(OR(AND(BB33="ENTRY",OR(BC33="PLC",BC33="PSF")),AND(BB33="EXIT",OR(BC33="RBT",BC33="OPR"))),"Q","I"))</f>
        <v>I</v>
      </c>
      <c r="G33" s="4" t="str">
        <f t="shared" ref="G33:G36" si="92">IF(Header_PLC_Type="S7-ADD",IF(OR(BC33="PSF",BC33="PLC"),IF(BY33&lt;&gt;"",IF(AT33="BOOL",BY33&amp;"."&amp;BZ33,BY33),"&lt;missing&gt;"),""),"")</f>
        <v/>
      </c>
      <c r="H33" s="4" t="str">
        <f t="shared" ref="H33:H36" si="93">IF(OR(BC33="PLC",BC33="PSF"),IF(Header_PLC_Type="CLX",AY33&amp;CR33,IF(LEFT(Header_PLC_Type,2)="S7",AW33&amp;CE33,"&lt;invalid PLC type&gt;")),IF(Header_PLC_Type="CLX",IF(CR33&lt;&gt;"",CR33,""),IF(LEFT(Header_PLC_Type,2)="S7",IF(CE33&lt;&gt;"",CE33,""),"&lt;invalid PLC type&gt;")))</f>
        <v>SafetyProgramZn1: &lt;ConsumerNext.PendantsUnplgd&gt; - Pendants Unplugged</v>
      </c>
      <c r="I33" s="4" t="str">
        <f t="shared" ref="I33:I36" si="94">IF(OR(BC33="PLC",BC33="PSF"),BD33,IF(AND(BC33="CUSTOM",BF33&lt;&gt;""),BF33,""))</f>
        <v>AB_RACKx_SLOTa</v>
      </c>
      <c r="J33" s="4"/>
      <c r="K33" s="56" t="str">
        <f t="shared" ref="K33:K36" si="95">AT33</f>
        <v>BOOL</v>
      </c>
      <c r="L33" s="56" t="str">
        <f t="shared" si="4"/>
        <v>SYSTEM\INTERLOCKS</v>
      </c>
      <c r="M33" s="56" t="str">
        <f t="shared" si="5"/>
        <v>STELLANTIS\Common\ToolPrototype\Interlocks</v>
      </c>
      <c r="N33" s="56" t="str">
        <f t="shared" si="6"/>
        <v>STELLANTIS_EIP_CELL_SAFE_INTERLOCKS_Saa_Sbb.v00</v>
      </c>
      <c r="O33" s="56" t="str">
        <f t="shared" ref="O33:O36" si="96">IF(AND(OR(BC33="SNS",BC33="OPR",BC33="RBT"),BF33&lt;&gt;""),BF33,IF(OR(BC33="PSF",BC33="PLC"),IF(BB33="ENTRY",IF(OR(ISLOGICAL(BF33),ISNUMBER(BF33)),LOWER(TEXT(BF33,"General")),IF((ISTEXT(BF33)),"CEE_To_VC_"&amp;BE33&amp;"_"&amp;BF33,"")),IF((ISTEXT(BF33)),"CEE_From_VC_"&amp;BE33&amp;"_"&amp;BF33,"")),IF(BC33="CUSTOM",IF(BH33&lt;&gt;"",BH33,""),"")))</f>
        <v/>
      </c>
      <c r="P33" s="56" t="str">
        <f t="shared" ref="P33:P36" si="97">IF(OR(BC33="SNS",BC33="OPR"),IF(BG33&lt;&gt;"",BG33,""),IF(BC33="RBT",BD33,IF(BC33="CUSTOM",IF(BG33&lt;&gt;"",BG33,""),"")))</f>
        <v/>
      </c>
      <c r="Q33" s="56" t="str">
        <f t="shared" ref="Q33:Q36" si="98">IF(BC33="OPR",IF(BV33&lt;&gt;"",BV33,"NONSIM"),IF(BC33="RBT",IF(BH33&lt;&gt;"",BH33,""),IF(BC33="SNS",IF(BH33&lt;&gt;"",BH33,L33),IF(OR(BC33="PLC",BC33="PSF"),IF(BG33&lt;&gt;"",BG33,""),""))))</f>
        <v/>
      </c>
      <c r="R33" s="56" t="str">
        <f t="shared" ref="R33:R36" si="99">IF(OR(BC33="PLC",BC33="PSF",BC33="OPR"),IF(BH33&lt;&gt;"",BH33,""),IF(BC33="RBT",IF(BI33&lt;&gt;"",BI33,""),IF(BC33="SNS",IF(BI33&lt;&gt;"",BI33,"PHOTOELECTRIC"),"")))</f>
        <v/>
      </c>
      <c r="S33" s="56" t="str">
        <f t="shared" ref="S33:S36" si="100">IF(OR(BC33="PLC",BC33="PSF",BC33="OPR",AND(BC33="CUSTOM",OR(BU33="PLC",BU33="PSF"))),IF(BI33&lt;&gt;"",BI33,""),IF(BC33="SNS",IF(BJ33&lt;&gt;"",BJ33,""),""))</f>
        <v/>
      </c>
      <c r="T33" s="56" t="str">
        <f t="shared" ref="T33:T36" si="101">IF(AND(Header_PLC_Type="CLX",BC33="PSF",BB33="EXIT"),CJ33&amp;CK33,IF(BC33="OPR",IF(BJ33&lt;&gt;"",BJ33,""),""))</f>
        <v>Consumer_Saa_Sbb_S.SftyZone[1].PendantsUnplgd</v>
      </c>
      <c r="U33" s="56" t="str">
        <f t="shared" ref="U33:U36" si="102">IF(OR(BC33="SNS",BC33="OPR"),IF(BK33&lt;&gt;"",BK33,""),"")</f>
        <v/>
      </c>
      <c r="V33" s="56" t="str">
        <f t="shared" ref="V33:V36" si="103">IF(OR(BC33="SNS",BC33="OPR"),IF(BL33&lt;&gt;"",BL33,""),"")</f>
        <v/>
      </c>
      <c r="W33" s="56"/>
      <c r="X33" s="56"/>
      <c r="Y33" s="56"/>
      <c r="Z33" s="56" t="str">
        <f t="shared" ref="Z33:Z36" si="104">IF(BP33="","",BP33)</f>
        <v/>
      </c>
      <c r="AA33" s="56" t="str">
        <f t="shared" ref="AA33:AA36" si="105">IF($BQ33="","",$BQ33)</f>
        <v/>
      </c>
      <c r="AB33" s="56" t="str">
        <f t="shared" si="9"/>
        <v>ToolPrototype</v>
      </c>
      <c r="AC33" s="56" t="str">
        <f t="shared" ref="AC33:AC36" si="106">IF(ISBLANK(BT33),"","Optional")</f>
        <v/>
      </c>
      <c r="AD33" s="56" t="str">
        <f t="shared" si="10"/>
        <v/>
      </c>
      <c r="AE33" s="56" t="str">
        <f t="shared" si="11"/>
        <v/>
      </c>
      <c r="AF33"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ref="AN33:AN36" si="107">IF(BR33&lt;&gt;"",BR33,"")</f>
        <v/>
      </c>
      <c r="AO33" s="56" t="str">
        <f t="shared" ref="AO33:AO36" si="108">IF(BS33&lt;&gt;"",BS33,"")</f>
        <v/>
      </c>
      <c r="AP33" s="56" t="str">
        <f t="shared" ref="AP33:AP36" si="109">IF(BC33&lt;&gt;"CUSTOM",BC33,BU33)</f>
        <v>PSF</v>
      </c>
      <c r="AQ33" s="56" t="str">
        <f t="shared" ref="AQ33:AQ36" si="110">BB33</f>
        <v>EXIT</v>
      </c>
      <c r="AR33" s="39" t="s">
        <v>129</v>
      </c>
      <c r="AT33" s="44" t="str">
        <f t="shared" ref="AT33:AT36" si="111">IF(Header_PLC_Type="CLX",IF(CP33&lt;&gt;"",CP33,"&lt;noType&gt;"),IF(LEFT(Header_PLC_Type,2)="S7",IF(CD33&lt;&gt;"",CD33,"&lt;noType&gt;"),"&lt;noPLC&gt;"))</f>
        <v>BOOL</v>
      </c>
      <c r="AU33" s="23">
        <f t="shared" ref="AU33:AU36" si="112">IF(OR(BC33="PLC",BC33="PSF"),CA33,"")</f>
        <v>0</v>
      </c>
      <c r="AV33" s="23" t="str">
        <f t="shared" ref="AV33:AV36" si="113">IF(OR(BC33="PLC",BC33="PSF"),IF(AT33="BOOL",F33,IF(AT33="BYTE",F33&amp;"B",IF(OR(AT33="WORD",AT33="INT"),F33&amp;"W",IF(OR(AT33="DWORD",AT33="DINT",AT33="REAL"),F33&amp;"D","&lt;invalid&gt;")))),"")</f>
        <v>I</v>
      </c>
      <c r="AW33" s="23" t="str">
        <f t="shared" ref="AW33:AW36" si="114">IF(OR(BC33="PLC",BC33="PSF"),""&amp;AV33&amp;IF(AT33="BOOL",BY33&amp;"."&amp;BZ33,BY33)&amp; IF(CA33&lt;&gt;"",": &lt;"&amp;CA33&amp;"&gt; - ",": "),"")</f>
        <v xml:space="preserve">I.: </v>
      </c>
      <c r="AX33" s="23" t="str">
        <f t="shared" ref="AX33:AX36" si="115">IF(OR(BC33="PLC",BC33="PSF"),IF(AND(BB33="EXIT",BC33="PSF"),CH33&amp;SUBSTITUTE(CJ33,":","_")&amp;CK33,CJ33&amp;CK33),"")</f>
        <v>_VC_Consumer_Saa_Sbb_S.SftyZone[1].PendantsUnplgd</v>
      </c>
      <c r="AY33" s="36" t="str">
        <f t="shared" ref="AY33:AY36" si="116">IF(OR(BC33="PLC",BC33="PSF"),IF(CM33&lt;&gt;"",CM33 &amp; ": &lt;" &amp; CN33&amp;CO33 &amp; "&gt; - ","Controller: &lt;"&amp;CJ33&amp;CK33&amp;"&gt; - "),"")</f>
        <v xml:space="preserve">SafetyProgramZn1: &lt;ConsumerNext.PendantsUnplgd&gt; - </v>
      </c>
      <c r="BB33" s="42" t="s">
        <v>17</v>
      </c>
      <c r="BC33" t="s">
        <v>22</v>
      </c>
      <c r="BD33" t="str">
        <f t="shared" si="85"/>
        <v>AB_RACKx_SLOTa</v>
      </c>
      <c r="BV33" s="30" t="s">
        <v>308</v>
      </c>
      <c r="BY33" s="42"/>
      <c r="CB33" s="42"/>
      <c r="CE33" s="30"/>
      <c r="CH33" s="42" t="s">
        <v>65</v>
      </c>
      <c r="CI33" t="s">
        <v>94</v>
      </c>
      <c r="CJ33" t="str">
        <f t="shared" si="86"/>
        <v>Consumer_Saa_Sbb_S.SftyZone[1].</v>
      </c>
      <c r="CK33" t="s">
        <v>309</v>
      </c>
      <c r="CM33" t="str">
        <f t="shared" si="87"/>
        <v>SafetyProgramZn1</v>
      </c>
      <c r="CN33" s="30" t="s">
        <v>291</v>
      </c>
      <c r="CO33" t="s">
        <v>309</v>
      </c>
      <c r="CP33" t="s">
        <v>12</v>
      </c>
      <c r="CQ33" s="40" t="s">
        <v>284</v>
      </c>
      <c r="CR33" s="30" t="s">
        <v>310</v>
      </c>
    </row>
    <row r="34" spans="2:96" x14ac:dyDescent="0.35">
      <c r="B34" s="4" t="str">
        <f t="shared" si="88"/>
        <v>CELL_SAFE_INTERLOCKS_Saa_Sbb</v>
      </c>
      <c r="C34" s="4"/>
      <c r="D34" s="4" t="str">
        <f t="shared" si="89"/>
        <v>To_PSF_Cell_PendantOK</v>
      </c>
      <c r="E34" s="4" t="str">
        <f t="shared" si="90"/>
        <v>_VC_Consumer_Saa_Sbb_S.SftyZone[1].PendantsOK</v>
      </c>
      <c r="F34" s="4" t="str">
        <f t="shared" si="91"/>
        <v>I</v>
      </c>
      <c r="G34" s="4" t="str">
        <f t="shared" si="92"/>
        <v/>
      </c>
      <c r="H34" s="4" t="str">
        <f t="shared" si="93"/>
        <v>SafetyProgramZn1: &lt;ConsumerNext.PendantsOK&gt; - Pendants Ok To Apply Power</v>
      </c>
      <c r="I34" s="4" t="str">
        <f t="shared" si="94"/>
        <v>AB_RACKx_SLOTa</v>
      </c>
      <c r="J34" s="4"/>
      <c r="K34" s="56" t="str">
        <f t="shared" si="95"/>
        <v>BOOL</v>
      </c>
      <c r="L34" s="56" t="str">
        <f t="shared" si="4"/>
        <v>SYSTEM\INTERLOCKS</v>
      </c>
      <c r="M34" s="56" t="str">
        <f t="shared" si="5"/>
        <v>STELLANTIS\Common\ToolPrototype\Interlocks</v>
      </c>
      <c r="N34" s="56" t="str">
        <f t="shared" si="6"/>
        <v>STELLANTIS_EIP_CELL_SAFE_INTERLOCKS_Saa_Sbb.v00</v>
      </c>
      <c r="O34" s="56" t="str">
        <f t="shared" si="96"/>
        <v/>
      </c>
      <c r="P34" s="56" t="str">
        <f t="shared" si="97"/>
        <v/>
      </c>
      <c r="Q34" s="56" t="str">
        <f t="shared" si="98"/>
        <v/>
      </c>
      <c r="R34" s="56" t="str">
        <f t="shared" si="99"/>
        <v/>
      </c>
      <c r="S34" s="56" t="str">
        <f t="shared" si="100"/>
        <v/>
      </c>
      <c r="T34" s="56" t="str">
        <f t="shared" si="101"/>
        <v>Consumer_Saa_Sbb_S.SftyZone[1].PendantsOK</v>
      </c>
      <c r="U34" s="56" t="str">
        <f t="shared" si="102"/>
        <v/>
      </c>
      <c r="V34" s="56" t="str">
        <f t="shared" si="103"/>
        <v/>
      </c>
      <c r="W34" s="56"/>
      <c r="X34" s="56"/>
      <c r="Y34" s="56"/>
      <c r="Z34" s="56" t="str">
        <f t="shared" si="104"/>
        <v/>
      </c>
      <c r="AA34" s="56" t="str">
        <f t="shared" si="105"/>
        <v/>
      </c>
      <c r="AB34" s="56" t="str">
        <f t="shared" si="9"/>
        <v>ToolPrototype</v>
      </c>
      <c r="AC34" s="56" t="str">
        <f t="shared" si="106"/>
        <v/>
      </c>
      <c r="AD34" s="56" t="str">
        <f t="shared" si="10"/>
        <v/>
      </c>
      <c r="AE34" s="56" t="str">
        <f t="shared" si="11"/>
        <v/>
      </c>
      <c r="AF34"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107"/>
        <v/>
      </c>
      <c r="AO34" s="56" t="str">
        <f t="shared" si="108"/>
        <v/>
      </c>
      <c r="AP34" s="56" t="str">
        <f t="shared" si="109"/>
        <v>PSF</v>
      </c>
      <c r="AQ34" s="56" t="str">
        <f t="shared" si="110"/>
        <v>EXIT</v>
      </c>
      <c r="AR34" s="39" t="s">
        <v>129</v>
      </c>
      <c r="AT34" s="44" t="str">
        <f t="shared" si="111"/>
        <v>BOOL</v>
      </c>
      <c r="AU34" s="23">
        <f t="shared" si="112"/>
        <v>0</v>
      </c>
      <c r="AV34" s="23" t="str">
        <f t="shared" si="113"/>
        <v>I</v>
      </c>
      <c r="AW34" s="23" t="str">
        <f t="shared" si="114"/>
        <v xml:space="preserve">I.: </v>
      </c>
      <c r="AX34" s="23" t="str">
        <f t="shared" si="115"/>
        <v>_VC_Consumer_Saa_Sbb_S.SftyZone[1].PendantsOK</v>
      </c>
      <c r="AY34" s="36" t="str">
        <f t="shared" si="116"/>
        <v xml:space="preserve">SafetyProgramZn1: &lt;ConsumerNext.PendantsOK&gt; - </v>
      </c>
      <c r="BB34" s="42" t="s">
        <v>17</v>
      </c>
      <c r="BC34" t="s">
        <v>22</v>
      </c>
      <c r="BD34" t="str">
        <f t="shared" si="85"/>
        <v>AB_RACKx_SLOTa</v>
      </c>
      <c r="BV34" s="30" t="s">
        <v>311</v>
      </c>
      <c r="BY34" s="42"/>
      <c r="CB34" s="42"/>
      <c r="CE34" s="30"/>
      <c r="CH34" s="42" t="s">
        <v>65</v>
      </c>
      <c r="CI34" t="s">
        <v>94</v>
      </c>
      <c r="CJ34" t="str">
        <f t="shared" si="86"/>
        <v>Consumer_Saa_Sbb_S.SftyZone[1].</v>
      </c>
      <c r="CK34" t="s">
        <v>312</v>
      </c>
      <c r="CM34" t="str">
        <f t="shared" si="87"/>
        <v>SafetyProgramZn1</v>
      </c>
      <c r="CN34" s="30" t="s">
        <v>291</v>
      </c>
      <c r="CO34" t="s">
        <v>312</v>
      </c>
      <c r="CP34" t="s">
        <v>12</v>
      </c>
      <c r="CQ34" s="40" t="s">
        <v>284</v>
      </c>
      <c r="CR34" s="30" t="s">
        <v>313</v>
      </c>
    </row>
    <row r="35" spans="2:96" x14ac:dyDescent="0.35">
      <c r="B35" s="4" t="str">
        <f t="shared" si="88"/>
        <v>CELL_SAFE_INTERLOCKS_Saa_Sbb</v>
      </c>
      <c r="C35" s="4"/>
      <c r="D35" s="4" t="str">
        <f t="shared" si="89"/>
        <v>To_PSF_Cell_PowerOn</v>
      </c>
      <c r="E35" s="4" t="str">
        <f t="shared" si="90"/>
        <v>_VC_Consumer_Saa_Sbb_S.SftyZone[1].PowerOn</v>
      </c>
      <c r="F35" s="4" t="str">
        <f t="shared" si="91"/>
        <v>I</v>
      </c>
      <c r="G35" s="4" t="str">
        <f t="shared" si="92"/>
        <v/>
      </c>
      <c r="H35" s="4" t="str">
        <f t="shared" si="93"/>
        <v>SafetyProgramZn1: &lt;ConsumerNext.PowerOn&gt; - Power On</v>
      </c>
      <c r="I35" s="4" t="str">
        <f t="shared" si="94"/>
        <v>AB_RACKx_SLOTa</v>
      </c>
      <c r="J35" s="4"/>
      <c r="K35" s="56" t="str">
        <f t="shared" si="95"/>
        <v>BOOL</v>
      </c>
      <c r="L35" s="56" t="str">
        <f t="shared" si="4"/>
        <v>SYSTEM\INTERLOCKS</v>
      </c>
      <c r="M35" s="56" t="str">
        <f t="shared" si="5"/>
        <v>STELLANTIS\Common\ToolPrototype\Interlocks</v>
      </c>
      <c r="N35" s="56" t="str">
        <f t="shared" si="6"/>
        <v>STELLANTIS_EIP_CELL_SAFE_INTERLOCKS_Saa_Sbb.v00</v>
      </c>
      <c r="O35" s="56" t="str">
        <f t="shared" si="96"/>
        <v/>
      </c>
      <c r="P35" s="56" t="str">
        <f t="shared" si="97"/>
        <v/>
      </c>
      <c r="Q35" s="56" t="str">
        <f t="shared" si="98"/>
        <v/>
      </c>
      <c r="R35" s="56" t="str">
        <f t="shared" si="99"/>
        <v/>
      </c>
      <c r="S35" s="56" t="str">
        <f t="shared" si="100"/>
        <v/>
      </c>
      <c r="T35" s="56" t="str">
        <f t="shared" si="101"/>
        <v>Consumer_Saa_Sbb_S.SftyZone[1].PowerOn</v>
      </c>
      <c r="U35" s="56" t="str">
        <f t="shared" si="102"/>
        <v/>
      </c>
      <c r="V35" s="56" t="str">
        <f t="shared" si="103"/>
        <v/>
      </c>
      <c r="W35" s="56"/>
      <c r="X35" s="56"/>
      <c r="Y35" s="56"/>
      <c r="Z35" s="56" t="str">
        <f t="shared" si="104"/>
        <v/>
      </c>
      <c r="AA35" s="56" t="str">
        <f t="shared" si="105"/>
        <v/>
      </c>
      <c r="AB35" s="56" t="str">
        <f t="shared" si="9"/>
        <v>ToolPrototype</v>
      </c>
      <c r="AC35" s="56" t="str">
        <f t="shared" si="106"/>
        <v/>
      </c>
      <c r="AD35" s="56" t="str">
        <f t="shared" si="10"/>
        <v/>
      </c>
      <c r="AE35" s="56" t="str">
        <f t="shared" si="11"/>
        <v/>
      </c>
      <c r="AF35"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107"/>
        <v/>
      </c>
      <c r="AO35" s="56" t="str">
        <f t="shared" si="108"/>
        <v/>
      </c>
      <c r="AP35" s="56" t="str">
        <f t="shared" si="109"/>
        <v>PSF</v>
      </c>
      <c r="AQ35" s="56" t="str">
        <f t="shared" si="110"/>
        <v>EXIT</v>
      </c>
      <c r="AR35" s="39" t="s">
        <v>129</v>
      </c>
      <c r="AT35" s="44" t="str">
        <f t="shared" si="111"/>
        <v>BOOL</v>
      </c>
      <c r="AU35" s="23">
        <f t="shared" si="112"/>
        <v>0</v>
      </c>
      <c r="AV35" s="23" t="str">
        <f t="shared" si="113"/>
        <v>I</v>
      </c>
      <c r="AW35" s="23" t="str">
        <f t="shared" si="114"/>
        <v xml:space="preserve">I.: </v>
      </c>
      <c r="AX35" s="23" t="str">
        <f t="shared" si="115"/>
        <v>_VC_Consumer_Saa_Sbb_S.SftyZone[1].PowerOn</v>
      </c>
      <c r="AY35" s="36" t="str">
        <f t="shared" si="116"/>
        <v xml:space="preserve">SafetyProgramZn1: &lt;ConsumerNext.PowerOn&gt; - </v>
      </c>
      <c r="BB35" s="42" t="s">
        <v>17</v>
      </c>
      <c r="BC35" t="s">
        <v>22</v>
      </c>
      <c r="BD35" t="str">
        <f t="shared" si="85"/>
        <v>AB_RACKx_SLOTa</v>
      </c>
      <c r="BV35" s="30" t="s">
        <v>314</v>
      </c>
      <c r="BY35" s="42"/>
      <c r="CB35" s="42"/>
      <c r="CE35" s="30"/>
      <c r="CH35" s="42" t="s">
        <v>65</v>
      </c>
      <c r="CI35" t="s">
        <v>94</v>
      </c>
      <c r="CJ35" t="str">
        <f t="shared" si="86"/>
        <v>Consumer_Saa_Sbb_S.SftyZone[1].</v>
      </c>
      <c r="CK35" t="s">
        <v>315</v>
      </c>
      <c r="CM35" t="str">
        <f t="shared" si="87"/>
        <v>SafetyProgramZn1</v>
      </c>
      <c r="CN35" s="30" t="s">
        <v>291</v>
      </c>
      <c r="CO35" t="s">
        <v>315</v>
      </c>
      <c r="CP35" t="s">
        <v>12</v>
      </c>
      <c r="CQ35" s="40" t="s">
        <v>284</v>
      </c>
      <c r="CR35" s="30" t="s">
        <v>316</v>
      </c>
    </row>
    <row r="36" spans="2:96" x14ac:dyDescent="0.35">
      <c r="B36" s="4" t="str">
        <f t="shared" si="88"/>
        <v>CELL_SAFE_INTERLOCKS_Saa_Sbb</v>
      </c>
      <c r="C36" s="4"/>
      <c r="D36" s="4" t="str">
        <f t="shared" si="89"/>
        <v>To_PSF_Zone_UpStrmMZOK</v>
      </c>
      <c r="E36" s="4" t="str">
        <f t="shared" si="90"/>
        <v>_VC_Consumer_Saa_Sbb_S.SftyZone[1].MZ.UpStrmMZOK</v>
      </c>
      <c r="F36" s="4" t="str">
        <f t="shared" si="91"/>
        <v>I</v>
      </c>
      <c r="G36" s="4" t="str">
        <f t="shared" si="92"/>
        <v/>
      </c>
      <c r="H36" s="4" t="str">
        <f t="shared" si="93"/>
        <v>SafetyProgramZn1: &lt;ConsumerNext.MZ.UpStrmMZOK&gt; - Up Stream Migration Zone OK</v>
      </c>
      <c r="I36" s="4" t="str">
        <f t="shared" si="94"/>
        <v>AB_RACKx_SLOTa</v>
      </c>
      <c r="J36" s="4"/>
      <c r="K36" s="56" t="str">
        <f t="shared" si="95"/>
        <v>BOOL</v>
      </c>
      <c r="L36" s="56" t="str">
        <f t="shared" si="4"/>
        <v>SYSTEM\INTERLOCKS</v>
      </c>
      <c r="M36" s="56" t="str">
        <f t="shared" si="5"/>
        <v>STELLANTIS\Common\ToolPrototype\Interlocks</v>
      </c>
      <c r="N36" s="56" t="str">
        <f t="shared" si="6"/>
        <v>STELLANTIS_EIP_CELL_SAFE_INTERLOCKS_Saa_Sbb.v00</v>
      </c>
      <c r="O36" s="56" t="str">
        <f t="shared" si="96"/>
        <v/>
      </c>
      <c r="P36" s="56" t="str">
        <f t="shared" si="97"/>
        <v/>
      </c>
      <c r="Q36" s="56" t="str">
        <f t="shared" si="98"/>
        <v/>
      </c>
      <c r="R36" s="56" t="str">
        <f t="shared" si="99"/>
        <v/>
      </c>
      <c r="S36" s="56" t="str">
        <f t="shared" si="100"/>
        <v/>
      </c>
      <c r="T36" s="56" t="str">
        <f t="shared" si="101"/>
        <v>Consumer_Saa_Sbb_S.SftyZone[1].MZ.UpStrmMZOK</v>
      </c>
      <c r="U36" s="56" t="str">
        <f t="shared" si="102"/>
        <v/>
      </c>
      <c r="V36" s="56" t="str">
        <f t="shared" si="103"/>
        <v/>
      </c>
      <c r="W36" s="56"/>
      <c r="X36" s="56"/>
      <c r="Y36" s="56"/>
      <c r="Z36" s="56" t="str">
        <f t="shared" si="104"/>
        <v/>
      </c>
      <c r="AA36" s="56" t="str">
        <f t="shared" si="105"/>
        <v/>
      </c>
      <c r="AB36" s="56" t="str">
        <f t="shared" si="9"/>
        <v>ToolPrototype</v>
      </c>
      <c r="AC36" s="56" t="str">
        <f t="shared" si="106"/>
        <v/>
      </c>
      <c r="AD36" s="56" t="str">
        <f t="shared" si="10"/>
        <v/>
      </c>
      <c r="AE36" s="56" t="str">
        <f t="shared" si="11"/>
        <v/>
      </c>
      <c r="AF36"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107"/>
        <v/>
      </c>
      <c r="AO36" s="56" t="str">
        <f t="shared" si="108"/>
        <v/>
      </c>
      <c r="AP36" s="56" t="str">
        <f t="shared" si="109"/>
        <v>PSF</v>
      </c>
      <c r="AQ36" s="56" t="str">
        <f t="shared" si="110"/>
        <v>EXIT</v>
      </c>
      <c r="AR36" s="39" t="s">
        <v>129</v>
      </c>
      <c r="AT36" s="44" t="str">
        <f t="shared" si="111"/>
        <v>BOOL</v>
      </c>
      <c r="AU36" s="23">
        <f t="shared" si="112"/>
        <v>0</v>
      </c>
      <c r="AV36" s="23" t="str">
        <f t="shared" si="113"/>
        <v>I</v>
      </c>
      <c r="AW36" s="23" t="str">
        <f t="shared" si="114"/>
        <v xml:space="preserve">I.: </v>
      </c>
      <c r="AX36" s="23" t="str">
        <f t="shared" si="115"/>
        <v>_VC_Consumer_Saa_Sbb_S.SftyZone[1].MZ.UpStrmMZOK</v>
      </c>
      <c r="AY36" s="36" t="str">
        <f t="shared" si="116"/>
        <v xml:space="preserve">SafetyProgramZn1: &lt;ConsumerNext.MZ.UpStrmMZOK&gt; - </v>
      </c>
      <c r="BB36" s="42" t="s">
        <v>17</v>
      </c>
      <c r="BC36" t="s">
        <v>22</v>
      </c>
      <c r="BD36" t="str">
        <f t="shared" si="85"/>
        <v>AB_RACKx_SLOTa</v>
      </c>
      <c r="BV36" s="30" t="s">
        <v>317</v>
      </c>
      <c r="BY36" s="42"/>
      <c r="CB36" s="42"/>
      <c r="CE36" s="30"/>
      <c r="CH36" s="42" t="s">
        <v>65</v>
      </c>
      <c r="CI36" t="s">
        <v>94</v>
      </c>
      <c r="CJ36" t="str">
        <f>"Consumer_"&amp;Header_LB_Unique_ID&amp;"_S.SftyZone["&amp;Header_Config02&amp;"].MZ."</f>
        <v>Consumer_Saa_Sbb_S.SftyZone[1].MZ.</v>
      </c>
      <c r="CK36" t="s">
        <v>318</v>
      </c>
      <c r="CM36" t="str">
        <f t="shared" si="87"/>
        <v>SafetyProgramZn1</v>
      </c>
      <c r="CN36" s="30" t="str">
        <f>"ConsumerNext.MZ."</f>
        <v>ConsumerNext.MZ.</v>
      </c>
      <c r="CO36" t="s">
        <v>318</v>
      </c>
      <c r="CP36" t="s">
        <v>12</v>
      </c>
      <c r="CQ36" s="40" t="s">
        <v>284</v>
      </c>
      <c r="CR36" s="30" t="s">
        <v>319</v>
      </c>
    </row>
    <row r="37" spans="2:96" x14ac:dyDescent="0.35">
      <c r="B37" s="4" t="str">
        <f t="shared" ref="B37" si="117">IF(LEN(BT37)=0,Header_LB_Name,"&lt;BLANK&gt;")</f>
        <v>CELL_SAFE_INTERLOCKS_Saa_Sbb</v>
      </c>
      <c r="C37" s="4"/>
      <c r="D37" s="4" t="str">
        <f t="shared" ref="D37" si="118">IF(BC37="CUSTOM",BV37,IF(BB37="ENTRY","From_",IF(BB37="EXIT","To_","&lt;invalid&gt;"))&amp;IF(OR(BC37="RBT",BC37="KEY",BC37="SNS"),IF(BE37="",BC37,BC37&amp;"_"&amp;BE37),IF(BC37="OPR",IF(BE37="",BC37&amp;"_"&amp;BD37,BC37&amp;"_"&amp;BE37),IF(BC37="LBS",IF(BE37="",BD37,BE37),BC37)))&amp;"_"&amp;IF(BC37="OPR",IF(BB37="ENTRY","end",IF(BB37="EXIT","start","&lt;invalid&gt;")),BV37))</f>
        <v>To_PSF_Zone_DwnStrmMZOK</v>
      </c>
      <c r="E37" s="4" t="str">
        <f t="shared" ref="E37" si="119">IF(OR(BC37="PLC",BC37="PSF"),IF(Header_PLC_Type="CLX",AX37,IF(LEFT(Header_PLC_Type,2)="S7",AU37,"&lt;invalid PLC type&gt;")),IF(BB37="ENTRY",IF(BC37="LBS",IF(BD37&lt;&gt;"",IF(BF37="",BC37&amp;"_"&amp;BD37&amp;"_To_"&amp;B37&amp;"_"&amp;BV37,BC37&amp;"_"&amp;BD37&amp;"_To_"&amp;BF37&amp;"_"&amp;BV37),"&lt;missing other LB/group name&gt;"),IF(OR(BC37="SNS",BC37="KEY"),IF(BD37&lt;&gt;"",BC37&amp;"_"&amp;BD37&amp;"_"&amp;BV37,"&lt;missing unique identifier&gt;"),IF(OR(BC37="RBT",BC37="OPR"),IF(BD37&lt;&gt;"",BD37&amp;"_"&amp;IF(BC37="OPR","end",IF(BG37&lt;&gt;"",BG37,BV37)),"&lt;missing unique identifier&gt;"),IF(BC37="CUSTOM",BD37,"&lt;invalid connection&gt;")))),IF(BB37="EXIT",IF(BC37="LBS",IF(BD37&lt;&gt;"",BC37&amp;"_"&amp;B37&amp;"_To_"&amp;BD37&amp;"_"&amp;BV37,"&lt;missing other LB/group name&gt;"),IF(OR(BC37="RBT",BC37="OPR"),IF(BD37&lt;&gt;"",BD37&amp;"_"&amp;IF(BC37="OPR","start",IF(BG37&lt;&gt;"",BG37,BV37)),"&lt;missing unique identifier&gt;"),IF(BC37="CUSTOM",BD37,"&lt;invalid connection (sensor or key signal can't be exit)&gt;"))),"&lt;invalid entry/exit&gt;")))</f>
        <v>_VC_Consumer_Saa_Sbb_S.SftyZone[1].MZ.DwnStrmMZOK</v>
      </c>
      <c r="F37" s="4" t="str">
        <f t="shared" ref="F37" si="120">IF(BC37="CUSTOM",BE37,IF(OR(AND(BB37="ENTRY",OR(BC37="PLC",BC37="PSF")),AND(BB37="EXIT",OR(BC37="RBT",BC37="OPR"))),"Q","I"))</f>
        <v>I</v>
      </c>
      <c r="G37" s="4" t="str">
        <f t="shared" ref="G37" si="121">IF(Header_PLC_Type="S7-ADD",IF(OR(BC37="PSF",BC37="PLC"),IF(BY37&lt;&gt;"",IF(AT37="BOOL",BY37&amp;"."&amp;BZ37,BY37),"&lt;missing&gt;"),""),"")</f>
        <v/>
      </c>
      <c r="H37" s="4" t="str">
        <f t="shared" ref="H37" si="122">IF(OR(BC37="PLC",BC37="PSF"),IF(Header_PLC_Type="CLX",AY37&amp;CR37,IF(LEFT(Header_PLC_Type,2)="S7",AW37&amp;CE37,"&lt;invalid PLC type&gt;")),IF(Header_PLC_Type="CLX",IF(CR37&lt;&gt;"",CR37,""),IF(LEFT(Header_PLC_Type,2)="S7",IF(CE37&lt;&gt;"",CE37,""),"&lt;invalid PLC type&gt;")))</f>
        <v>SafetyProgramZn1: &lt;ConsumerNext.MZ.DwnStrmMZOK&gt; - Down Stream Migration Zone OK</v>
      </c>
      <c r="I37" s="4" t="str">
        <f t="shared" ref="I37" si="123">IF(OR(BC37="PLC",BC37="PSF"),BD37,IF(AND(BC37="CUSTOM",BF37&lt;&gt;""),BF37,""))</f>
        <v>AB_RACKx_SLOTa</v>
      </c>
      <c r="J37" s="4"/>
      <c r="K37" s="56" t="str">
        <f t="shared" ref="K37" si="124">AT37</f>
        <v>BOOL</v>
      </c>
      <c r="L37" s="56" t="str">
        <f t="shared" si="4"/>
        <v>SYSTEM\INTERLOCKS</v>
      </c>
      <c r="M37" s="56" t="str">
        <f t="shared" si="5"/>
        <v>STELLANTIS\Common\ToolPrototype\Interlocks</v>
      </c>
      <c r="N37" s="56" t="str">
        <f t="shared" si="6"/>
        <v>STELLANTIS_EIP_CELL_SAFE_INTERLOCKS_Saa_Sbb.v00</v>
      </c>
      <c r="O37" s="56" t="str">
        <f t="shared" ref="O37" si="125">IF(AND(OR(BC37="SNS",BC37="OPR",BC37="RBT"),BF37&lt;&gt;""),BF37,IF(OR(BC37="PSF",BC37="PLC"),IF(BB37="ENTRY",IF(OR(ISLOGICAL(BF37),ISNUMBER(BF37)),LOWER(TEXT(BF37,"General")),IF((ISTEXT(BF37)),"CEE_To_VC_"&amp;BE37&amp;"_"&amp;BF37,"")),IF((ISTEXT(BF37)),"CEE_From_VC_"&amp;BE37&amp;"_"&amp;BF37,"")),IF(BC37="CUSTOM",IF(BH37&lt;&gt;"",BH37,""),"")))</f>
        <v/>
      </c>
      <c r="P37" s="56" t="str">
        <f t="shared" ref="P37" si="126">IF(OR(BC37="SNS",BC37="OPR"),IF(BG37&lt;&gt;"",BG37,""),IF(BC37="RBT",BD37,IF(BC37="CUSTOM",IF(BG37&lt;&gt;"",BG37,""),"")))</f>
        <v/>
      </c>
      <c r="Q37" s="56" t="str">
        <f t="shared" ref="Q37" si="127">IF(BC37="OPR",IF(BV37&lt;&gt;"",BV37,"NONSIM"),IF(BC37="RBT",IF(BH37&lt;&gt;"",BH37,""),IF(BC37="SNS",IF(BH37&lt;&gt;"",BH37,L37),IF(OR(BC37="PLC",BC37="PSF"),IF(BG37&lt;&gt;"",BG37,""),""))))</f>
        <v/>
      </c>
      <c r="R37" s="56" t="str">
        <f t="shared" ref="R37" si="128">IF(OR(BC37="PLC",BC37="PSF",BC37="OPR"),IF(BH37&lt;&gt;"",BH37,""),IF(BC37="RBT",IF(BI37&lt;&gt;"",BI37,""),IF(BC37="SNS",IF(BI37&lt;&gt;"",BI37,"PHOTOELECTRIC"),"")))</f>
        <v/>
      </c>
      <c r="S37" s="56" t="str">
        <f t="shared" ref="S37" si="129">IF(OR(BC37="PLC",BC37="PSF",BC37="OPR",AND(BC37="CUSTOM",OR(BU37="PLC",BU37="PSF"))),IF(BI37&lt;&gt;"",BI37,""),IF(BC37="SNS",IF(BJ37&lt;&gt;"",BJ37,""),""))</f>
        <v/>
      </c>
      <c r="T37" s="56" t="str">
        <f t="shared" ref="T37" si="130">IF(AND(Header_PLC_Type="CLX",BC37="PSF",BB37="EXIT"),CJ37&amp;CK37,IF(BC37="OPR",IF(BJ37&lt;&gt;"",BJ37,""),""))</f>
        <v>Consumer_Saa_Sbb_S.SftyZone[1].MZ.DwnStrmMZOK</v>
      </c>
      <c r="U37" s="56" t="str">
        <f t="shared" ref="U37" si="131">IF(OR(BC37="SNS",BC37="OPR"),IF(BK37&lt;&gt;"",BK37,""),"")</f>
        <v/>
      </c>
      <c r="V37" s="56" t="str">
        <f t="shared" ref="V37" si="132">IF(OR(BC37="SNS",BC37="OPR"),IF(BL37&lt;&gt;"",BL37,""),"")</f>
        <v/>
      </c>
      <c r="W37" s="56"/>
      <c r="X37" s="56"/>
      <c r="Y37" s="56"/>
      <c r="Z37" s="56" t="str">
        <f t="shared" ref="Z37" si="133">IF(BP37="","",BP37)</f>
        <v/>
      </c>
      <c r="AA37" s="56" t="str">
        <f t="shared" ref="AA37" si="134">IF($BQ37="","",$BQ37)</f>
        <v/>
      </c>
      <c r="AB37" s="56" t="str">
        <f t="shared" si="9"/>
        <v>ToolPrototype</v>
      </c>
      <c r="AC37" s="56" t="str">
        <f t="shared" ref="AC37" si="135">IF(ISBLANK(BT37),"","Optional")</f>
        <v/>
      </c>
      <c r="AD37" s="56" t="str">
        <f t="shared" si="10"/>
        <v/>
      </c>
      <c r="AE37" s="56" t="str">
        <f t="shared" si="11"/>
        <v/>
      </c>
      <c r="AF37"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ref="AN37" si="136">IF(BR37&lt;&gt;"",BR37,"")</f>
        <v/>
      </c>
      <c r="AO37" s="56" t="str">
        <f t="shared" ref="AO37" si="137">IF(BS37&lt;&gt;"",BS37,"")</f>
        <v/>
      </c>
      <c r="AP37" s="56" t="str">
        <f t="shared" ref="AP37" si="138">IF(BC37&lt;&gt;"CUSTOM",BC37,BU37)</f>
        <v>PSF</v>
      </c>
      <c r="AQ37" s="56" t="str">
        <f t="shared" ref="AQ37" si="139">BB37</f>
        <v>EXIT</v>
      </c>
      <c r="AR37" s="39" t="s">
        <v>129</v>
      </c>
      <c r="AT37" s="44" t="str">
        <f t="shared" ref="AT37" si="140">IF(Header_PLC_Type="CLX",IF(CP37&lt;&gt;"",CP37,"&lt;noType&gt;"),IF(LEFT(Header_PLC_Type,2)="S7",IF(CD37&lt;&gt;"",CD37,"&lt;noType&gt;"),"&lt;noPLC&gt;"))</f>
        <v>BOOL</v>
      </c>
      <c r="AU37" s="23">
        <f t="shared" ref="AU37" si="141">IF(OR(BC37="PLC",BC37="PSF"),CA37,"")</f>
        <v>0</v>
      </c>
      <c r="AV37" s="23" t="str">
        <f t="shared" ref="AV37" si="142">IF(OR(BC37="PLC",BC37="PSF"),IF(AT37="BOOL",F37,IF(AT37="BYTE",F37&amp;"B",IF(OR(AT37="WORD",AT37="INT"),F37&amp;"W",IF(OR(AT37="DWORD",AT37="DINT",AT37="REAL"),F37&amp;"D","&lt;invalid&gt;")))),"")</f>
        <v>I</v>
      </c>
      <c r="AW37" s="23" t="str">
        <f t="shared" ref="AW37" si="143">IF(OR(BC37="PLC",BC37="PSF"),""&amp;AV37&amp;IF(AT37="BOOL",BY37&amp;"."&amp;BZ37,BY37)&amp; IF(CA37&lt;&gt;"",": &lt;"&amp;CA37&amp;"&gt; - ",": "),"")</f>
        <v xml:space="preserve">I.: </v>
      </c>
      <c r="AX37" s="23" t="str">
        <f t="shared" ref="AX37" si="144">IF(OR(BC37="PLC",BC37="PSF"),IF(AND(BB37="EXIT",BC37="PSF"),CH37&amp;SUBSTITUTE(CJ37,":","_")&amp;CK37,CJ37&amp;CK37),"")</f>
        <v>_VC_Consumer_Saa_Sbb_S.SftyZone[1].MZ.DwnStrmMZOK</v>
      </c>
      <c r="AY37" s="36" t="str">
        <f t="shared" ref="AY37" si="145">IF(OR(BC37="PLC",BC37="PSF"),IF(CM37&lt;&gt;"",CM37 &amp; ": &lt;" &amp; CN37&amp;CO37 &amp; "&gt; - ","Controller: &lt;"&amp;CJ37&amp;CK37&amp;"&gt; - "),"")</f>
        <v xml:space="preserve">SafetyProgramZn1: &lt;ConsumerNext.MZ.DwnStrmMZOK&gt; - </v>
      </c>
      <c r="BB37" s="42" t="s">
        <v>17</v>
      </c>
      <c r="BC37" t="s">
        <v>22</v>
      </c>
      <c r="BD37" t="str">
        <f t="shared" si="85"/>
        <v>AB_RACKx_SLOTa</v>
      </c>
      <c r="BV37" s="30" t="s">
        <v>320</v>
      </c>
      <c r="BY37" s="42"/>
      <c r="CB37" s="42"/>
      <c r="CE37" s="30"/>
      <c r="CH37" s="42" t="s">
        <v>65</v>
      </c>
      <c r="CI37" t="s">
        <v>94</v>
      </c>
      <c r="CJ37" t="str">
        <f>"Consumer_"&amp;Header_LB_Unique_ID&amp;"_S.SftyZone["&amp;Header_Config02&amp;"].MZ."</f>
        <v>Consumer_Saa_Sbb_S.SftyZone[1].MZ.</v>
      </c>
      <c r="CK37" t="s">
        <v>321</v>
      </c>
      <c r="CM37" t="str">
        <f t="shared" si="87"/>
        <v>SafetyProgramZn1</v>
      </c>
      <c r="CN37" s="30" t="str">
        <f t="shared" ref="CN37:CN40" si="146">"ConsumerNext.MZ."</f>
        <v>ConsumerNext.MZ.</v>
      </c>
      <c r="CO37" t="s">
        <v>321</v>
      </c>
      <c r="CP37" t="s">
        <v>12</v>
      </c>
      <c r="CQ37" s="40" t="s">
        <v>284</v>
      </c>
      <c r="CR37" s="30" t="s">
        <v>322</v>
      </c>
    </row>
    <row r="38" spans="2:96" x14ac:dyDescent="0.35">
      <c r="B38" s="4" t="str">
        <f t="shared" ref="B38" si="147">IF(LEN(BT38)=0,Header_LB_Name,"&lt;BLANK&gt;")</f>
        <v>CELL_SAFE_INTERLOCKS_Saa_Sbb</v>
      </c>
      <c r="C38" s="4"/>
      <c r="D38" s="4" t="str">
        <f t="shared" ref="D38" si="148">IF(BC38="CUSTOM",BV38,IF(BB38="ENTRY","From_",IF(BB38="EXIT","To_","&lt;invalid&gt;"))&amp;IF(OR(BC38="RBT",BC38="KEY",BC38="SNS"),IF(BE38="",BC38,BC38&amp;"_"&amp;BE38),IF(BC38="OPR",IF(BE38="",BC38&amp;"_"&amp;BD38,BC38&amp;"_"&amp;BE38),IF(BC38="LBS",IF(BE38="",BD38,BE38),BC38)))&amp;"_"&amp;IF(BC38="OPR",IF(BB38="ENTRY","end",IF(BB38="EXIT","start","&lt;invalid&gt;")),BV38))</f>
        <v>To_PSF_Zone_PermSafetiesOK</v>
      </c>
      <c r="E38" s="4" t="str">
        <f t="shared" ref="E38" si="149">IF(OR(BC38="PLC",BC38="PSF"),IF(Header_PLC_Type="CLX",AX38,IF(LEFT(Header_PLC_Type,2)="S7",AU38,"&lt;invalid PLC type&gt;")),IF(BB38="ENTRY",IF(BC38="LBS",IF(BD38&lt;&gt;"",IF(BF38="",BC38&amp;"_"&amp;BD38&amp;"_To_"&amp;B38&amp;"_"&amp;BV38,BC38&amp;"_"&amp;BD38&amp;"_To_"&amp;BF38&amp;"_"&amp;BV38),"&lt;missing other LB/group name&gt;"),IF(OR(BC38="SNS",BC38="KEY"),IF(BD38&lt;&gt;"",BC38&amp;"_"&amp;BD38&amp;"_"&amp;BV38,"&lt;missing unique identifier&gt;"),IF(OR(BC38="RBT",BC38="OPR"),IF(BD38&lt;&gt;"",BD38&amp;"_"&amp;IF(BC38="OPR","end",IF(BG38&lt;&gt;"",BG38,BV38)),"&lt;missing unique identifier&gt;"),IF(BC38="CUSTOM",BD38,"&lt;invalid connection&gt;")))),IF(BB38="EXIT",IF(BC38="LBS",IF(BD38&lt;&gt;"",BC38&amp;"_"&amp;B38&amp;"_To_"&amp;BD38&amp;"_"&amp;BV38,"&lt;missing other LB/group name&gt;"),IF(OR(BC38="RBT",BC38="OPR"),IF(BD38&lt;&gt;"",BD38&amp;"_"&amp;IF(BC38="OPR","start",IF(BG38&lt;&gt;"",BG38,BV38)),"&lt;missing unique identifier&gt;"),IF(BC38="CUSTOM",BD38,"&lt;invalid connection (sensor or key signal can't be exit)&gt;"))),"&lt;invalid entry/exit&gt;")))</f>
        <v>_VC_Consumer_Saa_Sbb_S.SftyZone[1].MZ.PermSafetiesOK</v>
      </c>
      <c r="F38" s="4" t="str">
        <f t="shared" ref="F38" si="150">IF(BC38="CUSTOM",BE38,IF(OR(AND(BB38="ENTRY",OR(BC38="PLC",BC38="PSF")),AND(BB38="EXIT",OR(BC38="RBT",BC38="OPR"))),"Q","I"))</f>
        <v>I</v>
      </c>
      <c r="G38" s="4" t="str">
        <f t="shared" ref="G38" si="151">IF(Header_PLC_Type="S7-ADD",IF(OR(BC38="PSF",BC38="PLC"),IF(BY38&lt;&gt;"",IF(AT38="BOOL",BY38&amp;"."&amp;BZ38,BY38),"&lt;missing&gt;"),""),"")</f>
        <v/>
      </c>
      <c r="H38" s="4" t="str">
        <f t="shared" ref="H38" si="152">IF(OR(BC38="PLC",BC38="PSF"),IF(Header_PLC_Type="CLX",AY38&amp;CR38,IF(LEFT(Header_PLC_Type,2)="S7",AW38&amp;CE38,"&lt;invalid PLC type&gt;")),IF(Header_PLC_Type="CLX",IF(CR38&lt;&gt;"",CR38,""),IF(LEFT(Header_PLC_Type,2)="S7",IF(CE38&lt;&gt;"",CE38,""),"&lt;invalid PLC type&gt;")))</f>
        <v>SafetyProgramZn1: &lt;ConsumerNext.MZ.PermSafetiesOK&gt; - Perimeter Safeties OK</v>
      </c>
      <c r="I38" s="4" t="str">
        <f t="shared" ref="I38" si="153">IF(OR(BC38="PLC",BC38="PSF"),BD38,IF(AND(BC38="CUSTOM",BF38&lt;&gt;""),BF38,""))</f>
        <v>AB_RACKx_SLOTa</v>
      </c>
      <c r="J38" s="4"/>
      <c r="K38" s="56" t="str">
        <f t="shared" ref="K38" si="154">AT38</f>
        <v>BOOL</v>
      </c>
      <c r="L38" s="56" t="str">
        <f t="shared" si="4"/>
        <v>SYSTEM\INTERLOCKS</v>
      </c>
      <c r="M38" s="56" t="str">
        <f t="shared" si="5"/>
        <v>STELLANTIS\Common\ToolPrototype\Interlocks</v>
      </c>
      <c r="N38" s="56" t="str">
        <f t="shared" si="6"/>
        <v>STELLANTIS_EIP_CELL_SAFE_INTERLOCKS_Saa_Sbb.v00</v>
      </c>
      <c r="O38" s="56" t="str">
        <f t="shared" ref="O38" si="155">IF(AND(OR(BC38="SNS",BC38="OPR",BC38="RBT"),BF38&lt;&gt;""),BF38,IF(OR(BC38="PSF",BC38="PLC"),IF(BB38="ENTRY",IF(OR(ISLOGICAL(BF38),ISNUMBER(BF38)),LOWER(TEXT(BF38,"General")),IF((ISTEXT(BF38)),"CEE_To_VC_"&amp;BE38&amp;"_"&amp;BF38,"")),IF((ISTEXT(BF38)),"CEE_From_VC_"&amp;BE38&amp;"_"&amp;BF38,"")),IF(BC38="CUSTOM",IF(BH38&lt;&gt;"",BH38,""),"")))</f>
        <v/>
      </c>
      <c r="P38" s="56" t="str">
        <f t="shared" ref="P38" si="156">IF(OR(BC38="SNS",BC38="OPR"),IF(BG38&lt;&gt;"",BG38,""),IF(BC38="RBT",BD38,IF(BC38="CUSTOM",IF(BG38&lt;&gt;"",BG38,""),"")))</f>
        <v/>
      </c>
      <c r="Q38" s="56" t="str">
        <f t="shared" ref="Q38" si="157">IF(BC38="OPR",IF(BV38&lt;&gt;"",BV38,"NONSIM"),IF(BC38="RBT",IF(BH38&lt;&gt;"",BH38,""),IF(BC38="SNS",IF(BH38&lt;&gt;"",BH38,L38),IF(OR(BC38="PLC",BC38="PSF"),IF(BG38&lt;&gt;"",BG38,""),""))))</f>
        <v/>
      </c>
      <c r="R38" s="56" t="str">
        <f t="shared" ref="R38" si="158">IF(OR(BC38="PLC",BC38="PSF",BC38="OPR"),IF(BH38&lt;&gt;"",BH38,""),IF(BC38="RBT",IF(BI38&lt;&gt;"",BI38,""),IF(BC38="SNS",IF(BI38&lt;&gt;"",BI38,"PHOTOELECTRIC"),"")))</f>
        <v/>
      </c>
      <c r="S38" s="56" t="str">
        <f t="shared" ref="S38" si="159">IF(OR(BC38="PLC",BC38="PSF",BC38="OPR",AND(BC38="CUSTOM",OR(BU38="PLC",BU38="PSF"))),IF(BI38&lt;&gt;"",BI38,""),IF(BC38="SNS",IF(BJ38&lt;&gt;"",BJ38,""),""))</f>
        <v/>
      </c>
      <c r="T38" s="56" t="str">
        <f t="shared" ref="T38" si="160">IF(AND(Header_PLC_Type="CLX",BC38="PSF",BB38="EXIT"),CJ38&amp;CK38,IF(BC38="OPR",IF(BJ38&lt;&gt;"",BJ38,""),""))</f>
        <v>Consumer_Saa_Sbb_S.SftyZone[1].MZ.PermSafetiesOK</v>
      </c>
      <c r="U38" s="56" t="str">
        <f t="shared" ref="U38" si="161">IF(OR(BC38="SNS",BC38="OPR"),IF(BK38&lt;&gt;"",BK38,""),"")</f>
        <v/>
      </c>
      <c r="V38" s="56" t="str">
        <f t="shared" ref="V38" si="162">IF(OR(BC38="SNS",BC38="OPR"),IF(BL38&lt;&gt;"",BL38,""),"")</f>
        <v/>
      </c>
      <c r="W38" s="56"/>
      <c r="X38" s="56"/>
      <c r="Y38" s="56"/>
      <c r="Z38" s="56" t="str">
        <f t="shared" ref="Z38" si="163">IF(BP38="","",BP38)</f>
        <v/>
      </c>
      <c r="AA38" s="56" t="str">
        <f t="shared" ref="AA38" si="164">IF($BQ38="","",$BQ38)</f>
        <v/>
      </c>
      <c r="AB38" s="56" t="str">
        <f t="shared" si="9"/>
        <v>ToolPrototype</v>
      </c>
      <c r="AC38" s="56" t="str">
        <f t="shared" ref="AC38" si="165">IF(ISBLANK(BT38),"","Optional")</f>
        <v/>
      </c>
      <c r="AD38" s="56" t="str">
        <f t="shared" si="10"/>
        <v/>
      </c>
      <c r="AE38" s="56" t="str">
        <f t="shared" si="11"/>
        <v/>
      </c>
      <c r="AF38" s="56" t="str">
        <f t="shared" si="12"/>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ref="AN38" si="166">IF(BR38&lt;&gt;"",BR38,"")</f>
        <v/>
      </c>
      <c r="AO38" s="56" t="str">
        <f t="shared" ref="AO38" si="167">IF(BS38&lt;&gt;"",BS38,"")</f>
        <v/>
      </c>
      <c r="AP38" s="56" t="str">
        <f t="shared" ref="AP38" si="168">IF(BC38&lt;&gt;"CUSTOM",BC38,BU38)</f>
        <v>PSF</v>
      </c>
      <c r="AQ38" s="56" t="str">
        <f t="shared" ref="AQ38" si="169">BB38</f>
        <v>EXIT</v>
      </c>
      <c r="AR38" s="39" t="s">
        <v>129</v>
      </c>
      <c r="AT38" s="44" t="str">
        <f t="shared" ref="AT38" si="170">IF(Header_PLC_Type="CLX",IF(CP38&lt;&gt;"",CP38,"&lt;noType&gt;"),IF(LEFT(Header_PLC_Type,2)="S7",IF(CD38&lt;&gt;"",CD38,"&lt;noType&gt;"),"&lt;noPLC&gt;"))</f>
        <v>BOOL</v>
      </c>
      <c r="AU38" s="23">
        <f t="shared" ref="AU38" si="171">IF(OR(BC38="PLC",BC38="PSF"),CA38,"")</f>
        <v>0</v>
      </c>
      <c r="AV38" s="23" t="str">
        <f t="shared" ref="AV38" si="172">IF(OR(BC38="PLC",BC38="PSF"),IF(AT38="BOOL",F38,IF(AT38="BYTE",F38&amp;"B",IF(OR(AT38="WORD",AT38="INT"),F38&amp;"W",IF(OR(AT38="DWORD",AT38="DINT",AT38="REAL"),F38&amp;"D","&lt;invalid&gt;")))),"")</f>
        <v>I</v>
      </c>
      <c r="AW38" s="23" t="str">
        <f t="shared" ref="AW38" si="173">IF(OR(BC38="PLC",BC38="PSF"),""&amp;AV38&amp;IF(AT38="BOOL",BY38&amp;"."&amp;BZ38,BY38)&amp; IF(CA38&lt;&gt;"",": &lt;"&amp;CA38&amp;"&gt; - ",": "),"")</f>
        <v xml:space="preserve">I.: </v>
      </c>
      <c r="AX38" s="23" t="str">
        <f t="shared" ref="AX38" si="174">IF(OR(BC38="PLC",BC38="PSF"),IF(AND(BB38="EXIT",BC38="PSF"),CH38&amp;SUBSTITUTE(CJ38,":","_")&amp;CK38,CJ38&amp;CK38),"")</f>
        <v>_VC_Consumer_Saa_Sbb_S.SftyZone[1].MZ.PermSafetiesOK</v>
      </c>
      <c r="AY38" s="36" t="str">
        <f t="shared" ref="AY38" si="175">IF(OR(BC38="PLC",BC38="PSF"),IF(CM38&lt;&gt;"",CM38 &amp; ": &lt;" &amp; CN38&amp;CO38 &amp; "&gt; - ","Controller: &lt;"&amp;CJ38&amp;CK38&amp;"&gt; - "),"")</f>
        <v xml:space="preserve">SafetyProgramZn1: &lt;ConsumerNext.MZ.PermSafetiesOK&gt; - </v>
      </c>
      <c r="BB38" s="42" t="s">
        <v>17</v>
      </c>
      <c r="BC38" t="s">
        <v>22</v>
      </c>
      <c r="BD38" t="str">
        <f t="shared" si="85"/>
        <v>AB_RACKx_SLOTa</v>
      </c>
      <c r="BV38" s="30" t="s">
        <v>323</v>
      </c>
      <c r="BY38" s="42"/>
      <c r="CB38" s="42"/>
      <c r="CE38" s="30"/>
      <c r="CH38" s="42" t="s">
        <v>65</v>
      </c>
      <c r="CI38" t="s">
        <v>94</v>
      </c>
      <c r="CJ38" t="str">
        <f>"Consumer_"&amp;Header_LB_Unique_ID&amp;"_S.SftyZone["&amp;Header_Config02&amp;"].MZ."</f>
        <v>Consumer_Saa_Sbb_S.SftyZone[1].MZ.</v>
      </c>
      <c r="CK38" t="s">
        <v>324</v>
      </c>
      <c r="CM38" t="str">
        <f t="shared" si="87"/>
        <v>SafetyProgramZn1</v>
      </c>
      <c r="CN38" s="30" t="str">
        <f t="shared" si="146"/>
        <v>ConsumerNext.MZ.</v>
      </c>
      <c r="CO38" t="s">
        <v>324</v>
      </c>
      <c r="CP38" t="s">
        <v>12</v>
      </c>
      <c r="CQ38" s="40" t="s">
        <v>284</v>
      </c>
      <c r="CR38" s="30" t="s">
        <v>325</v>
      </c>
    </row>
    <row r="39" spans="2:96" x14ac:dyDescent="0.35">
      <c r="B39" s="4" t="str">
        <f t="shared" ref="B39:B42" si="176">IF(LEN(BT39)=0,Header_LB_Name,"&lt;BLANK&gt;")</f>
        <v>CELL_SAFE_INTERLOCKS_Saa_Sbb</v>
      </c>
      <c r="C39" s="4"/>
      <c r="D39" s="4" t="str">
        <f t="shared" ref="D39:D42" si="177">IF(BC39="CUSTOM",BV39,IF(BB39="ENTRY","From_",IF(BB39="EXIT","To_","&lt;invalid&gt;"))&amp;IF(OR(BC39="RBT",BC39="KEY",BC39="SNS"),IF(BE39="",BC39,BC39&amp;"_"&amp;BE39),IF(BC39="OPR",IF(BE39="",BC39&amp;"_"&amp;BD39,BC39&amp;"_"&amp;BE39),IF(BC39="LBS",IF(BE39="",BD39,BE39),BC39)))&amp;"_"&amp;IF(BC39="OPR",IF(BB39="ENTRY","end",IF(BB39="EXIT","start","&lt;invalid&gt;")),BV39))</f>
        <v>To_PSF_Zone_UpStrmSftyOK</v>
      </c>
      <c r="E39" s="4" t="str">
        <f t="shared" ref="E39:E42" si="178">IF(OR(BC39="PLC",BC39="PSF"),IF(Header_PLC_Type="CLX",AX39,IF(LEFT(Header_PLC_Type,2)="S7",AU39,"&lt;invalid PLC type&gt;")),IF(BB39="ENTRY",IF(BC39="LBS",IF(BD39&lt;&gt;"",IF(BF39="",BC39&amp;"_"&amp;BD39&amp;"_To_"&amp;B39&amp;"_"&amp;BV39,BC39&amp;"_"&amp;BD39&amp;"_To_"&amp;BF39&amp;"_"&amp;BV39),"&lt;missing other LB/group name&gt;"),IF(OR(BC39="SNS",BC39="KEY"),IF(BD39&lt;&gt;"",BC39&amp;"_"&amp;BD39&amp;"_"&amp;BV39,"&lt;missing unique identifier&gt;"),IF(OR(BC39="RBT",BC39="OPR"),IF(BD39&lt;&gt;"",BD39&amp;"_"&amp;IF(BC39="OPR","end",IF(BG39&lt;&gt;"",BG39,BV39)),"&lt;missing unique identifier&gt;"),IF(BC39="CUSTOM",BD39,"&lt;invalid connection&gt;")))),IF(BB39="EXIT",IF(BC39="LBS",IF(BD39&lt;&gt;"",BC39&amp;"_"&amp;B39&amp;"_To_"&amp;BD39&amp;"_"&amp;BV39,"&lt;missing other LB/group name&gt;"),IF(OR(BC39="RBT",BC39="OPR"),IF(BD39&lt;&gt;"",BD39&amp;"_"&amp;IF(BC39="OPR","start",IF(BG39&lt;&gt;"",BG39,BV39)),"&lt;missing unique identifier&gt;"),IF(BC39="CUSTOM",BD39,"&lt;invalid connection (sensor or key signal can't be exit)&gt;"))),"&lt;invalid entry/exit&gt;")))</f>
        <v>_VC_Consumer_Saa_Sbb_S.SftyZone[1].MZ.UpStrmSftyOK</v>
      </c>
      <c r="F39" s="4" t="str">
        <f t="shared" ref="F39:F42" si="179">IF(BC39="CUSTOM",BE39,IF(OR(AND(BB39="ENTRY",OR(BC39="PLC",BC39="PSF")),AND(BB39="EXIT",OR(BC39="RBT",BC39="OPR"))),"Q","I"))</f>
        <v>I</v>
      </c>
      <c r="G39" s="4" t="str">
        <f t="shared" ref="G39:G42" si="180">IF(Header_PLC_Type="S7-ADD",IF(OR(BC39="PSF",BC39="PLC"),IF(BY39&lt;&gt;"",IF(AT39="BOOL",BY39&amp;"."&amp;BZ39,BY39),"&lt;missing&gt;"),""),"")</f>
        <v/>
      </c>
      <c r="H39" s="4" t="str">
        <f t="shared" ref="H39:H42" si="181">IF(OR(BC39="PLC",BC39="PSF"),IF(Header_PLC_Type="CLX",AY39&amp;CR39,IF(LEFT(Header_PLC_Type,2)="S7",AW39&amp;CE39,"&lt;invalid PLC type&gt;")),IF(Header_PLC_Type="CLX",IF(CR39&lt;&gt;"",CR39,""),IF(LEFT(Header_PLC_Type,2)="S7",IF(CE39&lt;&gt;"",CE39,""),"&lt;invalid PLC type&gt;")))</f>
        <v>SafetyProgramZn1: &lt;ConsumerNext.MZ.UpStrmSftyOK&gt; - Up Stream Safeties OK</v>
      </c>
      <c r="I39" s="4" t="str">
        <f t="shared" ref="I39:I42" si="182">IF(OR(BC39="PLC",BC39="PSF"),BD39,IF(AND(BC39="CUSTOM",BF39&lt;&gt;""),BF39,""))</f>
        <v>AB_RACKx_SLOTa</v>
      </c>
      <c r="J39" s="4"/>
      <c r="K39" s="56" t="str">
        <f t="shared" ref="K39:K42" si="183">AT39</f>
        <v>BOOL</v>
      </c>
      <c r="L39" s="56" t="str">
        <f t="shared" ref="L39:L42" si="184">Header_Resource_Compound</f>
        <v>SYSTEM\INTERLOCKS</v>
      </c>
      <c r="M39" s="56" t="str">
        <f t="shared" ref="M39:M42" si="185">Header_Sysroot_Folder</f>
        <v>STELLANTIS\Common\ToolPrototype\Interlocks</v>
      </c>
      <c r="N39" s="56" t="str">
        <f t="shared" ref="N39:N42" si="186">Header_COJT_Full_Name</f>
        <v>STELLANTIS_EIP_CELL_SAFE_INTERLOCKS_Saa_Sbb.v00</v>
      </c>
      <c r="O39" s="56" t="str">
        <f t="shared" ref="O39:O42" si="187">IF(AND(OR(BC39="SNS",BC39="OPR",BC39="RBT"),BF39&lt;&gt;""),BF39,IF(OR(BC39="PSF",BC39="PLC"),IF(BB39="ENTRY",IF(OR(ISLOGICAL(BF39),ISNUMBER(BF39)),LOWER(TEXT(BF39,"General")),IF((ISTEXT(BF39)),"CEE_To_VC_"&amp;BE39&amp;"_"&amp;BF39,"")),IF((ISTEXT(BF39)),"CEE_From_VC_"&amp;BE39&amp;"_"&amp;BF39,"")),IF(BC39="CUSTOM",IF(BH39&lt;&gt;"",BH39,""),"")))</f>
        <v/>
      </c>
      <c r="P39" s="56" t="str">
        <f t="shared" ref="P39:P42" si="188">IF(OR(BC39="SNS",BC39="OPR"),IF(BG39&lt;&gt;"",BG39,""),IF(BC39="RBT",BD39,IF(BC39="CUSTOM",IF(BG39&lt;&gt;"",BG39,""),"")))</f>
        <v/>
      </c>
      <c r="Q39" s="56" t="str">
        <f t="shared" ref="Q39:Q42" si="189">IF(BC39="OPR",IF(BV39&lt;&gt;"",BV39,"NONSIM"),IF(BC39="RBT",IF(BH39&lt;&gt;"",BH39,""),IF(BC39="SNS",IF(BH39&lt;&gt;"",BH39,L39),IF(OR(BC39="PLC",BC39="PSF"),IF(BG39&lt;&gt;"",BG39,""),""))))</f>
        <v/>
      </c>
      <c r="R39" s="56" t="str">
        <f t="shared" ref="R39:R42" si="190">IF(OR(BC39="PLC",BC39="PSF",BC39="OPR"),IF(BH39&lt;&gt;"",BH39,""),IF(BC39="RBT",IF(BI39&lt;&gt;"",BI39,""),IF(BC39="SNS",IF(BI39&lt;&gt;"",BI39,"PHOTOELECTRIC"),"")))</f>
        <v/>
      </c>
      <c r="S39" s="56" t="str">
        <f t="shared" ref="S39:S42" si="191">IF(OR(BC39="PLC",BC39="PSF",BC39="OPR",AND(BC39="CUSTOM",OR(BU39="PLC",BU39="PSF"))),IF(BI39&lt;&gt;"",BI39,""),IF(BC39="SNS",IF(BJ39&lt;&gt;"",BJ39,""),""))</f>
        <v/>
      </c>
      <c r="T39" s="56" t="str">
        <f t="shared" ref="T39:T42" si="192">IF(AND(Header_PLC_Type="CLX",BC39="PSF",BB39="EXIT"),CJ39&amp;CK39,IF(BC39="OPR",IF(BJ39&lt;&gt;"",BJ39,""),""))</f>
        <v>Consumer_Saa_Sbb_S.SftyZone[1].MZ.UpStrmSftyOK</v>
      </c>
      <c r="U39" s="56" t="str">
        <f t="shared" ref="U39:U42" si="193">IF(OR(BC39="SNS",BC39="OPR"),IF(BK39&lt;&gt;"",BK39,""),"")</f>
        <v/>
      </c>
      <c r="V39" s="56" t="str">
        <f t="shared" ref="V39:V42" si="194">IF(OR(BC39="SNS",BC39="OPR"),IF(BL39&lt;&gt;"",BL39,""),"")</f>
        <v/>
      </c>
      <c r="W39" s="56"/>
      <c r="X39" s="56"/>
      <c r="Y39" s="56"/>
      <c r="Z39" s="56" t="str">
        <f t="shared" ref="Z39:Z42" si="195">IF(BP39="","",BP39)</f>
        <v/>
      </c>
      <c r="AA39" s="56" t="str">
        <f t="shared" ref="AA39:AA42" si="196">IF($BQ39="","",$BQ39)</f>
        <v/>
      </c>
      <c r="AB39" s="56" t="str">
        <f t="shared" ref="AB39:AB42" si="197">IF(Header_COJT_Type_Definition="","ToolPrototype",Header_COJT_Type_Definition)</f>
        <v>ToolPrototype</v>
      </c>
      <c r="AC39" s="56" t="str">
        <f t="shared" ref="AC39:AC42" si="198">IF(ISBLANK(BT39),"","Optional")</f>
        <v/>
      </c>
      <c r="AD39" s="56" t="str">
        <f t="shared" ref="AD39:AD42" si="199">IF(Export_VC_Forms="","",Export_VC_Forms)</f>
        <v/>
      </c>
      <c r="AE39" s="56" t="str">
        <f t="shared" ref="AE39:AE42" si="200">IF(Export_Setup_Tracker="","",Export_Setup_Tracker)</f>
        <v/>
      </c>
      <c r="AF39" s="56" t="str">
        <f t="shared" ref="AF39:AF42" si="201">IF(Export_Validation_Tracker="","",Export_Validation_Tracker)</f>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39" s="56" t="str">
        <f t="shared" ref="AG39:AG42" si="202">IF(Export_Spare_04="","",Export_Spare_04)</f>
        <v/>
      </c>
      <c r="AH39" s="56" t="str">
        <f t="shared" ref="AH39:AH42" si="203">IF(Export_Spare_05="","",Export_Spare_05)</f>
        <v/>
      </c>
      <c r="AI39" s="56" t="str">
        <f t="shared" ref="AI39:AI42" si="204">IF(Export_Spare_06="","",Export_Spare_06)</f>
        <v/>
      </c>
      <c r="AJ39" s="56" t="str">
        <f t="shared" ref="AJ39:AJ42" si="205">IF(Export_Spare_07="","",Export_Spare_07)</f>
        <v/>
      </c>
      <c r="AK39" s="56" t="str">
        <f t="shared" ref="AK39:AK42" si="206">IF(Export_Spare_08="","",Export_Spare_08)</f>
        <v/>
      </c>
      <c r="AL39" s="56" t="str">
        <f t="shared" ref="AL39:AL42" si="207">IF(Export_Spare_09="","",Export_Spare_09)</f>
        <v/>
      </c>
      <c r="AM39" s="56" t="str">
        <f t="shared" ref="AM39:AM42" si="208">IF(Export_Spare_10="","",Export_Spare_10)</f>
        <v/>
      </c>
      <c r="AN39" s="56" t="str">
        <f t="shared" ref="AN39:AN42" si="209">IF(BR39&lt;&gt;"",BR39,"")</f>
        <v/>
      </c>
      <c r="AO39" s="56" t="str">
        <f t="shared" ref="AO39:AO42" si="210">IF(BS39&lt;&gt;"",BS39,"")</f>
        <v/>
      </c>
      <c r="AP39" s="56" t="str">
        <f t="shared" ref="AP39:AP42" si="211">IF(BC39&lt;&gt;"CUSTOM",BC39,BU39)</f>
        <v>PSF</v>
      </c>
      <c r="AQ39" s="56" t="str">
        <f t="shared" ref="AQ39:AQ42" si="212">BB39</f>
        <v>EXIT</v>
      </c>
      <c r="AR39" s="39" t="s">
        <v>129</v>
      </c>
      <c r="AT39" s="44" t="str">
        <f t="shared" ref="AT39:AT42" si="213">IF(Header_PLC_Type="CLX",IF(CP39&lt;&gt;"",CP39,"&lt;noType&gt;"),IF(LEFT(Header_PLC_Type,2)="S7",IF(CD39&lt;&gt;"",CD39,"&lt;noType&gt;"),"&lt;noPLC&gt;"))</f>
        <v>BOOL</v>
      </c>
      <c r="AU39" s="23">
        <f t="shared" ref="AU39:AU42" si="214">IF(OR(BC39="PLC",BC39="PSF"),CA39,"")</f>
        <v>0</v>
      </c>
      <c r="AV39" s="23" t="str">
        <f t="shared" ref="AV39:AV42" si="215">IF(OR(BC39="PLC",BC39="PSF"),IF(AT39="BOOL",F39,IF(AT39="BYTE",F39&amp;"B",IF(OR(AT39="WORD",AT39="INT"),F39&amp;"W",IF(OR(AT39="DWORD",AT39="DINT",AT39="REAL"),F39&amp;"D","&lt;invalid&gt;")))),"")</f>
        <v>I</v>
      </c>
      <c r="AW39" s="23" t="str">
        <f t="shared" ref="AW39:AW42" si="216">IF(OR(BC39="PLC",BC39="PSF"),""&amp;AV39&amp;IF(AT39="BOOL",BY39&amp;"."&amp;BZ39,BY39)&amp; IF(CA39&lt;&gt;"",": &lt;"&amp;CA39&amp;"&gt; - ",": "),"")</f>
        <v xml:space="preserve">I.: </v>
      </c>
      <c r="AX39" s="23" t="str">
        <f t="shared" ref="AX39:AX42" si="217">IF(OR(BC39="PLC",BC39="PSF"),IF(AND(BB39="EXIT",BC39="PSF"),CH39&amp;SUBSTITUTE(CJ39,":","_")&amp;CK39,CJ39&amp;CK39),"")</f>
        <v>_VC_Consumer_Saa_Sbb_S.SftyZone[1].MZ.UpStrmSftyOK</v>
      </c>
      <c r="AY39" s="36" t="str">
        <f t="shared" ref="AY39:AY42" si="218">IF(OR(BC39="PLC",BC39="PSF"),IF(CM39&lt;&gt;"",CM39 &amp; ": &lt;" &amp; CN39&amp;CO39 &amp; "&gt; - ","Controller: &lt;"&amp;CJ39&amp;CK39&amp;"&gt; - "),"")</f>
        <v xml:space="preserve">SafetyProgramZn1: &lt;ConsumerNext.MZ.UpStrmSftyOK&gt; - </v>
      </c>
      <c r="BB39" s="42" t="s">
        <v>17</v>
      </c>
      <c r="BC39" t="s">
        <v>22</v>
      </c>
      <c r="BD39" t="str">
        <f t="shared" si="85"/>
        <v>AB_RACKx_SLOTa</v>
      </c>
      <c r="BV39" s="30" t="s">
        <v>326</v>
      </c>
      <c r="BY39" s="42"/>
      <c r="CB39" s="42"/>
      <c r="CE39" s="30"/>
      <c r="CH39" s="42" t="s">
        <v>65</v>
      </c>
      <c r="CI39" t="s">
        <v>94</v>
      </c>
      <c r="CJ39" t="str">
        <f>"Consumer_"&amp;Header_LB_Unique_ID&amp;"_S.SftyZone["&amp;Header_Config02&amp;"].MZ."</f>
        <v>Consumer_Saa_Sbb_S.SftyZone[1].MZ.</v>
      </c>
      <c r="CK39" t="s">
        <v>327</v>
      </c>
      <c r="CM39" t="str">
        <f t="shared" si="87"/>
        <v>SafetyProgramZn1</v>
      </c>
      <c r="CN39" s="30" t="str">
        <f t="shared" si="146"/>
        <v>ConsumerNext.MZ.</v>
      </c>
      <c r="CO39" t="s">
        <v>327</v>
      </c>
      <c r="CP39" t="s">
        <v>12</v>
      </c>
      <c r="CQ39" s="40" t="s">
        <v>284</v>
      </c>
      <c r="CR39" s="30" t="s">
        <v>328</v>
      </c>
    </row>
    <row r="40" spans="2:96" x14ac:dyDescent="0.35">
      <c r="B40" s="4" t="str">
        <f t="shared" si="176"/>
        <v>CELL_SAFE_INTERLOCKS_Saa_Sbb</v>
      </c>
      <c r="C40" s="4"/>
      <c r="D40" s="4" t="str">
        <f t="shared" si="177"/>
        <v>To_PSF_Zone_DwnStrmSftyOK</v>
      </c>
      <c r="E40" s="4" t="str">
        <f t="shared" si="178"/>
        <v>_VC_Consumer_Saa_Sbb_S.SftyZone[1].MZ.DwnStrmSftyOK</v>
      </c>
      <c r="F40" s="4" t="str">
        <f t="shared" si="179"/>
        <v>I</v>
      </c>
      <c r="G40" s="4" t="str">
        <f t="shared" si="180"/>
        <v/>
      </c>
      <c r="H40" s="4" t="str">
        <f t="shared" si="181"/>
        <v>SafetyProgramZn1: &lt;ConsumerNext.MZ.DwnStrmSftyOK&gt; - Down Stream Safeties OK</v>
      </c>
      <c r="I40" s="4" t="str">
        <f t="shared" si="182"/>
        <v>AB_RACKx_SLOTa</v>
      </c>
      <c r="J40" s="4"/>
      <c r="K40" s="56" t="str">
        <f t="shared" si="183"/>
        <v>BOOL</v>
      </c>
      <c r="L40" s="56" t="str">
        <f t="shared" si="184"/>
        <v>SYSTEM\INTERLOCKS</v>
      </c>
      <c r="M40" s="56" t="str">
        <f t="shared" si="185"/>
        <v>STELLANTIS\Common\ToolPrototype\Interlocks</v>
      </c>
      <c r="N40" s="56" t="str">
        <f t="shared" si="186"/>
        <v>STELLANTIS_EIP_CELL_SAFE_INTERLOCKS_Saa_Sbb.v00</v>
      </c>
      <c r="O40" s="56" t="str">
        <f t="shared" si="187"/>
        <v/>
      </c>
      <c r="P40" s="56" t="str">
        <f t="shared" si="188"/>
        <v/>
      </c>
      <c r="Q40" s="56" t="str">
        <f t="shared" si="189"/>
        <v/>
      </c>
      <c r="R40" s="56" t="str">
        <f t="shared" si="190"/>
        <v/>
      </c>
      <c r="S40" s="56" t="str">
        <f t="shared" si="191"/>
        <v/>
      </c>
      <c r="T40" s="56" t="str">
        <f t="shared" si="192"/>
        <v>Consumer_Saa_Sbb_S.SftyZone[1].MZ.DwnStrmSftyOK</v>
      </c>
      <c r="U40" s="56" t="str">
        <f t="shared" si="193"/>
        <v/>
      </c>
      <c r="V40" s="56" t="str">
        <f t="shared" si="194"/>
        <v/>
      </c>
      <c r="W40" s="56"/>
      <c r="X40" s="56"/>
      <c r="Y40" s="56"/>
      <c r="Z40" s="56" t="str">
        <f t="shared" si="195"/>
        <v/>
      </c>
      <c r="AA40" s="56" t="str">
        <f t="shared" si="196"/>
        <v/>
      </c>
      <c r="AB40" s="56" t="str">
        <f t="shared" si="197"/>
        <v>ToolPrototype</v>
      </c>
      <c r="AC40" s="56" t="str">
        <f t="shared" si="198"/>
        <v/>
      </c>
      <c r="AD40" s="56" t="str">
        <f t="shared" si="199"/>
        <v/>
      </c>
      <c r="AE40" s="56" t="str">
        <f t="shared" si="200"/>
        <v/>
      </c>
      <c r="AF40" s="56" t="str">
        <f t="shared" si="201"/>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40" s="56" t="str">
        <f t="shared" si="202"/>
        <v/>
      </c>
      <c r="AH40" s="56" t="str">
        <f t="shared" si="203"/>
        <v/>
      </c>
      <c r="AI40" s="56" t="str">
        <f t="shared" si="204"/>
        <v/>
      </c>
      <c r="AJ40" s="56" t="str">
        <f t="shared" si="205"/>
        <v/>
      </c>
      <c r="AK40" s="56" t="str">
        <f t="shared" si="206"/>
        <v/>
      </c>
      <c r="AL40" s="56" t="str">
        <f t="shared" si="207"/>
        <v/>
      </c>
      <c r="AM40" s="56" t="str">
        <f t="shared" si="208"/>
        <v/>
      </c>
      <c r="AN40" s="56" t="str">
        <f t="shared" si="209"/>
        <v/>
      </c>
      <c r="AO40" s="56" t="str">
        <f t="shared" si="210"/>
        <v/>
      </c>
      <c r="AP40" s="56" t="str">
        <f t="shared" si="211"/>
        <v>PSF</v>
      </c>
      <c r="AQ40" s="56" t="str">
        <f t="shared" si="212"/>
        <v>EXIT</v>
      </c>
      <c r="AR40" s="39" t="s">
        <v>129</v>
      </c>
      <c r="AT40" s="44" t="str">
        <f t="shared" si="213"/>
        <v>BOOL</v>
      </c>
      <c r="AU40" s="23">
        <f t="shared" si="214"/>
        <v>0</v>
      </c>
      <c r="AV40" s="23" t="str">
        <f t="shared" si="215"/>
        <v>I</v>
      </c>
      <c r="AW40" s="23" t="str">
        <f t="shared" si="216"/>
        <v xml:space="preserve">I.: </v>
      </c>
      <c r="AX40" s="23" t="str">
        <f t="shared" si="217"/>
        <v>_VC_Consumer_Saa_Sbb_S.SftyZone[1].MZ.DwnStrmSftyOK</v>
      </c>
      <c r="AY40" s="36" t="str">
        <f t="shared" si="218"/>
        <v xml:space="preserve">SafetyProgramZn1: &lt;ConsumerNext.MZ.DwnStrmSftyOK&gt; - </v>
      </c>
      <c r="BB40" s="42" t="s">
        <v>17</v>
      </c>
      <c r="BC40" t="s">
        <v>22</v>
      </c>
      <c r="BD40" t="str">
        <f t="shared" si="85"/>
        <v>AB_RACKx_SLOTa</v>
      </c>
      <c r="BV40" s="30" t="s">
        <v>329</v>
      </c>
      <c r="BY40" s="42"/>
      <c r="CB40" s="42"/>
      <c r="CE40" s="30"/>
      <c r="CH40" s="42" t="s">
        <v>65</v>
      </c>
      <c r="CI40" t="s">
        <v>94</v>
      </c>
      <c r="CJ40" t="str">
        <f>"Consumer_"&amp;Header_LB_Unique_ID&amp;"_S.SftyZone["&amp;Header_Config02&amp;"].MZ."</f>
        <v>Consumer_Saa_Sbb_S.SftyZone[1].MZ.</v>
      </c>
      <c r="CK40" t="s">
        <v>330</v>
      </c>
      <c r="CM40" t="str">
        <f t="shared" si="87"/>
        <v>SafetyProgramZn1</v>
      </c>
      <c r="CN40" s="30" t="str">
        <f t="shared" si="146"/>
        <v>ConsumerNext.MZ.</v>
      </c>
      <c r="CO40" t="s">
        <v>330</v>
      </c>
      <c r="CP40" t="s">
        <v>12</v>
      </c>
      <c r="CQ40" s="40" t="s">
        <v>284</v>
      </c>
      <c r="CR40" s="30" t="s">
        <v>331</v>
      </c>
    </row>
    <row r="41" spans="2:96" x14ac:dyDescent="0.35">
      <c r="B41" s="4" t="str">
        <f t="shared" si="176"/>
        <v>CELL_SAFE_INTERLOCKS_Saa_Sbb</v>
      </c>
      <c r="C41" s="4"/>
      <c r="D41" s="4" t="str">
        <f t="shared" si="177"/>
        <v>To_PSF_Zone_PerimeterOK_0</v>
      </c>
      <c r="E41" s="4" t="str">
        <f t="shared" si="178"/>
        <v>_VC_Consumer_Saa_Sbb_S.SftyZone[1].PZ.0</v>
      </c>
      <c r="F41" s="4" t="str">
        <f t="shared" si="179"/>
        <v>I</v>
      </c>
      <c r="G41" s="4" t="str">
        <f t="shared" si="180"/>
        <v/>
      </c>
      <c r="H41" s="4" t="str">
        <f t="shared" si="181"/>
        <v xml:space="preserve">SafetyProgramZn1: &lt;ConsumerNext.PZ.0&gt; - </v>
      </c>
      <c r="I41" s="4" t="str">
        <f t="shared" si="182"/>
        <v>AB_RACKx_SLOTa</v>
      </c>
      <c r="J41" s="4"/>
      <c r="K41" s="56" t="str">
        <f t="shared" si="183"/>
        <v>BOOL</v>
      </c>
      <c r="L41" s="56" t="str">
        <f t="shared" si="184"/>
        <v>SYSTEM\INTERLOCKS</v>
      </c>
      <c r="M41" s="56" t="str">
        <f t="shared" si="185"/>
        <v>STELLANTIS\Common\ToolPrototype\Interlocks</v>
      </c>
      <c r="N41" s="56" t="str">
        <f t="shared" si="186"/>
        <v>STELLANTIS_EIP_CELL_SAFE_INTERLOCKS_Saa_Sbb.v00</v>
      </c>
      <c r="O41" s="56" t="str">
        <f t="shared" si="187"/>
        <v/>
      </c>
      <c r="P41" s="56" t="str">
        <f t="shared" si="188"/>
        <v/>
      </c>
      <c r="Q41" s="56" t="str">
        <f t="shared" si="189"/>
        <v/>
      </c>
      <c r="R41" s="56" t="str">
        <f t="shared" si="190"/>
        <v/>
      </c>
      <c r="S41" s="56" t="str">
        <f t="shared" si="191"/>
        <v/>
      </c>
      <c r="T41" s="56" t="str">
        <f t="shared" si="192"/>
        <v>Consumer_Saa_Sbb_S.SftyZone[1].PZ.0</v>
      </c>
      <c r="U41" s="56" t="str">
        <f t="shared" si="193"/>
        <v/>
      </c>
      <c r="V41" s="56" t="str">
        <f t="shared" si="194"/>
        <v/>
      </c>
      <c r="W41" s="56"/>
      <c r="X41" s="56"/>
      <c r="Y41" s="56"/>
      <c r="Z41" s="56" t="str">
        <f t="shared" si="195"/>
        <v/>
      </c>
      <c r="AA41" s="56" t="str">
        <f t="shared" si="196"/>
        <v/>
      </c>
      <c r="AB41" s="56" t="str">
        <f t="shared" si="197"/>
        <v>ToolPrototype</v>
      </c>
      <c r="AC41" s="56" t="str">
        <f t="shared" si="198"/>
        <v/>
      </c>
      <c r="AD41" s="56" t="str">
        <f t="shared" si="199"/>
        <v/>
      </c>
      <c r="AE41" s="56" t="str">
        <f t="shared" si="200"/>
        <v/>
      </c>
      <c r="AF41" s="56" t="str">
        <f t="shared" si="201"/>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41" s="56" t="str">
        <f t="shared" si="202"/>
        <v/>
      </c>
      <c r="AH41" s="56" t="str">
        <f t="shared" si="203"/>
        <v/>
      </c>
      <c r="AI41" s="56" t="str">
        <f t="shared" si="204"/>
        <v/>
      </c>
      <c r="AJ41" s="56" t="str">
        <f t="shared" si="205"/>
        <v/>
      </c>
      <c r="AK41" s="56" t="str">
        <f t="shared" si="206"/>
        <v/>
      </c>
      <c r="AL41" s="56" t="str">
        <f t="shared" si="207"/>
        <v/>
      </c>
      <c r="AM41" s="56" t="str">
        <f t="shared" si="208"/>
        <v/>
      </c>
      <c r="AN41" s="56" t="str">
        <f t="shared" si="209"/>
        <v/>
      </c>
      <c r="AO41" s="56" t="str">
        <f t="shared" si="210"/>
        <v/>
      </c>
      <c r="AP41" s="56" t="str">
        <f t="shared" si="211"/>
        <v>PSF</v>
      </c>
      <c r="AQ41" s="56" t="str">
        <f t="shared" si="212"/>
        <v>EXIT</v>
      </c>
      <c r="AR41" s="39" t="s">
        <v>129</v>
      </c>
      <c r="AT41" s="44" t="str">
        <f t="shared" si="213"/>
        <v>BOOL</v>
      </c>
      <c r="AU41" s="23">
        <f t="shared" si="214"/>
        <v>0</v>
      </c>
      <c r="AV41" s="23" t="str">
        <f t="shared" si="215"/>
        <v>I</v>
      </c>
      <c r="AW41" s="23" t="str">
        <f t="shared" si="216"/>
        <v xml:space="preserve">I.: </v>
      </c>
      <c r="AX41" s="23" t="str">
        <f t="shared" si="217"/>
        <v>_VC_Consumer_Saa_Sbb_S.SftyZone[1].PZ.0</v>
      </c>
      <c r="AY41" s="36" t="str">
        <f t="shared" si="218"/>
        <v xml:space="preserve">SafetyProgramZn1: &lt;ConsumerNext.PZ.0&gt; - </v>
      </c>
      <c r="BB41" s="42" t="s">
        <v>17</v>
      </c>
      <c r="BC41" t="s">
        <v>22</v>
      </c>
      <c r="BD41" t="str">
        <f t="shared" si="85"/>
        <v>AB_RACKx_SLOTa</v>
      </c>
      <c r="BV41" s="30" t="s">
        <v>332</v>
      </c>
      <c r="BY41" s="42"/>
      <c r="CB41" s="42"/>
      <c r="CE41" s="30"/>
      <c r="CH41" s="42" t="s">
        <v>65</v>
      </c>
      <c r="CI41" t="s">
        <v>94</v>
      </c>
      <c r="CJ41" t="str">
        <f>"Consumer_"&amp;Header_LB_Unique_ID&amp;"_S.SftyZone["&amp;Header_Config02&amp;"].PZ."</f>
        <v>Consumer_Saa_Sbb_S.SftyZone[1].PZ.</v>
      </c>
      <c r="CK41">
        <v>0</v>
      </c>
      <c r="CM41" t="str">
        <f t="shared" si="87"/>
        <v>SafetyProgramZn1</v>
      </c>
      <c r="CN41" s="30" t="s">
        <v>333</v>
      </c>
      <c r="CO41">
        <v>0</v>
      </c>
      <c r="CP41" t="s">
        <v>12</v>
      </c>
      <c r="CQ41" s="40" t="s">
        <v>284</v>
      </c>
      <c r="CR41" s="30"/>
    </row>
    <row r="42" spans="2:96" x14ac:dyDescent="0.35">
      <c r="B42" s="4" t="str">
        <f t="shared" si="176"/>
        <v>CELL_SAFE_INTERLOCKS_Saa_Sbb</v>
      </c>
      <c r="C42" s="4"/>
      <c r="D42" s="4" t="str">
        <f t="shared" si="177"/>
        <v>To_PSF_Zone_PerimeterOK_1</v>
      </c>
      <c r="E42" s="4" t="str">
        <f t="shared" si="178"/>
        <v>_VC_Consumer_Saa_Sbb_S.SftyZone[1].PZ.1</v>
      </c>
      <c r="F42" s="4" t="str">
        <f t="shared" si="179"/>
        <v>I</v>
      </c>
      <c r="G42" s="4" t="str">
        <f t="shared" si="180"/>
        <v/>
      </c>
      <c r="H42" s="4" t="str">
        <f t="shared" si="181"/>
        <v xml:space="preserve">SafetyProgramZn1: &lt;ConsumerNext.PZ.1&gt; - </v>
      </c>
      <c r="I42" s="4" t="str">
        <f t="shared" si="182"/>
        <v>AB_RACKx_SLOTa</v>
      </c>
      <c r="J42" s="4"/>
      <c r="K42" s="56" t="str">
        <f t="shared" si="183"/>
        <v>BOOL</v>
      </c>
      <c r="L42" s="56" t="str">
        <f t="shared" si="184"/>
        <v>SYSTEM\INTERLOCKS</v>
      </c>
      <c r="M42" s="56" t="str">
        <f t="shared" si="185"/>
        <v>STELLANTIS\Common\ToolPrototype\Interlocks</v>
      </c>
      <c r="N42" s="56" t="str">
        <f t="shared" si="186"/>
        <v>STELLANTIS_EIP_CELL_SAFE_INTERLOCKS_Saa_Sbb.v00</v>
      </c>
      <c r="O42" s="56" t="str">
        <f t="shared" si="187"/>
        <v/>
      </c>
      <c r="P42" s="56" t="str">
        <f t="shared" si="188"/>
        <v/>
      </c>
      <c r="Q42" s="56" t="str">
        <f t="shared" si="189"/>
        <v/>
      </c>
      <c r="R42" s="56" t="str">
        <f t="shared" si="190"/>
        <v/>
      </c>
      <c r="S42" s="56" t="str">
        <f t="shared" si="191"/>
        <v/>
      </c>
      <c r="T42" s="56" t="str">
        <f t="shared" si="192"/>
        <v>Consumer_Saa_Sbb_S.SftyZone[1].PZ.1</v>
      </c>
      <c r="U42" s="56" t="str">
        <f t="shared" si="193"/>
        <v/>
      </c>
      <c r="V42" s="56" t="str">
        <f t="shared" si="194"/>
        <v/>
      </c>
      <c r="W42" s="56"/>
      <c r="X42" s="56"/>
      <c r="Y42" s="56"/>
      <c r="Z42" s="56" t="str">
        <f t="shared" si="195"/>
        <v/>
      </c>
      <c r="AA42" s="56" t="str">
        <f t="shared" si="196"/>
        <v/>
      </c>
      <c r="AB42" s="56" t="str">
        <f t="shared" si="197"/>
        <v>ToolPrototype</v>
      </c>
      <c r="AC42" s="56" t="str">
        <f t="shared" si="198"/>
        <v/>
      </c>
      <c r="AD42" s="56" t="str">
        <f t="shared" si="199"/>
        <v/>
      </c>
      <c r="AE42" s="56" t="str">
        <f t="shared" si="200"/>
        <v/>
      </c>
      <c r="AF42" s="56" t="str">
        <f t="shared" si="201"/>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c r="AG42" s="56" t="str">
        <f t="shared" si="202"/>
        <v/>
      </c>
      <c r="AH42" s="56" t="str">
        <f t="shared" si="203"/>
        <v/>
      </c>
      <c r="AI42" s="56" t="str">
        <f t="shared" si="204"/>
        <v/>
      </c>
      <c r="AJ42" s="56" t="str">
        <f t="shared" si="205"/>
        <v/>
      </c>
      <c r="AK42" s="56" t="str">
        <f t="shared" si="206"/>
        <v/>
      </c>
      <c r="AL42" s="56" t="str">
        <f t="shared" si="207"/>
        <v/>
      </c>
      <c r="AM42" s="56" t="str">
        <f t="shared" si="208"/>
        <v/>
      </c>
      <c r="AN42" s="56" t="str">
        <f t="shared" si="209"/>
        <v/>
      </c>
      <c r="AO42" s="56" t="str">
        <f t="shared" si="210"/>
        <v/>
      </c>
      <c r="AP42" s="56" t="str">
        <f t="shared" si="211"/>
        <v>PSF</v>
      </c>
      <c r="AQ42" s="56" t="str">
        <f t="shared" si="212"/>
        <v>EXIT</v>
      </c>
      <c r="AR42" s="39" t="s">
        <v>129</v>
      </c>
      <c r="AT42" s="44" t="str">
        <f t="shared" si="213"/>
        <v>BOOL</v>
      </c>
      <c r="AU42" s="23">
        <f t="shared" si="214"/>
        <v>0</v>
      </c>
      <c r="AV42" s="23" t="str">
        <f t="shared" si="215"/>
        <v>I</v>
      </c>
      <c r="AW42" s="23" t="str">
        <f t="shared" si="216"/>
        <v xml:space="preserve">I.: </v>
      </c>
      <c r="AX42" s="23" t="str">
        <f t="shared" si="217"/>
        <v>_VC_Consumer_Saa_Sbb_S.SftyZone[1].PZ.1</v>
      </c>
      <c r="AY42" s="36" t="str">
        <f t="shared" si="218"/>
        <v xml:space="preserve">SafetyProgramZn1: &lt;ConsumerNext.PZ.1&gt; - </v>
      </c>
      <c r="BB42" s="42" t="s">
        <v>17</v>
      </c>
      <c r="BC42" t="s">
        <v>22</v>
      </c>
      <c r="BD42" t="str">
        <f t="shared" si="85"/>
        <v>AB_RACKx_SLOTa</v>
      </c>
      <c r="BV42" s="30" t="s">
        <v>334</v>
      </c>
      <c r="BY42" s="42"/>
      <c r="CB42" s="42"/>
      <c r="CE42" s="30"/>
      <c r="CH42" s="42" t="s">
        <v>65</v>
      </c>
      <c r="CI42" t="s">
        <v>94</v>
      </c>
      <c r="CJ42" t="str">
        <f>"Consumer_"&amp;Header_LB_Unique_ID&amp;"_S.SftyZone["&amp;Header_Config02&amp;"].PZ."</f>
        <v>Consumer_Saa_Sbb_S.SftyZone[1].PZ.</v>
      </c>
      <c r="CK42">
        <v>1</v>
      </c>
      <c r="CM42" t="str">
        <f t="shared" si="87"/>
        <v>SafetyProgramZn1</v>
      </c>
      <c r="CN42" s="30" t="s">
        <v>333</v>
      </c>
      <c r="CO42">
        <v>1</v>
      </c>
      <c r="CP42" t="s">
        <v>12</v>
      </c>
      <c r="CQ42" s="40" t="s">
        <v>284</v>
      </c>
      <c r="CR42" s="30"/>
    </row>
    <row r="43" spans="2:96" x14ac:dyDescent="0.35">
      <c r="B43" s="4"/>
      <c r="C43" s="4"/>
      <c r="D43" s="4"/>
      <c r="E43" s="4"/>
      <c r="F43" s="4"/>
      <c r="G43" s="4"/>
      <c r="H43" s="4"/>
      <c r="I43" s="4"/>
      <c r="J43" s="4"/>
      <c r="K43" s="56"/>
      <c r="L43" s="56"/>
      <c r="M43" s="56"/>
      <c r="N43" s="56"/>
      <c r="O43" s="56"/>
      <c r="P43" s="56"/>
      <c r="Q43" s="56"/>
      <c r="R43" s="56"/>
      <c r="S43" s="56"/>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c r="AR43" s="39"/>
      <c r="AT43" s="44"/>
      <c r="AU43" s="23"/>
      <c r="AV43" s="23"/>
      <c r="AW43" s="23"/>
      <c r="AX43" s="23"/>
      <c r="AY43" s="36"/>
      <c r="BB43" s="42"/>
      <c r="BV43" s="30"/>
      <c r="BY43" s="42"/>
      <c r="CB43" s="42"/>
      <c r="CE43" s="30"/>
      <c r="CH43" s="42"/>
      <c r="CN43" s="30"/>
      <c r="CQ43" s="40"/>
      <c r="CR43" s="30"/>
    </row>
  </sheetData>
  <conditionalFormatting sqref="BF14:BF43">
    <cfRule type="expression" dxfId="24" priority="294">
      <formula>AND(OR(AND($BC14="LBS",$BB14="EXIT"),AND($BC14="CUSTOM",$BU14&lt;&gt;"PLC",$BU14&lt;&gt;"PSF")),$B14&lt;&gt;"")</formula>
    </cfRule>
  </conditionalFormatting>
  <conditionalFormatting sqref="CL14:CL43 CH14:CI43">
    <cfRule type="expression" dxfId="23" priority="316">
      <formula>AND(OR($BB14="ENTRY",$BC14&lt;&gt;"PSF"),$B14&lt;&gt;"")</formula>
    </cfRule>
  </conditionalFormatting>
  <conditionalFormatting sqref="CM14:CO43 BY14:BZ43 CJ14:CK43">
    <cfRule type="expression" dxfId="22" priority="319">
      <formula>AND($BC14&lt;&gt;"PLC",$BC14&lt;&gt;"PSF",$B14&lt;&gt;"")</formula>
    </cfRule>
  </conditionalFormatting>
  <conditionalFormatting sqref="BH14:BI43">
    <cfRule type="expression" dxfId="21" priority="296">
      <formula>AND($BC14&lt;&gt;"PLC",$BC14&lt;&gt;"PSF",$BC14&lt;&gt;"SNS",$BC14&lt;&gt;"OPR",$BC14&lt;&gt;"RBT",$BC14&lt;&gt;"CUSTOM",$B14&lt;&gt;"")</formula>
    </cfRule>
  </conditionalFormatting>
  <conditionalFormatting sqref="BU14:BU43">
    <cfRule type="expression" dxfId="20" priority="302">
      <formula>AND($BC14&lt;&gt;"CUSTOM",$B14&lt;&gt;"")</formula>
    </cfRule>
  </conditionalFormatting>
  <conditionalFormatting sqref="BG14:BG43">
    <cfRule type="expression" dxfId="19" priority="295">
      <formula>AND($BC14&lt;&gt;"PLC",$BC14&lt;&gt;"PSF",$BC14&lt;&gt;"RBT",$BC14&lt;&gt;"OPR",$BC14&lt;&gt;"SNS",$BC14&lt;&gt;"CUSTOM",$B14&lt;&gt;"")</formula>
    </cfRule>
  </conditionalFormatting>
  <conditionalFormatting sqref="BT14:BT43">
    <cfRule type="expression" dxfId="18" priority="6">
      <formula>NOT(ISBLANK($BT14))</formula>
    </cfRule>
  </conditionalFormatting>
  <conditionalFormatting sqref="BJ14:BL43">
    <cfRule type="expression" dxfId="17" priority="298">
      <formula>AND($BC14&lt;&gt;"SNS",$BC14&lt;&gt;"OPR",$B14&lt;&gt;"")</formula>
    </cfRule>
  </conditionalFormatting>
  <conditionalFormatting sqref="B14:J43">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43">
    <cfRule type="expression" dxfId="2" priority="2">
      <formula>$B14=""</formula>
    </cfRule>
  </conditionalFormatting>
  <conditionalFormatting sqref="AT14:CR43">
    <cfRule type="expression" dxfId="1" priority="1">
      <formula>AND(OR($BB14&lt;&gt;$BB13,$BC14&lt;&gt;$BC13),AT$13&lt;&gt;"x")</formula>
    </cfRule>
  </conditionalFormatting>
  <conditionalFormatting sqref="BM14:BO43">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BB14:BB42</xm:sqref>
        </x14:dataValidation>
        <x14:dataValidation type="list" allowBlank="1" showInputMessage="1" showErrorMessage="1" xr:uid="{00000000-0002-0000-0200-000001000000}">
          <x14:formula1>
            <xm:f>Lists!$C$3:$C$10</xm:f>
          </x14:formula1>
          <xm:sqref>BC14:BC42</xm:sqref>
        </x14:dataValidation>
        <x14:dataValidation type="list" allowBlank="1" showInputMessage="1" xr:uid="{00000000-0002-0000-0200-000002000000}">
          <x14:formula1>
            <xm:f>Lists!$E$3:$E$10</xm:f>
          </x14:formula1>
          <xm:sqref>BU14:BU42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7" sqref="C7"/>
    </sheetView>
  </sheetViews>
  <sheetFormatPr defaultRowHeight="14.5" x14ac:dyDescent="0.35"/>
  <cols>
    <col min="1" max="1" width="2.81640625" customWidth="1"/>
    <col min="2" max="2" width="27" bestFit="1" customWidth="1"/>
    <col min="3" max="3" width="146.7265625" customWidth="1"/>
  </cols>
  <sheetData>
    <row r="2" spans="2:3" x14ac:dyDescent="0.35">
      <c r="C2" s="68" t="s">
        <v>210</v>
      </c>
    </row>
    <row r="4" spans="2:3" x14ac:dyDescent="0.35">
      <c r="B4" s="66" t="s">
        <v>188</v>
      </c>
      <c r="C4" s="65"/>
    </row>
    <row r="5" spans="2:3" x14ac:dyDescent="0.35">
      <c r="B5" s="66" t="s">
        <v>198</v>
      </c>
      <c r="C5" s="65"/>
    </row>
    <row r="6" spans="2:3" ht="130.5" x14ac:dyDescent="0.35">
      <c r="B6" s="66" t="s">
        <v>189</v>
      </c>
      <c r="C6" s="65" t="str">
        <f>"
&lt;trackeritem&gt;
"&amp;Prep!$D$11&amp;"
"&amp;Prep!$D$12&amp;"
"&amp;Prep!$D$13&amp;"
"&amp;Prep!$D$14&amp;"
"&amp;Prep!$D$15&amp;"
"&amp;Prep!$D$16&amp;"
&lt;/trackeritem&gt;"</f>
        <v xml:space="preserve">
&lt;trackeritem&gt;
&lt;component&gt;STELLANTIS_EIP_CELL_SAFE_INTERLOCKS_Saa_Sbb&lt;/component&gt;
&lt;type&gt;Interlocks&lt;/type&gt;
&lt;name&gt;Saa_Sbb&lt;/name&gt;
&lt;remote_cell&gt;Saa_Sbb&lt;/remote_cell&gt;
&lt;consumed_tag_base&gt;Consumer_Saa_Sbb_S&lt;/consumed_tag_base&gt;
&lt;safety_zone&gt;1&lt;/safety_zone&gt;
&lt;/trackeritem&gt;</v>
      </c>
    </row>
    <row r="7" spans="2:3" x14ac:dyDescent="0.35">
      <c r="B7" s="66" t="s">
        <v>191</v>
      </c>
      <c r="C7" s="65"/>
    </row>
    <row r="8" spans="2:3" x14ac:dyDescent="0.35">
      <c r="B8" s="66" t="s">
        <v>192</v>
      </c>
      <c r="C8" s="65"/>
    </row>
    <row r="9" spans="2:3" x14ac:dyDescent="0.35">
      <c r="B9" s="66" t="s">
        <v>193</v>
      </c>
      <c r="C9" s="65"/>
    </row>
    <row r="10" spans="2:3" x14ac:dyDescent="0.35">
      <c r="B10" s="66" t="s">
        <v>194</v>
      </c>
      <c r="C10" s="65"/>
    </row>
    <row r="11" spans="2:3" x14ac:dyDescent="0.35">
      <c r="B11" s="66" t="s">
        <v>195</v>
      </c>
      <c r="C11" s="65"/>
    </row>
    <row r="12" spans="2:3" x14ac:dyDescent="0.35">
      <c r="B12" s="66" t="s">
        <v>196</v>
      </c>
      <c r="C12" s="65"/>
    </row>
    <row r="13" spans="2:3" x14ac:dyDescent="0.35">
      <c r="B13" s="66" t="s">
        <v>197</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28"/>
  <sheetViews>
    <sheetView zoomScale="85" zoomScaleNormal="85" workbookViewId="0">
      <pane xSplit="2" topLeftCell="C1" activePane="topRight" state="frozenSplit"/>
      <selection activeCell="A34" sqref="A34"/>
      <selection pane="topRight"/>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4" t="s">
        <v>264</v>
      </c>
      <c r="B2" s="17" t="s">
        <v>12</v>
      </c>
      <c r="C2" s="84" t="s">
        <v>129</v>
      </c>
      <c r="D2" s="16"/>
      <c r="E2" s="16"/>
      <c r="F2" s="16"/>
      <c r="G2" s="16"/>
      <c r="H2" s="16"/>
      <c r="I2" s="11"/>
      <c r="J2" s="11"/>
      <c r="K2" s="11"/>
      <c r="L2" s="11"/>
    </row>
    <row r="3" spans="1:12" s="15" customFormat="1" x14ac:dyDescent="0.35">
      <c r="A3" s="84" t="s">
        <v>266</v>
      </c>
      <c r="B3" s="17" t="s">
        <v>12</v>
      </c>
      <c r="C3" s="84" t="s">
        <v>129</v>
      </c>
      <c r="D3" s="16"/>
      <c r="E3" s="16"/>
      <c r="F3" s="16"/>
      <c r="G3" s="16"/>
      <c r="H3" s="16"/>
      <c r="I3" s="11"/>
      <c r="J3" s="11"/>
      <c r="K3" s="11"/>
      <c r="L3" s="11"/>
    </row>
    <row r="4" spans="1:12" s="15" customFormat="1" x14ac:dyDescent="0.35">
      <c r="A4" s="84" t="s">
        <v>335</v>
      </c>
      <c r="B4" s="17" t="s">
        <v>12</v>
      </c>
      <c r="C4" s="84" t="s">
        <v>129</v>
      </c>
      <c r="D4" s="16"/>
      <c r="E4" s="16"/>
      <c r="F4" s="16"/>
      <c r="G4" s="16"/>
      <c r="H4" s="16"/>
      <c r="I4" s="11"/>
      <c r="J4" s="11"/>
      <c r="K4" s="11"/>
      <c r="L4" s="11"/>
    </row>
    <row r="5" spans="1:12" s="15" customFormat="1" x14ac:dyDescent="0.35">
      <c r="A5" s="88" t="s">
        <v>258</v>
      </c>
      <c r="B5" s="17" t="s">
        <v>12</v>
      </c>
      <c r="C5" s="84" t="s">
        <v>129</v>
      </c>
      <c r="D5" s="16"/>
      <c r="E5" s="16"/>
      <c r="F5" s="16"/>
      <c r="G5" s="16"/>
      <c r="H5" s="16"/>
      <c r="I5" s="11"/>
      <c r="J5" s="11"/>
      <c r="K5" s="11"/>
      <c r="L5" s="11"/>
    </row>
    <row r="6" spans="1:12" s="15" customFormat="1" x14ac:dyDescent="0.35">
      <c r="A6" s="84" t="s">
        <v>336</v>
      </c>
      <c r="B6" s="17" t="s">
        <v>12</v>
      </c>
      <c r="C6" s="84" t="s">
        <v>129</v>
      </c>
      <c r="D6" s="16"/>
      <c r="E6" s="16"/>
      <c r="F6" s="16"/>
      <c r="G6" s="16"/>
      <c r="H6" s="16"/>
      <c r="I6" s="11"/>
      <c r="J6" s="11"/>
      <c r="K6" s="11"/>
      <c r="L6" s="11"/>
    </row>
    <row r="7" spans="1:12" s="15" customFormat="1" x14ac:dyDescent="0.35">
      <c r="A7" s="84" t="s">
        <v>337</v>
      </c>
      <c r="B7" s="17" t="s">
        <v>12</v>
      </c>
      <c r="C7" s="84" t="s">
        <v>129</v>
      </c>
      <c r="D7" s="16"/>
      <c r="E7" s="16"/>
      <c r="F7" s="16"/>
      <c r="G7" s="16"/>
      <c r="H7" s="16"/>
      <c r="I7" s="11"/>
      <c r="J7" s="11"/>
      <c r="K7" s="11"/>
      <c r="L7" s="11"/>
    </row>
    <row r="8" spans="1:12" s="15" customFormat="1" x14ac:dyDescent="0.35">
      <c r="A8" s="84" t="s">
        <v>338</v>
      </c>
      <c r="B8" s="17" t="s">
        <v>12</v>
      </c>
      <c r="C8" s="84" t="s">
        <v>129</v>
      </c>
      <c r="D8" s="16"/>
      <c r="E8" s="16"/>
      <c r="F8" s="16"/>
      <c r="G8" s="16"/>
      <c r="H8" s="16"/>
      <c r="I8" s="11"/>
      <c r="J8" s="11"/>
      <c r="K8" s="11"/>
      <c r="L8" s="11"/>
    </row>
    <row r="9" spans="1:12" s="15" customFormat="1" x14ac:dyDescent="0.35">
      <c r="A9" s="84" t="s">
        <v>339</v>
      </c>
      <c r="B9" s="17" t="s">
        <v>12</v>
      </c>
      <c r="C9" s="84" t="s">
        <v>129</v>
      </c>
      <c r="D9" s="16"/>
      <c r="E9" s="16"/>
      <c r="F9" s="16"/>
      <c r="G9" s="16"/>
      <c r="H9" s="16"/>
      <c r="I9" s="11"/>
      <c r="J9" s="11"/>
      <c r="K9" s="11"/>
      <c r="L9" s="11"/>
    </row>
    <row r="10" spans="1:12" s="15" customFormat="1" x14ac:dyDescent="0.35">
      <c r="A10" s="84" t="s">
        <v>340</v>
      </c>
      <c r="B10" s="17" t="s">
        <v>12</v>
      </c>
      <c r="C10" s="84" t="s">
        <v>129</v>
      </c>
      <c r="D10" s="16"/>
      <c r="E10" s="16"/>
      <c r="F10" s="16"/>
      <c r="G10" s="16"/>
      <c r="H10" s="16"/>
      <c r="I10" s="11"/>
      <c r="J10" s="11"/>
      <c r="K10" s="11"/>
      <c r="L10" s="11"/>
    </row>
    <row r="11" spans="1:12" s="15" customFormat="1" x14ac:dyDescent="0.35">
      <c r="A11" s="84" t="s">
        <v>341</v>
      </c>
      <c r="B11" s="17" t="s">
        <v>12</v>
      </c>
      <c r="C11" s="84" t="s">
        <v>129</v>
      </c>
      <c r="D11" s="16"/>
      <c r="E11" s="16"/>
      <c r="F11" s="16"/>
      <c r="G11" s="16"/>
      <c r="H11" s="16"/>
      <c r="I11" s="11"/>
      <c r="J11" s="11"/>
      <c r="K11" s="11"/>
      <c r="L11" s="11"/>
    </row>
    <row r="12" spans="1:12" s="15" customFormat="1" x14ac:dyDescent="0.35">
      <c r="A12" s="84"/>
      <c r="B12" s="17"/>
      <c r="C12" s="84"/>
      <c r="D12" s="16"/>
      <c r="E12" s="16"/>
      <c r="F12" s="16"/>
      <c r="G12" s="16"/>
      <c r="H12" s="16"/>
      <c r="I12" s="11"/>
      <c r="J12" s="11"/>
      <c r="K12" s="11"/>
      <c r="L12" s="11"/>
    </row>
    <row r="13" spans="1:12" s="15" customFormat="1" x14ac:dyDescent="0.35">
      <c r="A13" s="84"/>
      <c r="B13" s="17"/>
      <c r="C13" s="84"/>
      <c r="D13" s="16"/>
      <c r="E13" s="16"/>
      <c r="F13" s="16"/>
      <c r="G13" s="16"/>
      <c r="H13" s="16"/>
      <c r="I13" s="11"/>
      <c r="J13" s="11"/>
      <c r="K13" s="11"/>
      <c r="L13" s="11"/>
    </row>
    <row r="14" spans="1:12" s="15" customFormat="1" x14ac:dyDescent="0.35">
      <c r="A14" s="84"/>
      <c r="B14" s="17"/>
      <c r="C14" s="84"/>
      <c r="D14" s="16"/>
      <c r="E14" s="16"/>
      <c r="F14" s="16"/>
      <c r="G14" s="16"/>
      <c r="H14" s="16"/>
      <c r="I14" s="11"/>
      <c r="J14" s="11"/>
      <c r="K14" s="11"/>
      <c r="L14" s="11"/>
    </row>
    <row r="15" spans="1:12" s="15" customFormat="1" x14ac:dyDescent="0.35">
      <c r="A15" s="84"/>
      <c r="B15" s="17"/>
      <c r="C15" s="84"/>
      <c r="D15" s="16"/>
      <c r="E15" s="16"/>
      <c r="F15" s="16"/>
      <c r="G15" s="16"/>
      <c r="H15" s="16"/>
      <c r="I15" s="11"/>
      <c r="J15" s="11"/>
      <c r="K15" s="11"/>
      <c r="L15" s="11"/>
    </row>
    <row r="16" spans="1:12" s="15" customFormat="1" x14ac:dyDescent="0.35">
      <c r="A16" s="84"/>
      <c r="B16" s="17"/>
      <c r="C16" s="84"/>
      <c r="D16" s="16"/>
      <c r="E16" s="16"/>
      <c r="F16" s="16"/>
      <c r="G16" s="16"/>
      <c r="H16" s="16"/>
      <c r="I16" s="11"/>
      <c r="J16" s="11"/>
      <c r="K16" s="11"/>
      <c r="L16" s="11"/>
    </row>
    <row r="17" spans="1:12" x14ac:dyDescent="0.35">
      <c r="A17" s="14" t="s">
        <v>58</v>
      </c>
      <c r="B17" s="14" t="s">
        <v>33</v>
      </c>
      <c r="C17" s="14" t="s">
        <v>11</v>
      </c>
      <c r="D17" s="14" t="s">
        <v>31</v>
      </c>
      <c r="E17" s="14" t="s">
        <v>157</v>
      </c>
      <c r="F17" s="14"/>
      <c r="G17" s="14"/>
      <c r="H17" s="14"/>
      <c r="I17" s="14"/>
      <c r="J17" s="14"/>
      <c r="K17" s="14"/>
      <c r="L17" s="14"/>
    </row>
    <row r="18" spans="1:12" s="15" customFormat="1" x14ac:dyDescent="0.35">
      <c r="A18" s="84" t="s">
        <v>259</v>
      </c>
      <c r="B18" s="17" t="s">
        <v>12</v>
      </c>
      <c r="C18" s="84" t="s">
        <v>129</v>
      </c>
      <c r="D18" s="85" t="s">
        <v>256</v>
      </c>
      <c r="E18" s="84"/>
      <c r="F18" s="16"/>
      <c r="G18" s="16"/>
      <c r="H18" s="16"/>
      <c r="I18" s="16"/>
      <c r="J18" s="20"/>
      <c r="K18" s="16"/>
      <c r="L18" s="16"/>
    </row>
    <row r="19" spans="1:12" s="15" customFormat="1" x14ac:dyDescent="0.35">
      <c r="A19" s="84" t="s">
        <v>260</v>
      </c>
      <c r="B19" s="17" t="s">
        <v>12</v>
      </c>
      <c r="C19" s="84" t="s">
        <v>129</v>
      </c>
      <c r="D19" s="85" t="s">
        <v>262</v>
      </c>
      <c r="E19" s="84"/>
      <c r="F19" s="16"/>
      <c r="G19" s="16"/>
      <c r="H19" s="16"/>
      <c r="I19" s="16"/>
      <c r="J19" s="20"/>
      <c r="K19" s="16"/>
      <c r="L19" s="16"/>
    </row>
    <row r="20" spans="1:12" s="15" customFormat="1" x14ac:dyDescent="0.35">
      <c r="A20" s="84" t="s">
        <v>342</v>
      </c>
      <c r="B20" s="17" t="s">
        <v>12</v>
      </c>
      <c r="C20" s="84" t="s">
        <v>129</v>
      </c>
      <c r="D20" s="85" t="s">
        <v>343</v>
      </c>
      <c r="E20" s="84"/>
      <c r="F20" s="16"/>
      <c r="G20" s="16"/>
      <c r="H20" s="16"/>
      <c r="I20" s="16"/>
      <c r="J20" s="20"/>
      <c r="K20" s="16"/>
      <c r="L20" s="16"/>
    </row>
    <row r="21" spans="1:12" s="15" customFormat="1" x14ac:dyDescent="0.35">
      <c r="A21" s="84" t="s">
        <v>344</v>
      </c>
      <c r="B21" s="17" t="s">
        <v>12</v>
      </c>
      <c r="C21" s="84" t="s">
        <v>129</v>
      </c>
      <c r="D21" s="85" t="s">
        <v>345</v>
      </c>
      <c r="E21" s="84"/>
      <c r="F21" s="16"/>
      <c r="G21" s="16"/>
      <c r="H21" s="16"/>
      <c r="I21" s="16"/>
      <c r="J21" s="20"/>
      <c r="K21" s="16"/>
      <c r="L21" s="16"/>
    </row>
    <row r="22" spans="1:12" s="15" customFormat="1" x14ac:dyDescent="0.35">
      <c r="A22" s="84" t="s">
        <v>346</v>
      </c>
      <c r="B22" s="17" t="s">
        <v>12</v>
      </c>
      <c r="C22" s="84" t="s">
        <v>129</v>
      </c>
      <c r="D22" s="85" t="s">
        <v>256</v>
      </c>
      <c r="E22" s="84"/>
      <c r="F22" s="16"/>
      <c r="G22" s="16"/>
      <c r="H22" s="16"/>
      <c r="I22" s="16"/>
      <c r="J22" s="20"/>
      <c r="K22" s="16"/>
      <c r="L22" s="16"/>
    </row>
    <row r="23" spans="1:12" s="15" customFormat="1" x14ac:dyDescent="0.35">
      <c r="A23" s="84" t="s">
        <v>347</v>
      </c>
      <c r="B23" s="17" t="s">
        <v>12</v>
      </c>
      <c r="C23" s="84" t="s">
        <v>129</v>
      </c>
      <c r="D23" s="85" t="s">
        <v>343</v>
      </c>
      <c r="E23" s="84"/>
      <c r="F23" s="16"/>
      <c r="G23" s="16"/>
      <c r="H23" s="16"/>
      <c r="I23" s="16"/>
      <c r="J23" s="20"/>
      <c r="K23" s="16"/>
      <c r="L23" s="16"/>
    </row>
    <row r="24" spans="1:12" s="15" customFormat="1" x14ac:dyDescent="0.35">
      <c r="A24" s="84" t="s">
        <v>348</v>
      </c>
      <c r="B24" s="17" t="s">
        <v>12</v>
      </c>
      <c r="C24" s="84" t="s">
        <v>129</v>
      </c>
      <c r="D24" s="87" t="s">
        <v>349</v>
      </c>
      <c r="E24" s="84"/>
      <c r="F24" s="16"/>
      <c r="G24" s="16"/>
      <c r="H24" s="16"/>
      <c r="I24" s="16"/>
      <c r="J24" s="20"/>
      <c r="K24" s="16"/>
      <c r="L24" s="16"/>
    </row>
    <row r="25" spans="1:12" s="15" customFormat="1" x14ac:dyDescent="0.35">
      <c r="A25" s="84" t="s">
        <v>350</v>
      </c>
      <c r="B25" s="17" t="s">
        <v>12</v>
      </c>
      <c r="C25" s="84" t="s">
        <v>129</v>
      </c>
      <c r="D25" s="85" t="s">
        <v>256</v>
      </c>
      <c r="E25" s="84"/>
      <c r="F25" s="16"/>
      <c r="G25" s="16"/>
      <c r="H25" s="16"/>
      <c r="I25" s="16"/>
      <c r="J25" s="20"/>
      <c r="K25" s="16"/>
      <c r="L25" s="16"/>
    </row>
    <row r="26" spans="1:12" s="15" customFormat="1" x14ac:dyDescent="0.35">
      <c r="A26" s="84" t="s">
        <v>351</v>
      </c>
      <c r="B26" s="17" t="s">
        <v>12</v>
      </c>
      <c r="C26" s="84" t="s">
        <v>129</v>
      </c>
      <c r="D26" s="87" t="s">
        <v>349</v>
      </c>
      <c r="E26" s="84"/>
      <c r="F26" s="16"/>
      <c r="G26" s="16"/>
      <c r="H26" s="16"/>
      <c r="I26" s="16"/>
      <c r="J26" s="20"/>
      <c r="K26" s="16"/>
      <c r="L26" s="16"/>
    </row>
    <row r="27" spans="1:12" s="15" customFormat="1" x14ac:dyDescent="0.35">
      <c r="A27" s="84" t="s">
        <v>352</v>
      </c>
      <c r="B27" s="17" t="s">
        <v>12</v>
      </c>
      <c r="C27" s="84" t="s">
        <v>129</v>
      </c>
      <c r="D27" s="87" t="s">
        <v>353</v>
      </c>
      <c r="E27" s="84"/>
      <c r="F27" s="16"/>
      <c r="G27" s="16"/>
      <c r="H27" s="16"/>
      <c r="I27" s="16"/>
      <c r="J27" s="20"/>
      <c r="K27" s="16"/>
      <c r="L27" s="16"/>
    </row>
    <row r="28" spans="1:12" s="15" customFormat="1" x14ac:dyDescent="0.35">
      <c r="A28" s="84" t="s">
        <v>354</v>
      </c>
      <c r="B28" s="17" t="s">
        <v>12</v>
      </c>
      <c r="C28" s="84" t="s">
        <v>129</v>
      </c>
      <c r="D28" s="87" t="s">
        <v>355</v>
      </c>
      <c r="E28" s="84"/>
      <c r="F28" s="16"/>
      <c r="G28" s="16"/>
      <c r="H28" s="16"/>
      <c r="I28" s="16"/>
      <c r="J28" s="20"/>
      <c r="K28" s="16"/>
      <c r="L28" s="16"/>
    </row>
    <row r="29" spans="1:12" s="15" customFormat="1" x14ac:dyDescent="0.35">
      <c r="A29" s="84" t="s">
        <v>356</v>
      </c>
      <c r="B29" s="17" t="s">
        <v>12</v>
      </c>
      <c r="C29" s="84" t="s">
        <v>129</v>
      </c>
      <c r="D29" s="85" t="s">
        <v>343</v>
      </c>
      <c r="E29" s="84"/>
      <c r="F29" s="16"/>
      <c r="G29" s="16"/>
      <c r="H29" s="16"/>
      <c r="I29" s="16"/>
      <c r="J29" s="20"/>
      <c r="K29" s="16"/>
      <c r="L29" s="16"/>
    </row>
    <row r="30" spans="1:12" s="15" customFormat="1" x14ac:dyDescent="0.35">
      <c r="A30" s="84" t="s">
        <v>357</v>
      </c>
      <c r="B30" s="17" t="s">
        <v>12</v>
      </c>
      <c r="C30" s="84" t="s">
        <v>129</v>
      </c>
      <c r="D30" s="85" t="s">
        <v>358</v>
      </c>
      <c r="E30" s="84"/>
      <c r="F30" s="16"/>
      <c r="G30" s="16"/>
      <c r="H30" s="16"/>
      <c r="I30" s="16"/>
      <c r="J30" s="20"/>
      <c r="K30" s="16"/>
      <c r="L30" s="16"/>
    </row>
    <row r="31" spans="1:12" s="15" customFormat="1" x14ac:dyDescent="0.35">
      <c r="A31" s="84" t="s">
        <v>359</v>
      </c>
      <c r="B31" s="17" t="s">
        <v>12</v>
      </c>
      <c r="C31" s="84" t="s">
        <v>129</v>
      </c>
      <c r="D31" s="85" t="s">
        <v>360</v>
      </c>
      <c r="E31" s="84"/>
      <c r="F31" s="16"/>
      <c r="G31" s="16"/>
      <c r="H31" s="16"/>
      <c r="I31" s="16"/>
      <c r="J31" s="20"/>
      <c r="K31" s="16"/>
      <c r="L31" s="16"/>
    </row>
    <row r="32" spans="1:12" s="15" customFormat="1" x14ac:dyDescent="0.35">
      <c r="A32" s="84" t="s">
        <v>361</v>
      </c>
      <c r="B32" s="17" t="s">
        <v>12</v>
      </c>
      <c r="C32" s="84" t="s">
        <v>129</v>
      </c>
      <c r="D32" s="85" t="s">
        <v>362</v>
      </c>
      <c r="E32" s="84"/>
      <c r="F32" s="16"/>
      <c r="G32" s="16"/>
      <c r="H32" s="16"/>
      <c r="I32" s="16"/>
      <c r="J32" s="20"/>
      <c r="K32" s="16"/>
      <c r="L32" s="16"/>
    </row>
    <row r="33" spans="1:12" s="15" customFormat="1" x14ac:dyDescent="0.35">
      <c r="A33" s="84" t="s">
        <v>363</v>
      </c>
      <c r="B33" s="17" t="s">
        <v>12</v>
      </c>
      <c r="C33" s="84" t="s">
        <v>129</v>
      </c>
      <c r="D33" s="85" t="s">
        <v>364</v>
      </c>
      <c r="E33" s="84"/>
      <c r="F33" s="16"/>
      <c r="G33" s="16"/>
      <c r="H33" s="16"/>
      <c r="I33" s="16"/>
      <c r="J33" s="20"/>
      <c r="K33" s="16"/>
      <c r="L33" s="16"/>
    </row>
    <row r="34" spans="1:12" s="15" customFormat="1" x14ac:dyDescent="0.35">
      <c r="A34" s="84" t="s">
        <v>365</v>
      </c>
      <c r="B34" s="17" t="s">
        <v>12</v>
      </c>
      <c r="C34" s="84" t="s">
        <v>129</v>
      </c>
      <c r="D34" s="85" t="s">
        <v>366</v>
      </c>
      <c r="E34" s="84"/>
      <c r="F34" s="16"/>
      <c r="G34" s="16"/>
      <c r="H34" s="16"/>
      <c r="I34" s="16"/>
      <c r="J34" s="20"/>
      <c r="K34" s="16"/>
      <c r="L34" s="16"/>
    </row>
    <row r="35" spans="1:12" s="15" customFormat="1" x14ac:dyDescent="0.35">
      <c r="A35" s="84" t="s">
        <v>367</v>
      </c>
      <c r="B35" s="17" t="s">
        <v>12</v>
      </c>
      <c r="C35" s="84" t="s">
        <v>129</v>
      </c>
      <c r="D35" s="85" t="s">
        <v>256</v>
      </c>
      <c r="E35" s="84"/>
      <c r="F35" s="16"/>
      <c r="G35" s="16"/>
      <c r="H35" s="16"/>
      <c r="I35" s="16"/>
      <c r="J35" s="20"/>
      <c r="K35" s="16"/>
      <c r="L35" s="16"/>
    </row>
    <row r="36" spans="1:12" s="15" customFormat="1" x14ac:dyDescent="0.35">
      <c r="A36" s="84" t="s">
        <v>368</v>
      </c>
      <c r="B36" s="17" t="s">
        <v>12</v>
      </c>
      <c r="C36" s="84" t="s">
        <v>129</v>
      </c>
      <c r="D36" s="85" t="s">
        <v>256</v>
      </c>
      <c r="E36" s="84"/>
      <c r="F36" s="16"/>
      <c r="G36" s="16"/>
      <c r="H36" s="16"/>
      <c r="I36" s="16"/>
      <c r="J36" s="20"/>
      <c r="K36" s="16"/>
      <c r="L36" s="16"/>
    </row>
    <row r="37" spans="1:12" s="15" customFormat="1" x14ac:dyDescent="0.35">
      <c r="A37" s="84"/>
      <c r="B37" s="17"/>
      <c r="C37" s="84"/>
      <c r="D37" s="85"/>
      <c r="E37" s="84"/>
      <c r="F37" s="16"/>
      <c r="G37" s="16"/>
      <c r="H37" s="16"/>
      <c r="I37" s="16"/>
      <c r="J37" s="20"/>
      <c r="K37" s="16"/>
      <c r="L37" s="16"/>
    </row>
    <row r="38" spans="1:12" s="15" customFormat="1" x14ac:dyDescent="0.35">
      <c r="A38" s="84"/>
      <c r="B38" s="17"/>
      <c r="C38" s="84"/>
      <c r="D38" s="85"/>
      <c r="E38" s="84"/>
      <c r="F38" s="16"/>
      <c r="G38" s="16"/>
      <c r="H38" s="16"/>
      <c r="I38" s="16"/>
      <c r="J38" s="20"/>
      <c r="K38" s="16"/>
      <c r="L38" s="16"/>
    </row>
    <row r="39" spans="1:12" s="15" customFormat="1" x14ac:dyDescent="0.35">
      <c r="A39" s="84"/>
      <c r="B39" s="17"/>
      <c r="C39" s="84"/>
      <c r="D39" s="85"/>
      <c r="E39" s="84"/>
      <c r="F39" s="16"/>
      <c r="G39" s="16"/>
      <c r="H39" s="16"/>
      <c r="I39" s="16"/>
      <c r="J39" s="20"/>
      <c r="K39" s="16"/>
      <c r="L39" s="16"/>
    </row>
    <row r="40" spans="1:12" s="15" customFormat="1" x14ac:dyDescent="0.35">
      <c r="A40" s="84"/>
      <c r="B40" s="17"/>
      <c r="C40" s="84"/>
      <c r="D40" s="85"/>
      <c r="E40" s="84"/>
      <c r="F40" s="16"/>
      <c r="G40" s="16"/>
      <c r="H40" s="16"/>
      <c r="I40" s="16"/>
      <c r="J40" s="20"/>
      <c r="K40" s="16"/>
      <c r="L40" s="16"/>
    </row>
    <row r="41" spans="1:12" s="15" customFormat="1" x14ac:dyDescent="0.35">
      <c r="A41" s="84"/>
      <c r="B41" s="17"/>
      <c r="C41" s="84"/>
      <c r="D41" s="85"/>
      <c r="E41" s="84"/>
      <c r="F41" s="16"/>
      <c r="G41" s="16"/>
      <c r="H41" s="16"/>
      <c r="I41" s="16"/>
      <c r="J41" s="20"/>
      <c r="K41" s="16"/>
      <c r="L41" s="16"/>
    </row>
    <row r="42" spans="1:12" x14ac:dyDescent="0.35">
      <c r="A42" s="14" t="s">
        <v>57</v>
      </c>
      <c r="B42" s="14" t="s">
        <v>33</v>
      </c>
      <c r="C42" s="14" t="s">
        <v>32</v>
      </c>
      <c r="D42" s="14"/>
      <c r="E42" s="14"/>
      <c r="F42" s="14"/>
      <c r="G42" s="14"/>
      <c r="H42" s="14"/>
      <c r="I42" s="14"/>
      <c r="J42" s="14"/>
      <c r="K42" s="14"/>
      <c r="L42" s="14"/>
    </row>
    <row r="43" spans="1:12" s="15" customFormat="1" x14ac:dyDescent="0.35">
      <c r="A43" s="17"/>
      <c r="B43" s="17"/>
      <c r="C43" s="17"/>
      <c r="D43" s="16"/>
      <c r="E43" s="16"/>
      <c r="F43" s="16"/>
      <c r="G43" s="16"/>
      <c r="H43" s="16"/>
      <c r="I43" s="16"/>
      <c r="J43" s="20"/>
      <c r="K43" s="16"/>
      <c r="L43" s="16"/>
    </row>
    <row r="44" spans="1:12" s="15" customFormat="1" x14ac:dyDescent="0.35">
      <c r="A44" s="17"/>
      <c r="B44" s="17"/>
      <c r="C44" s="17"/>
      <c r="D44" s="16"/>
      <c r="E44" s="16"/>
      <c r="F44" s="16"/>
      <c r="G44" s="16"/>
      <c r="H44" s="16"/>
      <c r="I44" s="16"/>
      <c r="J44" s="20"/>
      <c r="K44" s="16"/>
      <c r="L44" s="16"/>
    </row>
    <row r="45" spans="1:12" s="15" customFormat="1" x14ac:dyDescent="0.35">
      <c r="A45" s="17"/>
      <c r="B45" s="17"/>
      <c r="C45" s="17"/>
      <c r="D45" s="16"/>
      <c r="E45" s="16"/>
      <c r="F45" s="16"/>
      <c r="G45" s="16"/>
      <c r="H45" s="16"/>
      <c r="I45" s="16"/>
      <c r="J45" s="20"/>
      <c r="K45" s="16"/>
      <c r="L45" s="16"/>
    </row>
    <row r="46" spans="1:12" s="15" customFormat="1" x14ac:dyDescent="0.35">
      <c r="A46" s="17"/>
      <c r="B46" s="17"/>
      <c r="C46" s="17"/>
      <c r="D46" s="16"/>
      <c r="E46" s="16"/>
      <c r="F46" s="16"/>
      <c r="G46" s="16"/>
      <c r="H46" s="16"/>
      <c r="I46" s="16"/>
      <c r="J46" s="20"/>
      <c r="K46" s="16"/>
      <c r="L46" s="16"/>
    </row>
    <row r="47" spans="1:12" s="15" customFormat="1" x14ac:dyDescent="0.35">
      <c r="A47" s="17"/>
      <c r="B47" s="17"/>
      <c r="C47" s="17"/>
      <c r="D47" s="16"/>
      <c r="E47" s="16"/>
      <c r="F47" s="16"/>
      <c r="G47" s="16"/>
      <c r="H47" s="16"/>
      <c r="I47" s="16"/>
      <c r="J47" s="20"/>
      <c r="K47" s="16"/>
      <c r="L47" s="16"/>
    </row>
    <row r="48" spans="1:12" x14ac:dyDescent="0.35">
      <c r="A48" s="14" t="s">
        <v>56</v>
      </c>
      <c r="B48" s="14" t="s">
        <v>33</v>
      </c>
      <c r="C48" s="14" t="s">
        <v>32</v>
      </c>
      <c r="D48" s="14" t="s">
        <v>47</v>
      </c>
      <c r="E48" s="14" t="s">
        <v>55</v>
      </c>
      <c r="F48" s="14" t="s">
        <v>54</v>
      </c>
      <c r="G48" s="14" t="s">
        <v>53</v>
      </c>
      <c r="H48" s="14"/>
      <c r="I48" s="14"/>
      <c r="J48" s="14"/>
      <c r="K48" s="14"/>
      <c r="L48" s="14"/>
    </row>
    <row r="49" spans="1:12" s="15" customFormat="1" x14ac:dyDescent="0.35">
      <c r="A49" s="17"/>
      <c r="B49" s="17"/>
      <c r="C49" s="17"/>
      <c r="D49" s="85"/>
      <c r="E49" s="85"/>
      <c r="F49" s="85"/>
      <c r="G49" s="85"/>
      <c r="H49" s="20"/>
      <c r="I49" s="11"/>
      <c r="J49" s="11"/>
      <c r="K49" s="11"/>
      <c r="L49" s="11"/>
    </row>
    <row r="50" spans="1:12" s="15" customFormat="1" x14ac:dyDescent="0.35">
      <c r="A50" s="17"/>
      <c r="B50" s="17"/>
      <c r="C50" s="17"/>
      <c r="D50" s="85"/>
      <c r="E50" s="85"/>
      <c r="F50" s="85"/>
      <c r="G50" s="85"/>
      <c r="H50" s="20"/>
      <c r="I50" s="11"/>
      <c r="J50" s="11"/>
      <c r="K50" s="11"/>
      <c r="L50" s="11"/>
    </row>
    <row r="51" spans="1:12" s="15" customFormat="1" x14ac:dyDescent="0.35">
      <c r="A51" s="17"/>
      <c r="B51" s="17"/>
      <c r="C51" s="17"/>
      <c r="D51" s="85"/>
      <c r="E51" s="85"/>
      <c r="F51" s="85"/>
      <c r="G51" s="85"/>
      <c r="H51" s="20"/>
      <c r="I51" s="11"/>
      <c r="J51" s="11"/>
      <c r="K51" s="11"/>
      <c r="L51" s="11"/>
    </row>
    <row r="52" spans="1:12" s="15" customFormat="1" x14ac:dyDescent="0.35">
      <c r="A52" s="17"/>
      <c r="B52" s="17"/>
      <c r="C52" s="17"/>
      <c r="D52" s="85"/>
      <c r="E52" s="85"/>
      <c r="F52" s="85"/>
      <c r="G52" s="85"/>
      <c r="H52" s="20"/>
      <c r="I52" s="11"/>
      <c r="J52" s="11"/>
      <c r="K52" s="11"/>
      <c r="L52" s="11"/>
    </row>
    <row r="53" spans="1:12" s="15" customFormat="1" x14ac:dyDescent="0.35">
      <c r="A53" s="17"/>
      <c r="B53" s="17"/>
      <c r="C53" s="17"/>
      <c r="D53" s="85"/>
      <c r="E53" s="85"/>
      <c r="F53" s="85"/>
      <c r="G53" s="85"/>
      <c r="H53" s="20"/>
      <c r="I53" s="11"/>
      <c r="J53" s="11"/>
      <c r="K53" s="11"/>
      <c r="L53" s="11"/>
    </row>
    <row r="54" spans="1:12" x14ac:dyDescent="0.35">
      <c r="A54" s="14" t="s">
        <v>52</v>
      </c>
      <c r="B54" s="14" t="s">
        <v>33</v>
      </c>
      <c r="C54" s="14"/>
      <c r="D54" s="14" t="s">
        <v>31</v>
      </c>
      <c r="E54" s="14"/>
      <c r="F54" s="14"/>
      <c r="G54" s="14"/>
      <c r="H54" s="14"/>
      <c r="I54" s="14"/>
      <c r="J54" s="14"/>
      <c r="K54" s="14"/>
      <c r="L54" s="14"/>
    </row>
    <row r="55" spans="1:12" s="15" customFormat="1" x14ac:dyDescent="0.35">
      <c r="A55" s="17" t="s">
        <v>369</v>
      </c>
      <c r="B55" s="17" t="s">
        <v>12</v>
      </c>
      <c r="C55" s="16"/>
      <c r="D55" s="85" t="s">
        <v>345</v>
      </c>
      <c r="E55" s="11"/>
      <c r="F55" s="11"/>
      <c r="G55" s="11"/>
      <c r="H55" s="11"/>
      <c r="I55" s="11"/>
      <c r="J55" s="11"/>
      <c r="K55" s="11"/>
      <c r="L55" s="11"/>
    </row>
    <row r="56" spans="1:12" s="15" customFormat="1" ht="21" x14ac:dyDescent="0.35">
      <c r="A56" s="17" t="s">
        <v>370</v>
      </c>
      <c r="B56" s="17" t="s">
        <v>98</v>
      </c>
      <c r="C56" s="16"/>
      <c r="D56" s="85" t="s">
        <v>371</v>
      </c>
      <c r="E56" s="11"/>
      <c r="F56" s="11"/>
      <c r="G56" s="11"/>
      <c r="H56" s="11"/>
      <c r="I56" s="11"/>
      <c r="J56" s="11"/>
      <c r="K56" s="11"/>
      <c r="L56" s="11"/>
    </row>
    <row r="57" spans="1:12" s="15" customFormat="1" x14ac:dyDescent="0.35">
      <c r="A57" s="17"/>
      <c r="B57" s="17"/>
      <c r="C57" s="16"/>
      <c r="D57" s="85"/>
      <c r="E57" s="11"/>
      <c r="F57" s="11"/>
      <c r="G57" s="11"/>
      <c r="H57" s="11"/>
      <c r="I57" s="11"/>
      <c r="J57" s="11"/>
      <c r="K57" s="11"/>
      <c r="L57" s="11"/>
    </row>
    <row r="58" spans="1:12" s="15" customFormat="1" x14ac:dyDescent="0.35">
      <c r="A58" s="17"/>
      <c r="B58" s="17"/>
      <c r="C58" s="16"/>
      <c r="D58" s="85"/>
      <c r="E58" s="11"/>
      <c r="F58" s="11"/>
      <c r="G58" s="11"/>
      <c r="H58" s="11"/>
      <c r="I58" s="11"/>
      <c r="J58" s="11"/>
      <c r="K58" s="11"/>
      <c r="L58" s="11"/>
    </row>
    <row r="59" spans="1:12" s="15" customFormat="1" x14ac:dyDescent="0.35">
      <c r="A59" s="17"/>
      <c r="B59" s="17"/>
      <c r="C59" s="16"/>
      <c r="D59" s="85"/>
      <c r="E59" s="11"/>
      <c r="F59" s="11"/>
      <c r="G59" s="11"/>
      <c r="H59" s="11"/>
      <c r="I59" s="11"/>
      <c r="J59" s="11"/>
      <c r="K59" s="11"/>
      <c r="L59" s="11"/>
    </row>
    <row r="60" spans="1:12" s="15" customFormat="1" x14ac:dyDescent="0.35">
      <c r="A60" s="17"/>
      <c r="B60" s="17"/>
      <c r="C60" s="16"/>
      <c r="D60" s="85"/>
      <c r="E60" s="11"/>
      <c r="F60" s="11"/>
      <c r="G60" s="11"/>
      <c r="H60" s="11"/>
      <c r="I60" s="11"/>
      <c r="J60" s="11"/>
      <c r="K60" s="11"/>
      <c r="L60" s="11"/>
    </row>
    <row r="61" spans="1:12" s="15" customFormat="1" x14ac:dyDescent="0.35">
      <c r="A61" s="17"/>
      <c r="B61" s="17"/>
      <c r="C61" s="16"/>
      <c r="D61" s="85"/>
      <c r="E61" s="11"/>
      <c r="F61" s="11"/>
      <c r="G61" s="11"/>
      <c r="H61" s="11"/>
      <c r="I61" s="11"/>
      <c r="J61" s="11"/>
      <c r="K61" s="11"/>
      <c r="L61" s="11"/>
    </row>
    <row r="62" spans="1:12" x14ac:dyDescent="0.35">
      <c r="A62" s="19" t="s">
        <v>51</v>
      </c>
      <c r="B62" s="19" t="s">
        <v>33</v>
      </c>
      <c r="C62" s="19" t="s">
        <v>50</v>
      </c>
      <c r="D62" s="14"/>
      <c r="E62" s="14"/>
      <c r="F62" s="14"/>
      <c r="G62" s="14"/>
      <c r="H62" s="14"/>
      <c r="I62" s="14"/>
      <c r="J62" s="14"/>
      <c r="K62" s="14"/>
      <c r="L62" s="14"/>
    </row>
    <row r="63" spans="1:12" s="15" customFormat="1" x14ac:dyDescent="0.35">
      <c r="A63" s="17" t="s">
        <v>372</v>
      </c>
      <c r="B63" s="17" t="s">
        <v>98</v>
      </c>
      <c r="C63" s="17" t="s">
        <v>251</v>
      </c>
      <c r="D63" s="11"/>
      <c r="E63" s="11"/>
      <c r="F63" s="11"/>
      <c r="G63" s="11"/>
      <c r="H63" s="11"/>
      <c r="I63" s="11"/>
      <c r="J63" s="11"/>
      <c r="K63" s="11"/>
      <c r="L63" s="11"/>
    </row>
    <row r="64" spans="1:12" s="15" customFormat="1" x14ac:dyDescent="0.35">
      <c r="A64" s="17"/>
      <c r="B64" s="17"/>
      <c r="C64" s="17"/>
      <c r="D64" s="11"/>
      <c r="E64" s="11"/>
      <c r="F64" s="11"/>
      <c r="G64" s="11"/>
      <c r="H64" s="11"/>
      <c r="I64" s="11"/>
      <c r="J64" s="11"/>
      <c r="K64" s="11"/>
      <c r="L64" s="11"/>
    </row>
    <row r="65" spans="1:12" s="15" customFormat="1" x14ac:dyDescent="0.35">
      <c r="A65" s="17"/>
      <c r="B65" s="17"/>
      <c r="C65" s="17"/>
      <c r="D65" s="11"/>
      <c r="E65" s="11"/>
      <c r="F65" s="11"/>
      <c r="G65" s="11"/>
      <c r="H65" s="11"/>
      <c r="I65" s="11"/>
      <c r="J65" s="11"/>
      <c r="K65" s="11"/>
      <c r="L65" s="11"/>
    </row>
    <row r="66" spans="1:12" s="15" customFormat="1" x14ac:dyDescent="0.35">
      <c r="A66" s="17"/>
      <c r="B66" s="17"/>
      <c r="C66" s="17"/>
      <c r="D66" s="11"/>
      <c r="E66" s="11"/>
      <c r="F66" s="11"/>
      <c r="G66" s="11"/>
      <c r="H66" s="11"/>
      <c r="I66" s="11"/>
      <c r="J66" s="11"/>
      <c r="K66" s="11"/>
      <c r="L66" s="11"/>
    </row>
    <row r="67" spans="1:12" s="15" customFormat="1" x14ac:dyDescent="0.35">
      <c r="A67" s="17"/>
      <c r="B67" s="17"/>
      <c r="C67" s="17"/>
      <c r="D67" s="11"/>
      <c r="E67" s="11"/>
      <c r="F67" s="11"/>
      <c r="G67" s="11"/>
      <c r="H67" s="11"/>
      <c r="I67" s="11"/>
      <c r="J67" s="11"/>
      <c r="K67" s="11"/>
      <c r="L67" s="11"/>
    </row>
    <row r="68" spans="1:12" s="15" customFormat="1" x14ac:dyDescent="0.35">
      <c r="A68" s="17"/>
      <c r="B68" s="17"/>
      <c r="C68" s="17"/>
      <c r="D68" s="11"/>
      <c r="E68" s="11"/>
      <c r="F68" s="11"/>
      <c r="G68" s="11"/>
      <c r="H68" s="11"/>
      <c r="I68" s="11"/>
      <c r="J68" s="11"/>
      <c r="K68" s="11"/>
      <c r="L68" s="11"/>
    </row>
    <row r="69" spans="1:12" x14ac:dyDescent="0.35">
      <c r="A69" s="14" t="s">
        <v>49</v>
      </c>
      <c r="B69" s="14" t="s">
        <v>33</v>
      </c>
      <c r="C69" s="14"/>
      <c r="D69" s="14" t="s">
        <v>31</v>
      </c>
      <c r="E69" s="14"/>
      <c r="F69" s="14"/>
      <c r="G69" s="14"/>
      <c r="H69" s="14"/>
      <c r="I69" s="14"/>
      <c r="J69" s="14"/>
      <c r="K69" s="14"/>
      <c r="L69" s="14"/>
    </row>
    <row r="70" spans="1:12" s="15" customFormat="1" x14ac:dyDescent="0.35">
      <c r="A70" s="17"/>
      <c r="B70" s="17"/>
      <c r="C70" s="16"/>
      <c r="D70" s="17"/>
      <c r="E70" s="11"/>
      <c r="F70" s="11"/>
      <c r="G70" s="11"/>
      <c r="H70" s="11"/>
      <c r="I70" s="11"/>
      <c r="J70" s="11"/>
      <c r="K70" s="11"/>
      <c r="L70" s="11"/>
    </row>
    <row r="71" spans="1:12" s="15" customFormat="1" x14ac:dyDescent="0.35">
      <c r="A71" s="17"/>
      <c r="B71" s="17"/>
      <c r="C71" s="16"/>
      <c r="D71" s="17"/>
      <c r="E71" s="11"/>
      <c r="F71" s="11"/>
      <c r="G71" s="11"/>
      <c r="H71" s="11"/>
      <c r="I71" s="11"/>
      <c r="J71" s="11"/>
      <c r="K71" s="11"/>
      <c r="L71" s="11"/>
    </row>
    <row r="72" spans="1:12" s="15" customFormat="1" x14ac:dyDescent="0.35">
      <c r="A72" s="17"/>
      <c r="B72" s="17"/>
      <c r="C72" s="16"/>
      <c r="D72" s="17"/>
      <c r="E72" s="11"/>
      <c r="F72" s="11"/>
      <c r="G72" s="11"/>
      <c r="H72" s="11"/>
      <c r="I72" s="11"/>
      <c r="J72" s="11"/>
      <c r="K72" s="11"/>
      <c r="L72" s="11"/>
    </row>
    <row r="73" spans="1:12" s="15" customFormat="1" x14ac:dyDescent="0.35">
      <c r="A73" s="17"/>
      <c r="B73" s="17"/>
      <c r="C73" s="16"/>
      <c r="D73" s="17"/>
      <c r="E73" s="11"/>
      <c r="F73" s="11"/>
      <c r="G73" s="11"/>
      <c r="H73" s="11"/>
      <c r="I73" s="11"/>
      <c r="J73" s="11"/>
      <c r="K73" s="11"/>
      <c r="L73" s="11"/>
    </row>
    <row r="74" spans="1:12" s="15" customFormat="1" x14ac:dyDescent="0.35">
      <c r="A74" s="17"/>
      <c r="B74" s="17"/>
      <c r="C74" s="16"/>
      <c r="D74" s="17"/>
      <c r="E74" s="11"/>
      <c r="F74" s="11"/>
      <c r="G74" s="11"/>
      <c r="H74" s="11"/>
      <c r="I74" s="11"/>
      <c r="J74" s="11"/>
      <c r="K74" s="11"/>
      <c r="L74" s="11"/>
    </row>
    <row r="75" spans="1:12" x14ac:dyDescent="0.35">
      <c r="A75" s="14" t="s">
        <v>48</v>
      </c>
      <c r="B75" s="14" t="s">
        <v>33</v>
      </c>
      <c r="C75" s="14" t="s">
        <v>47</v>
      </c>
      <c r="D75" s="14" t="s">
        <v>31</v>
      </c>
      <c r="E75" s="14" t="s">
        <v>44</v>
      </c>
      <c r="F75" s="14" t="s">
        <v>46</v>
      </c>
      <c r="G75" s="14"/>
      <c r="H75" s="14"/>
      <c r="I75" s="14"/>
      <c r="J75" s="14"/>
      <c r="K75" s="14"/>
      <c r="L75" s="14"/>
    </row>
    <row r="76" spans="1:12" s="15" customFormat="1" x14ac:dyDescent="0.35">
      <c r="A76" s="17"/>
      <c r="B76" s="17"/>
      <c r="C76" s="17"/>
      <c r="D76" s="85"/>
      <c r="E76" s="85"/>
      <c r="F76" s="84"/>
      <c r="G76" s="16"/>
      <c r="H76" s="16"/>
      <c r="I76" s="11"/>
      <c r="J76" s="11"/>
      <c r="K76" s="11"/>
      <c r="L76" s="11"/>
    </row>
    <row r="77" spans="1:12" s="15" customFormat="1" x14ac:dyDescent="0.35">
      <c r="A77" s="17"/>
      <c r="B77" s="17"/>
      <c r="C77" s="17"/>
      <c r="D77" s="85"/>
      <c r="E77" s="85"/>
      <c r="F77" s="84"/>
      <c r="G77" s="16"/>
      <c r="H77" s="16"/>
      <c r="I77" s="11"/>
      <c r="J77" s="11"/>
      <c r="K77" s="11"/>
      <c r="L77" s="11"/>
    </row>
    <row r="78" spans="1:12" s="15" customFormat="1" x14ac:dyDescent="0.35">
      <c r="A78" s="17"/>
      <c r="B78" s="17"/>
      <c r="C78" s="17"/>
      <c r="D78" s="85"/>
      <c r="E78" s="85"/>
      <c r="F78" s="84"/>
      <c r="G78" s="16"/>
      <c r="H78" s="16"/>
      <c r="I78" s="11"/>
      <c r="J78" s="11"/>
      <c r="K78" s="11"/>
      <c r="L78" s="11"/>
    </row>
    <row r="79" spans="1:12" s="15" customFormat="1" x14ac:dyDescent="0.35">
      <c r="A79" s="17"/>
      <c r="B79" s="17"/>
      <c r="C79" s="17"/>
      <c r="D79" s="85"/>
      <c r="E79" s="85"/>
      <c r="F79" s="84"/>
      <c r="G79" s="16"/>
      <c r="H79" s="16"/>
      <c r="I79" s="11"/>
      <c r="J79" s="11"/>
      <c r="K79" s="11"/>
      <c r="L79" s="11"/>
    </row>
    <row r="80" spans="1:12" s="15" customFormat="1" x14ac:dyDescent="0.35">
      <c r="A80" s="17"/>
      <c r="B80" s="17"/>
      <c r="C80" s="17"/>
      <c r="D80" s="85"/>
      <c r="E80" s="85"/>
      <c r="F80" s="84"/>
      <c r="G80" s="16"/>
      <c r="H80" s="16"/>
      <c r="I80" s="11"/>
      <c r="J80" s="11"/>
      <c r="K80" s="11"/>
      <c r="L80" s="11"/>
    </row>
    <row r="81" spans="1:12" x14ac:dyDescent="0.35">
      <c r="A81" s="14" t="s">
        <v>45</v>
      </c>
      <c r="B81" s="14" t="s">
        <v>33</v>
      </c>
      <c r="C81" s="14" t="s">
        <v>32</v>
      </c>
      <c r="D81" s="14" t="s">
        <v>31</v>
      </c>
      <c r="E81" s="14" t="s">
        <v>44</v>
      </c>
      <c r="F81" s="14"/>
      <c r="G81" s="14"/>
      <c r="H81" s="14"/>
      <c r="I81" s="14"/>
      <c r="J81" s="14"/>
      <c r="K81" s="14"/>
      <c r="L81" s="14"/>
    </row>
    <row r="82" spans="1:12" x14ac:dyDescent="0.35">
      <c r="A82" s="18"/>
      <c r="B82" s="18"/>
      <c r="C82" s="18"/>
      <c r="D82" s="18"/>
      <c r="E82" s="18"/>
      <c r="F82" s="12"/>
      <c r="G82" s="12"/>
      <c r="H82" s="12"/>
      <c r="I82" s="12"/>
      <c r="J82" s="12"/>
      <c r="K82" s="12"/>
      <c r="L82" s="12"/>
    </row>
    <row r="83" spans="1:12" x14ac:dyDescent="0.35">
      <c r="A83" s="18"/>
      <c r="B83" s="18"/>
      <c r="C83" s="18"/>
      <c r="D83" s="18"/>
      <c r="E83" s="18"/>
      <c r="F83" s="12"/>
      <c r="G83" s="12"/>
      <c r="H83" s="12"/>
      <c r="I83" s="12"/>
      <c r="J83" s="12"/>
      <c r="K83" s="12"/>
      <c r="L83" s="12"/>
    </row>
    <row r="84" spans="1:12" x14ac:dyDescent="0.35">
      <c r="A84" s="18"/>
      <c r="B84" s="18"/>
      <c r="C84" s="18"/>
      <c r="D84" s="18"/>
      <c r="E84" s="18"/>
      <c r="F84" s="12"/>
      <c r="G84" s="12"/>
      <c r="H84" s="12"/>
      <c r="I84" s="12"/>
      <c r="J84" s="12"/>
      <c r="K84" s="12"/>
      <c r="L84" s="12"/>
    </row>
    <row r="85" spans="1:12" x14ac:dyDescent="0.35">
      <c r="A85" s="18"/>
      <c r="B85" s="18"/>
      <c r="C85" s="18"/>
      <c r="D85" s="18"/>
      <c r="E85" s="18"/>
      <c r="F85" s="12"/>
      <c r="G85" s="12"/>
      <c r="H85" s="12"/>
      <c r="I85" s="12"/>
      <c r="J85" s="12"/>
      <c r="K85" s="12"/>
      <c r="L85" s="12"/>
    </row>
    <row r="86" spans="1:12" x14ac:dyDescent="0.35">
      <c r="A86" s="18"/>
      <c r="B86" s="18"/>
      <c r="C86" s="18"/>
      <c r="D86" s="18"/>
      <c r="E86" s="18"/>
      <c r="F86" s="12"/>
      <c r="G86" s="12"/>
      <c r="H86" s="12"/>
      <c r="I86" s="12"/>
      <c r="J86" s="12"/>
      <c r="K86" s="12"/>
      <c r="L86" s="12"/>
    </row>
    <row r="87" spans="1:12" x14ac:dyDescent="0.35">
      <c r="A87" s="14" t="s">
        <v>43</v>
      </c>
      <c r="B87" s="14" t="s">
        <v>33</v>
      </c>
      <c r="C87" s="14" t="s">
        <v>32</v>
      </c>
      <c r="D87" s="14" t="s">
        <v>31</v>
      </c>
      <c r="E87" s="14" t="s">
        <v>42</v>
      </c>
      <c r="F87" s="14" t="s">
        <v>39</v>
      </c>
      <c r="G87" s="14" t="s">
        <v>38</v>
      </c>
      <c r="H87" s="14"/>
      <c r="I87" s="14"/>
      <c r="J87" s="14"/>
      <c r="K87" s="14"/>
      <c r="L87" s="14"/>
    </row>
    <row r="88" spans="1:12" s="15" customFormat="1" x14ac:dyDescent="0.35">
      <c r="A88" s="17"/>
      <c r="B88" s="17"/>
      <c r="C88" s="17"/>
      <c r="D88" s="85"/>
      <c r="E88" s="85"/>
      <c r="F88" s="85"/>
      <c r="G88" s="85"/>
      <c r="H88" s="11"/>
      <c r="I88" s="11"/>
      <c r="J88" s="11"/>
      <c r="K88" s="11"/>
      <c r="L88" s="11"/>
    </row>
    <row r="89" spans="1:12" s="15" customFormat="1" x14ac:dyDescent="0.35">
      <c r="A89" s="17"/>
      <c r="B89" s="17"/>
      <c r="C89" s="17"/>
      <c r="D89" s="85"/>
      <c r="E89" s="85"/>
      <c r="F89" s="85"/>
      <c r="G89" s="85"/>
      <c r="H89" s="11"/>
      <c r="I89" s="11"/>
      <c r="J89" s="11"/>
      <c r="K89" s="11"/>
      <c r="L89" s="11"/>
    </row>
    <row r="90" spans="1:12" s="15" customFormat="1" x14ac:dyDescent="0.35">
      <c r="A90" s="17"/>
      <c r="B90" s="17"/>
      <c r="C90" s="17"/>
      <c r="D90" s="85"/>
      <c r="E90" s="85"/>
      <c r="F90" s="85"/>
      <c r="G90" s="85"/>
      <c r="H90" s="11"/>
      <c r="I90" s="11"/>
      <c r="J90" s="11"/>
      <c r="K90" s="11"/>
      <c r="L90" s="11"/>
    </row>
    <row r="91" spans="1:12" s="15" customFormat="1" x14ac:dyDescent="0.35">
      <c r="A91" s="17"/>
      <c r="B91" s="17"/>
      <c r="C91" s="17"/>
      <c r="D91" s="85"/>
      <c r="E91" s="85"/>
      <c r="F91" s="85"/>
      <c r="G91" s="85"/>
      <c r="H91" s="11"/>
      <c r="I91" s="11"/>
      <c r="J91" s="11"/>
      <c r="K91" s="11"/>
      <c r="L91" s="11"/>
    </row>
    <row r="92" spans="1:12" s="15" customFormat="1" x14ac:dyDescent="0.35">
      <c r="A92" s="17"/>
      <c r="B92" s="17"/>
      <c r="C92" s="17"/>
      <c r="D92" s="85"/>
      <c r="E92" s="85"/>
      <c r="F92" s="85"/>
      <c r="G92" s="85"/>
      <c r="H92" s="11"/>
      <c r="I92" s="11"/>
      <c r="J92" s="11"/>
      <c r="K92" s="11"/>
      <c r="L92" s="11"/>
    </row>
    <row r="93" spans="1:12" customFormat="1" x14ac:dyDescent="0.35">
      <c r="A93" s="60" t="s">
        <v>159</v>
      </c>
      <c r="B93" s="60" t="s">
        <v>33</v>
      </c>
      <c r="C93" s="60" t="s">
        <v>32</v>
      </c>
      <c r="D93" s="60" t="s">
        <v>31</v>
      </c>
      <c r="E93" s="60" t="s">
        <v>30</v>
      </c>
      <c r="F93" s="60" t="s">
        <v>160</v>
      </c>
      <c r="G93" s="60" t="s">
        <v>39</v>
      </c>
      <c r="H93" s="60" t="s">
        <v>38</v>
      </c>
      <c r="I93" s="14"/>
      <c r="J93" s="14"/>
      <c r="K93" s="14"/>
      <c r="L93" s="14"/>
    </row>
    <row r="94" spans="1:12" customFormat="1" x14ac:dyDescent="0.35">
      <c r="A94" s="86"/>
      <c r="B94" s="86"/>
      <c r="C94" s="86"/>
      <c r="D94" s="86"/>
      <c r="E94" s="86"/>
      <c r="F94" s="86"/>
      <c r="G94" s="86"/>
      <c r="H94" s="86"/>
      <c r="I94" s="11"/>
      <c r="J94" s="11"/>
      <c r="K94" s="11"/>
      <c r="L94" s="11"/>
    </row>
    <row r="95" spans="1:12" customFormat="1" x14ac:dyDescent="0.35">
      <c r="A95" s="86"/>
      <c r="B95" s="86"/>
      <c r="C95" s="86"/>
      <c r="D95" s="86"/>
      <c r="E95" s="86"/>
      <c r="F95" s="86"/>
      <c r="G95" s="86"/>
      <c r="H95" s="86"/>
      <c r="I95" s="11"/>
      <c r="J95" s="11"/>
      <c r="K95" s="11"/>
      <c r="L95" s="11"/>
    </row>
    <row r="96" spans="1:12" customFormat="1" x14ac:dyDescent="0.35">
      <c r="A96" s="86"/>
      <c r="B96" s="86"/>
      <c r="C96" s="86"/>
      <c r="D96" s="86"/>
      <c r="E96" s="86"/>
      <c r="F96" s="86"/>
      <c r="G96" s="86"/>
      <c r="H96" s="86"/>
      <c r="I96" s="11"/>
      <c r="J96" s="11"/>
      <c r="K96" s="11"/>
      <c r="L96" s="11"/>
    </row>
    <row r="97" spans="1:12" customFormat="1" x14ac:dyDescent="0.35">
      <c r="A97" s="86"/>
      <c r="B97" s="86"/>
      <c r="C97" s="86"/>
      <c r="D97" s="86"/>
      <c r="E97" s="86"/>
      <c r="F97" s="86"/>
      <c r="G97" s="86"/>
      <c r="H97" s="86"/>
      <c r="I97" s="11"/>
      <c r="J97" s="11"/>
      <c r="K97" s="11"/>
      <c r="L97" s="11"/>
    </row>
    <row r="98" spans="1:12" customFormat="1" x14ac:dyDescent="0.35">
      <c r="A98" s="86"/>
      <c r="B98" s="86"/>
      <c r="C98" s="86"/>
      <c r="D98" s="86"/>
      <c r="E98" s="86"/>
      <c r="F98" s="86"/>
      <c r="G98" s="86"/>
      <c r="H98" s="86"/>
      <c r="I98" s="11"/>
      <c r="J98" s="11"/>
      <c r="K98" s="11"/>
      <c r="L98" s="11"/>
    </row>
    <row r="99" spans="1:12" x14ac:dyDescent="0.35">
      <c r="A99" s="14" t="s">
        <v>41</v>
      </c>
      <c r="B99" s="14" t="s">
        <v>33</v>
      </c>
      <c r="C99" s="14" t="s">
        <v>32</v>
      </c>
      <c r="D99" s="14" t="s">
        <v>31</v>
      </c>
      <c r="E99" s="14" t="s">
        <v>40</v>
      </c>
      <c r="F99" s="14" t="s">
        <v>39</v>
      </c>
      <c r="G99" s="14" t="s">
        <v>38</v>
      </c>
      <c r="H99" s="14"/>
      <c r="I99" s="14"/>
      <c r="J99" s="14"/>
      <c r="K99" s="14"/>
      <c r="L99" s="14"/>
    </row>
    <row r="100" spans="1:12" s="15" customFormat="1" x14ac:dyDescent="0.35">
      <c r="A100" s="17"/>
      <c r="B100" s="17"/>
      <c r="C100" s="17"/>
      <c r="D100" s="85"/>
      <c r="E100" s="85"/>
      <c r="F100" s="85"/>
      <c r="G100" s="85"/>
      <c r="H100" s="11"/>
      <c r="I100" s="11"/>
      <c r="J100" s="11"/>
      <c r="K100" s="11"/>
      <c r="L100" s="11"/>
    </row>
    <row r="101" spans="1:12" s="15" customFormat="1" x14ac:dyDescent="0.35">
      <c r="A101" s="17"/>
      <c r="B101" s="17"/>
      <c r="C101" s="17"/>
      <c r="D101" s="85"/>
      <c r="E101" s="85"/>
      <c r="F101" s="85"/>
      <c r="G101" s="85"/>
      <c r="H101" s="11"/>
      <c r="I101" s="11"/>
      <c r="J101" s="11"/>
      <c r="K101" s="11"/>
      <c r="L101" s="11"/>
    </row>
    <row r="102" spans="1:12" s="15" customFormat="1" x14ac:dyDescent="0.35">
      <c r="A102" s="17"/>
      <c r="B102" s="17"/>
      <c r="C102" s="17"/>
      <c r="D102" s="85"/>
      <c r="E102" s="85"/>
      <c r="F102" s="85"/>
      <c r="G102" s="85"/>
      <c r="H102" s="11"/>
      <c r="I102" s="11"/>
      <c r="J102" s="11"/>
      <c r="K102" s="11"/>
      <c r="L102" s="11"/>
    </row>
    <row r="103" spans="1:12" s="15" customFormat="1" x14ac:dyDescent="0.35">
      <c r="A103" s="17"/>
      <c r="B103" s="17"/>
      <c r="C103" s="17"/>
      <c r="D103" s="85"/>
      <c r="E103" s="85"/>
      <c r="F103" s="85"/>
      <c r="G103" s="85"/>
      <c r="H103" s="11"/>
      <c r="I103" s="11"/>
      <c r="J103" s="11"/>
      <c r="K103" s="11"/>
      <c r="L103" s="11"/>
    </row>
    <row r="104" spans="1:12" s="15" customFormat="1" x14ac:dyDescent="0.35">
      <c r="A104" s="17"/>
      <c r="B104" s="17"/>
      <c r="C104" s="17"/>
      <c r="D104" s="85"/>
      <c r="E104" s="85"/>
      <c r="F104" s="85"/>
      <c r="G104" s="85"/>
      <c r="H104" s="11"/>
      <c r="I104" s="11"/>
      <c r="J104" s="11"/>
      <c r="K104" s="11"/>
      <c r="L104" s="11"/>
    </row>
    <row r="105" spans="1:12" x14ac:dyDescent="0.35">
      <c r="A105" s="14" t="s">
        <v>37</v>
      </c>
      <c r="B105" s="14" t="s">
        <v>33</v>
      </c>
      <c r="C105" s="14" t="s">
        <v>35</v>
      </c>
      <c r="D105" s="14" t="s">
        <v>31</v>
      </c>
      <c r="E105" s="14"/>
      <c r="F105" s="14"/>
      <c r="G105" s="14"/>
      <c r="H105" s="14"/>
      <c r="I105" s="14"/>
      <c r="J105" s="14"/>
      <c r="K105" s="14"/>
      <c r="L105" s="14"/>
    </row>
    <row r="106" spans="1:12" s="15" customFormat="1" x14ac:dyDescent="0.35">
      <c r="A106" s="17"/>
      <c r="B106" s="17"/>
      <c r="C106" s="17"/>
      <c r="D106" s="85"/>
      <c r="E106" s="16"/>
      <c r="F106" s="16"/>
      <c r="G106" s="16"/>
      <c r="H106" s="16"/>
      <c r="I106" s="11"/>
      <c r="J106" s="11"/>
      <c r="K106" s="11"/>
      <c r="L106" s="11"/>
    </row>
    <row r="107" spans="1:12" s="15" customFormat="1" x14ac:dyDescent="0.35">
      <c r="A107" s="17"/>
      <c r="B107" s="17"/>
      <c r="C107" s="17"/>
      <c r="D107" s="85"/>
      <c r="E107" s="16"/>
      <c r="F107" s="16"/>
      <c r="G107" s="16"/>
      <c r="H107" s="16"/>
      <c r="I107" s="11"/>
      <c r="J107" s="11"/>
      <c r="K107" s="11"/>
      <c r="L107" s="11"/>
    </row>
    <row r="108" spans="1:12" s="15" customFormat="1" x14ac:dyDescent="0.35">
      <c r="A108" s="17"/>
      <c r="B108" s="17"/>
      <c r="C108" s="17"/>
      <c r="D108" s="85"/>
      <c r="E108" s="16"/>
      <c r="F108" s="16"/>
      <c r="G108" s="16"/>
      <c r="H108" s="16"/>
      <c r="I108" s="11"/>
      <c r="J108" s="11"/>
      <c r="K108" s="11"/>
      <c r="L108" s="11"/>
    </row>
    <row r="109" spans="1:12" s="15" customFormat="1" x14ac:dyDescent="0.35">
      <c r="A109" s="17"/>
      <c r="B109" s="17"/>
      <c r="C109" s="17"/>
      <c r="D109" s="85"/>
      <c r="E109" s="16"/>
      <c r="F109" s="16"/>
      <c r="G109" s="16"/>
      <c r="H109" s="16"/>
      <c r="I109" s="11"/>
      <c r="J109" s="11"/>
      <c r="K109" s="11"/>
      <c r="L109" s="11"/>
    </row>
    <row r="110" spans="1:12" s="15" customFormat="1" x14ac:dyDescent="0.35">
      <c r="A110" s="17"/>
      <c r="B110" s="17"/>
      <c r="C110" s="17"/>
      <c r="D110" s="85"/>
      <c r="E110" s="16"/>
      <c r="F110" s="16"/>
      <c r="G110" s="16"/>
      <c r="H110" s="16"/>
      <c r="I110" s="11"/>
      <c r="J110" s="11"/>
      <c r="K110" s="11"/>
      <c r="L110" s="11"/>
    </row>
    <row r="111" spans="1:12" x14ac:dyDescent="0.35">
      <c r="A111" s="14" t="s">
        <v>36</v>
      </c>
      <c r="B111" s="14" t="s">
        <v>33</v>
      </c>
      <c r="C111" s="14" t="s">
        <v>35</v>
      </c>
      <c r="D111" s="14" t="s">
        <v>31</v>
      </c>
      <c r="E111" s="14"/>
      <c r="F111" s="14"/>
      <c r="G111" s="14"/>
      <c r="H111" s="14"/>
      <c r="I111" s="14"/>
      <c r="J111" s="14"/>
      <c r="K111" s="14"/>
      <c r="L111" s="14"/>
    </row>
    <row r="112" spans="1:12" s="15" customFormat="1" x14ac:dyDescent="0.35">
      <c r="A112" s="17"/>
      <c r="B112" s="17"/>
      <c r="C112" s="17"/>
      <c r="D112" s="85"/>
      <c r="E112" s="16"/>
      <c r="F112" s="16"/>
      <c r="G112" s="16"/>
      <c r="H112" s="16"/>
      <c r="I112" s="11"/>
      <c r="J112" s="11"/>
      <c r="K112" s="11"/>
      <c r="L112" s="11"/>
    </row>
    <row r="113" spans="1:12" s="15" customFormat="1" x14ac:dyDescent="0.35">
      <c r="A113" s="17"/>
      <c r="B113" s="17"/>
      <c r="C113" s="17"/>
      <c r="D113" s="85"/>
      <c r="E113" s="16"/>
      <c r="F113" s="16"/>
      <c r="G113" s="16"/>
      <c r="H113" s="16"/>
      <c r="I113" s="11"/>
      <c r="J113" s="11"/>
      <c r="K113" s="11"/>
      <c r="L113" s="11"/>
    </row>
    <row r="114" spans="1:12" s="15" customFormat="1" x14ac:dyDescent="0.35">
      <c r="A114" s="17"/>
      <c r="B114" s="17"/>
      <c r="C114" s="17"/>
      <c r="D114" s="85"/>
      <c r="E114" s="16"/>
      <c r="F114" s="16"/>
      <c r="G114" s="16"/>
      <c r="H114" s="16"/>
      <c r="I114" s="11"/>
      <c r="J114" s="11"/>
      <c r="K114" s="11"/>
      <c r="L114" s="11"/>
    </row>
    <row r="115" spans="1:12" s="15" customFormat="1" x14ac:dyDescent="0.35">
      <c r="A115" s="17"/>
      <c r="B115" s="17"/>
      <c r="C115" s="17"/>
      <c r="D115" s="85"/>
      <c r="E115" s="16"/>
      <c r="F115" s="16"/>
      <c r="G115" s="16"/>
      <c r="H115" s="16"/>
      <c r="I115" s="11"/>
      <c r="J115" s="11"/>
      <c r="K115" s="11"/>
      <c r="L115" s="11"/>
    </row>
    <row r="116" spans="1:12" s="15" customFormat="1" x14ac:dyDescent="0.35">
      <c r="A116" s="17"/>
      <c r="B116" s="17"/>
      <c r="C116" s="17"/>
      <c r="D116" s="85"/>
      <c r="E116" s="16"/>
      <c r="F116" s="16"/>
      <c r="G116" s="16"/>
      <c r="H116" s="16"/>
      <c r="I116" s="11"/>
      <c r="J116" s="11"/>
      <c r="K116" s="11"/>
      <c r="L116" s="11"/>
    </row>
    <row r="117" spans="1:12" x14ac:dyDescent="0.35">
      <c r="A117" s="14" t="s">
        <v>34</v>
      </c>
      <c r="B117" s="14" t="s">
        <v>33</v>
      </c>
      <c r="C117" s="14" t="s">
        <v>32</v>
      </c>
      <c r="D117" s="14" t="s">
        <v>31</v>
      </c>
      <c r="E117" s="14" t="s">
        <v>30</v>
      </c>
      <c r="F117" s="14"/>
      <c r="G117" s="14"/>
      <c r="H117" s="14"/>
      <c r="I117" s="14"/>
      <c r="J117" s="14"/>
      <c r="K117" s="14"/>
      <c r="L117" s="14"/>
    </row>
    <row r="118" spans="1:12" s="15" customFormat="1" x14ac:dyDescent="0.35">
      <c r="A118" s="17"/>
      <c r="B118" s="17"/>
      <c r="C118" s="17"/>
      <c r="D118" s="85"/>
      <c r="E118" s="85"/>
      <c r="F118" s="16"/>
      <c r="G118" s="16"/>
      <c r="H118" s="16"/>
      <c r="I118" s="11"/>
      <c r="J118" s="11"/>
      <c r="K118" s="11"/>
      <c r="L118" s="11"/>
    </row>
    <row r="119" spans="1:12" s="15" customFormat="1" x14ac:dyDescent="0.35">
      <c r="A119" s="17"/>
      <c r="B119" s="17"/>
      <c r="C119" s="17"/>
      <c r="D119" s="85"/>
      <c r="E119" s="85"/>
      <c r="F119" s="16"/>
      <c r="G119" s="16"/>
      <c r="H119" s="16"/>
      <c r="I119" s="11"/>
      <c r="J119" s="11"/>
      <c r="K119" s="11"/>
      <c r="L119" s="11"/>
    </row>
    <row r="120" spans="1:12" s="15" customFormat="1" x14ac:dyDescent="0.35">
      <c r="A120" s="17"/>
      <c r="B120" s="17"/>
      <c r="C120" s="17"/>
      <c r="D120" s="85"/>
      <c r="E120" s="85"/>
      <c r="F120" s="16"/>
      <c r="G120" s="16"/>
      <c r="H120" s="16"/>
      <c r="I120" s="11"/>
      <c r="J120" s="11"/>
      <c r="K120" s="11"/>
      <c r="L120" s="11"/>
    </row>
    <row r="121" spans="1:12" s="15" customFormat="1" x14ac:dyDescent="0.35">
      <c r="A121" s="17"/>
      <c r="B121" s="17"/>
      <c r="C121" s="17"/>
      <c r="D121" s="85"/>
      <c r="E121" s="85"/>
      <c r="F121" s="16"/>
      <c r="G121" s="16"/>
      <c r="H121" s="16"/>
      <c r="I121" s="11"/>
      <c r="J121" s="11"/>
      <c r="K121" s="11"/>
      <c r="L121" s="11"/>
    </row>
    <row r="122" spans="1:12" s="15" customFormat="1" x14ac:dyDescent="0.35">
      <c r="A122" s="17"/>
      <c r="B122" s="17"/>
      <c r="C122" s="17"/>
      <c r="D122" s="85"/>
      <c r="E122" s="85"/>
      <c r="F122" s="16"/>
      <c r="G122" s="16"/>
      <c r="H122" s="16"/>
      <c r="I122" s="11"/>
      <c r="J122" s="11"/>
      <c r="K122" s="11"/>
      <c r="L122" s="11"/>
    </row>
    <row r="123" spans="1:12" x14ac:dyDescent="0.35">
      <c r="A123" s="14" t="s">
        <v>29</v>
      </c>
      <c r="B123" s="14" t="s">
        <v>28</v>
      </c>
      <c r="C123" s="14"/>
      <c r="D123" s="14"/>
      <c r="E123" s="14"/>
      <c r="F123" s="14"/>
      <c r="G123" s="14"/>
      <c r="H123" s="14"/>
      <c r="I123" s="14"/>
      <c r="J123" s="14"/>
      <c r="K123" s="14"/>
      <c r="L123" s="14"/>
    </row>
    <row r="124" spans="1:12" x14ac:dyDescent="0.35">
      <c r="A124" s="13" t="s">
        <v>27</v>
      </c>
      <c r="B124" s="13" t="s">
        <v>26</v>
      </c>
      <c r="C124" s="12"/>
      <c r="D124" s="11"/>
      <c r="E124" s="11"/>
      <c r="F124" s="11"/>
      <c r="G124" s="11"/>
      <c r="H124" s="11"/>
      <c r="I124" s="11"/>
      <c r="J124" s="11"/>
      <c r="K124" s="11"/>
      <c r="L124" s="11"/>
    </row>
    <row r="125" spans="1:12" x14ac:dyDescent="0.35">
      <c r="A125" s="14" t="s">
        <v>25</v>
      </c>
      <c r="B125" s="14"/>
      <c r="C125" s="14"/>
      <c r="D125" s="14"/>
      <c r="E125" s="14"/>
      <c r="F125" s="14"/>
      <c r="G125" s="14"/>
      <c r="H125" s="14"/>
      <c r="I125" s="14"/>
      <c r="J125" s="14"/>
      <c r="K125" s="14"/>
      <c r="L125" s="14"/>
    </row>
    <row r="126" spans="1:12" x14ac:dyDescent="0.35">
      <c r="A126" s="13" t="s">
        <v>23</v>
      </c>
      <c r="B126" s="12"/>
      <c r="C126" s="12"/>
      <c r="D126" s="11"/>
      <c r="E126" s="11"/>
      <c r="F126" s="11"/>
      <c r="G126" s="11"/>
      <c r="H126" s="11"/>
      <c r="I126" s="11"/>
      <c r="J126" s="11"/>
      <c r="K126" s="11"/>
      <c r="L126" s="11"/>
    </row>
    <row r="127" spans="1:12" x14ac:dyDescent="0.35">
      <c r="A127" s="14" t="s">
        <v>24</v>
      </c>
      <c r="B127" s="14"/>
      <c r="C127" s="14"/>
      <c r="D127" s="14"/>
      <c r="E127" s="14"/>
      <c r="F127" s="14"/>
      <c r="G127" s="14"/>
      <c r="H127" s="14"/>
      <c r="I127" s="14"/>
      <c r="J127" s="14"/>
      <c r="K127" s="14"/>
      <c r="L127" s="14"/>
    </row>
    <row r="128" spans="1:12" x14ac:dyDescent="0.35">
      <c r="A128" s="13" t="s">
        <v>23</v>
      </c>
      <c r="B128" s="12"/>
      <c r="C128" s="12"/>
      <c r="D128" s="11"/>
      <c r="E128" s="11"/>
      <c r="F128" s="11"/>
      <c r="G128" s="11"/>
      <c r="H128" s="11"/>
      <c r="I128" s="11"/>
      <c r="J128" s="11"/>
      <c r="K128" s="11"/>
      <c r="L128"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66</v>
      </c>
      <c r="E2" s="7" t="s">
        <v>215</v>
      </c>
    </row>
    <row r="3" spans="2:5" x14ac:dyDescent="0.35">
      <c r="B3" t="s">
        <v>15</v>
      </c>
      <c r="C3" t="s">
        <v>16</v>
      </c>
      <c r="D3" t="s">
        <v>67</v>
      </c>
      <c r="E3" t="s">
        <v>16</v>
      </c>
    </row>
    <row r="4" spans="2:5" x14ac:dyDescent="0.35">
      <c r="B4" t="s">
        <v>17</v>
      </c>
      <c r="C4" t="s">
        <v>22</v>
      </c>
      <c r="D4" t="s">
        <v>103</v>
      </c>
      <c r="E4" t="s">
        <v>22</v>
      </c>
    </row>
    <row r="5" spans="2:5" x14ac:dyDescent="0.35">
      <c r="C5" t="s">
        <v>100</v>
      </c>
      <c r="D5" t="s">
        <v>102</v>
      </c>
      <c r="E5" t="s">
        <v>100</v>
      </c>
    </row>
    <row r="6" spans="2:5" x14ac:dyDescent="0.35">
      <c r="C6" t="s">
        <v>101</v>
      </c>
      <c r="E6" t="s">
        <v>101</v>
      </c>
    </row>
    <row r="7" spans="2:5" x14ac:dyDescent="0.35">
      <c r="C7" t="s">
        <v>99</v>
      </c>
      <c r="E7" t="s">
        <v>99</v>
      </c>
    </row>
    <row r="8" spans="2:5" x14ac:dyDescent="0.35">
      <c r="C8" t="s">
        <v>62</v>
      </c>
      <c r="E8" t="s">
        <v>62</v>
      </c>
    </row>
    <row r="9" spans="2:5" x14ac:dyDescent="0.35">
      <c r="C9" t="s">
        <v>116</v>
      </c>
      <c r="E9" t="s">
        <v>116</v>
      </c>
    </row>
    <row r="10" spans="2:5" x14ac:dyDescent="0.35">
      <c r="C10" t="s">
        <v>63</v>
      </c>
      <c r="E10" t="s">
        <v>214</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110</v>
      </c>
      <c r="B1" s="50" t="s">
        <v>111</v>
      </c>
      <c r="C1" s="48" t="s">
        <v>112</v>
      </c>
      <c r="D1" s="48" t="s">
        <v>114</v>
      </c>
    </row>
    <row r="2" spans="1:4" x14ac:dyDescent="0.35">
      <c r="A2" t="s">
        <v>108</v>
      </c>
      <c r="B2" s="49">
        <v>42691</v>
      </c>
      <c r="C2" t="s">
        <v>113</v>
      </c>
      <c r="D2" t="s">
        <v>115</v>
      </c>
    </row>
    <row r="3" spans="1:4" ht="29" x14ac:dyDescent="0.35">
      <c r="A3" t="s">
        <v>109</v>
      </c>
      <c r="B3" s="49">
        <v>42692</v>
      </c>
      <c r="C3" t="s">
        <v>113</v>
      </c>
      <c r="D3" s="7" t="s">
        <v>117</v>
      </c>
    </row>
    <row r="4" spans="1:4" x14ac:dyDescent="0.35">
      <c r="A4" t="s">
        <v>118</v>
      </c>
      <c r="B4" s="49">
        <v>42711</v>
      </c>
      <c r="C4" t="s">
        <v>113</v>
      </c>
      <c r="D4" t="s">
        <v>119</v>
      </c>
    </row>
    <row r="5" spans="1:4" ht="58" x14ac:dyDescent="0.35">
      <c r="A5" t="s">
        <v>120</v>
      </c>
      <c r="B5" s="49">
        <v>42760</v>
      </c>
      <c r="C5" t="s">
        <v>113</v>
      </c>
      <c r="D5" s="7" t="s">
        <v>124</v>
      </c>
    </row>
    <row r="6" spans="1:4" ht="87" x14ac:dyDescent="0.35">
      <c r="A6" t="s">
        <v>126</v>
      </c>
      <c r="B6" s="49">
        <v>42927</v>
      </c>
      <c r="C6" t="s">
        <v>113</v>
      </c>
      <c r="D6" s="7" t="s">
        <v>131</v>
      </c>
    </row>
    <row r="7" spans="1:4" ht="101.5" x14ac:dyDescent="0.35">
      <c r="A7" t="s">
        <v>132</v>
      </c>
      <c r="B7" s="49">
        <v>42936</v>
      </c>
      <c r="C7" t="s">
        <v>113</v>
      </c>
      <c r="D7" s="7" t="s">
        <v>136</v>
      </c>
    </row>
    <row r="8" spans="1:4" x14ac:dyDescent="0.35">
      <c r="A8" t="s">
        <v>137</v>
      </c>
      <c r="B8" s="49">
        <v>43076</v>
      </c>
      <c r="C8" t="s">
        <v>113</v>
      </c>
      <c r="D8" t="s">
        <v>139</v>
      </c>
    </row>
    <row r="9" spans="1:4" ht="29" x14ac:dyDescent="0.35">
      <c r="A9" t="s">
        <v>141</v>
      </c>
      <c r="B9" s="49">
        <v>43117</v>
      </c>
      <c r="C9" t="s">
        <v>113</v>
      </c>
      <c r="D9" s="7" t="s">
        <v>142</v>
      </c>
    </row>
    <row r="10" spans="1:4" ht="58" x14ac:dyDescent="0.35">
      <c r="A10" t="s">
        <v>143</v>
      </c>
      <c r="B10" s="49">
        <v>43348</v>
      </c>
      <c r="C10" t="s">
        <v>113</v>
      </c>
      <c r="D10" s="7" t="s">
        <v>150</v>
      </c>
    </row>
    <row r="11" spans="1:4" ht="72.5" x14ac:dyDescent="0.35">
      <c r="A11" t="s">
        <v>151</v>
      </c>
      <c r="B11" s="49">
        <v>43409</v>
      </c>
      <c r="C11" t="s">
        <v>113</v>
      </c>
      <c r="D11" s="7" t="s">
        <v>161</v>
      </c>
    </row>
    <row r="12" spans="1:4" x14ac:dyDescent="0.35">
      <c r="A12" t="s">
        <v>162</v>
      </c>
      <c r="B12" s="49">
        <v>43669</v>
      </c>
      <c r="C12" t="s">
        <v>113</v>
      </c>
      <c r="D12" s="7" t="s">
        <v>164</v>
      </c>
    </row>
    <row r="13" spans="1:4" ht="72.5" x14ac:dyDescent="0.35">
      <c r="A13" t="s">
        <v>165</v>
      </c>
      <c r="B13" s="49">
        <v>43846</v>
      </c>
      <c r="C13" t="s">
        <v>113</v>
      </c>
      <c r="D13" s="7" t="s">
        <v>181</v>
      </c>
    </row>
    <row r="14" spans="1:4" ht="116" x14ac:dyDescent="0.35">
      <c r="A14" t="s">
        <v>207</v>
      </c>
      <c r="B14" s="49">
        <v>43991</v>
      </c>
      <c r="C14" t="s">
        <v>113</v>
      </c>
      <c r="D14" s="7" t="s">
        <v>212</v>
      </c>
    </row>
    <row r="15" spans="1:4" ht="174" x14ac:dyDescent="0.35">
      <c r="A15" t="s">
        <v>217</v>
      </c>
      <c r="B15" s="49">
        <v>45296</v>
      </c>
      <c r="C15" t="s">
        <v>113</v>
      </c>
      <c r="D15" s="7" t="s">
        <v>240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2024-10-15T15:26:03Z</dcterms:modified>
</cp:coreProperties>
</file>