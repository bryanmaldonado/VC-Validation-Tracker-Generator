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E3AA46AF-DB38-4A06-8CDF-4B8B89C73D04}"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N14" i="2" l="1"/>
  <c r="CJ14" i="2"/>
  <c r="BS22" i="2"/>
  <c r="BS21" i="2"/>
  <c r="BI21" i="2"/>
  <c r="BH21" i="2"/>
  <c r="BD22" i="2"/>
  <c r="BD21" i="2"/>
  <c r="BD20" i="2"/>
  <c r="BD19" i="2"/>
  <c r="BD18" i="2"/>
  <c r="BD14" i="2"/>
  <c r="C7" i="9"/>
  <c r="C6" i="9"/>
  <c r="C5" i="9"/>
  <c r="C4" i="9"/>
  <c r="C3" i="9"/>
  <c r="C2" i="9"/>
  <c r="K6" i="1"/>
  <c r="G6" i="1"/>
  <c r="D11" i="1"/>
  <c r="AC15" i="2" l="1"/>
  <c r="AY15" i="2"/>
  <c r="H15" i="2" s="1"/>
  <c r="I15" i="2"/>
  <c r="AX15" i="2"/>
  <c r="E15" i="2" s="1"/>
  <c r="AU15" i="2"/>
  <c r="AT15" i="2"/>
  <c r="K15" i="2" s="1"/>
  <c r="AQ15" i="2"/>
  <c r="AP15" i="2"/>
  <c r="AO15" i="2"/>
  <c r="AN15" i="2"/>
  <c r="AM15" i="2"/>
  <c r="AL15" i="2"/>
  <c r="AK15" i="2"/>
  <c r="AJ15" i="2"/>
  <c r="AI15" i="2"/>
  <c r="AH15" i="2"/>
  <c r="AG15" i="2"/>
  <c r="AF15" i="2"/>
  <c r="AE15" i="2"/>
  <c r="AD15" i="2"/>
  <c r="AB15" i="2"/>
  <c r="AA15" i="2"/>
  <c r="Z15" i="2"/>
  <c r="V15" i="2"/>
  <c r="U15" i="2"/>
  <c r="T15" i="2"/>
  <c r="S15" i="2"/>
  <c r="R15" i="2"/>
  <c r="Q15" i="2"/>
  <c r="P15" i="2"/>
  <c r="O15" i="2"/>
  <c r="N15" i="2"/>
  <c r="M15" i="2"/>
  <c r="G15" i="2"/>
  <c r="F15" i="2"/>
  <c r="D15" i="2"/>
  <c r="B15" i="2"/>
  <c r="AV15" i="2" l="1"/>
  <c r="AW15" i="2" s="1"/>
  <c r="L15" i="2" l="1"/>
  <c r="V22" i="2" l="1"/>
  <c r="U22" i="2"/>
  <c r="V21" i="2"/>
  <c r="U21" i="2"/>
  <c r="V20" i="2"/>
  <c r="U20" i="2"/>
  <c r="V19" i="2"/>
  <c r="U19" i="2"/>
  <c r="V18" i="2"/>
  <c r="U18" i="2"/>
  <c r="V17" i="2"/>
  <c r="U17" i="2"/>
  <c r="V16" i="2"/>
  <c r="U16" i="2"/>
  <c r="V14" i="2"/>
  <c r="U14" i="2"/>
  <c r="T22" i="2"/>
  <c r="T21" i="2"/>
  <c r="T20" i="2"/>
  <c r="T19" i="2"/>
  <c r="T18" i="2"/>
  <c r="T17" i="2"/>
  <c r="T16" i="2"/>
  <c r="T14" i="2"/>
  <c r="S22" i="2"/>
  <c r="S21" i="2"/>
  <c r="S20" i="2"/>
  <c r="S19" i="2"/>
  <c r="S18" i="2"/>
  <c r="S17" i="2"/>
  <c r="S16" i="2"/>
  <c r="S14" i="2"/>
  <c r="R22" i="2"/>
  <c r="R21" i="2"/>
  <c r="R20" i="2"/>
  <c r="R19" i="2"/>
  <c r="R18" i="2"/>
  <c r="R17" i="2"/>
  <c r="R16" i="2"/>
  <c r="R14" i="2"/>
  <c r="Z22" i="2" l="1"/>
  <c r="Z21" i="2"/>
  <c r="Z20" i="2"/>
  <c r="Z19" i="2"/>
  <c r="Z18" i="2"/>
  <c r="Z17" i="2"/>
  <c r="Z16" i="2"/>
  <c r="Z14" i="2"/>
  <c r="Q22" i="2" l="1"/>
  <c r="Q21" i="2"/>
  <c r="Q20" i="2"/>
  <c r="Q19" i="2"/>
  <c r="Q18" i="2"/>
  <c r="Q17" i="2"/>
  <c r="Q16" i="2"/>
  <c r="Q14" i="2"/>
  <c r="AA22" i="2" l="1"/>
  <c r="AA21" i="2"/>
  <c r="AA20" i="2"/>
  <c r="AA19" i="2"/>
  <c r="AA18" i="2"/>
  <c r="AA17" i="2"/>
  <c r="AA16" i="2"/>
  <c r="AA14" i="2"/>
  <c r="AY12" i="2" l="1"/>
  <c r="L22" i="2" l="1"/>
  <c r="L21" i="2"/>
  <c r="L20" i="2"/>
  <c r="L19" i="2"/>
  <c r="L18" i="2"/>
  <c r="L17" i="2"/>
  <c r="L16" i="2"/>
  <c r="L14" i="2"/>
  <c r="M22" i="2"/>
  <c r="AF22" i="2"/>
  <c r="AF21" i="2"/>
  <c r="AF20" i="2"/>
  <c r="AF19" i="2"/>
  <c r="AF18" i="2"/>
  <c r="AF17" i="2"/>
  <c r="AF16" i="2"/>
  <c r="AF14" i="2"/>
  <c r="AM22" i="2"/>
  <c r="AL22" i="2"/>
  <c r="AK22" i="2"/>
  <c r="AJ22" i="2"/>
  <c r="AI22" i="2"/>
  <c r="AH22" i="2"/>
  <c r="AG22" i="2"/>
  <c r="AE22" i="2"/>
  <c r="AD22" i="2"/>
  <c r="AM21" i="2"/>
  <c r="AL21" i="2"/>
  <c r="AK21" i="2"/>
  <c r="AJ21" i="2"/>
  <c r="AI21" i="2"/>
  <c r="AH21" i="2"/>
  <c r="AG21" i="2"/>
  <c r="AE21" i="2"/>
  <c r="AD21" i="2"/>
  <c r="AM20" i="2"/>
  <c r="AL20" i="2"/>
  <c r="AK20" i="2"/>
  <c r="AJ20" i="2"/>
  <c r="AI20" i="2"/>
  <c r="AH20" i="2"/>
  <c r="AG20" i="2"/>
  <c r="AE20" i="2"/>
  <c r="AD20" i="2"/>
  <c r="AM19" i="2"/>
  <c r="AL19" i="2"/>
  <c r="AK19" i="2"/>
  <c r="AJ19" i="2"/>
  <c r="AI19" i="2"/>
  <c r="AH19" i="2"/>
  <c r="AG19" i="2"/>
  <c r="AE19" i="2"/>
  <c r="AD19" i="2"/>
  <c r="AM18" i="2"/>
  <c r="AL18" i="2"/>
  <c r="AK18" i="2"/>
  <c r="AJ18" i="2"/>
  <c r="AI18" i="2"/>
  <c r="AH18" i="2"/>
  <c r="AG18" i="2"/>
  <c r="AE18" i="2"/>
  <c r="AD18" i="2"/>
  <c r="AM17" i="2"/>
  <c r="AL17" i="2"/>
  <c r="AK17" i="2"/>
  <c r="AJ17" i="2"/>
  <c r="AI17" i="2"/>
  <c r="AH17" i="2"/>
  <c r="AG17" i="2"/>
  <c r="AE17" i="2"/>
  <c r="AD17" i="2"/>
  <c r="AM16" i="2"/>
  <c r="AL16" i="2"/>
  <c r="AK16" i="2"/>
  <c r="AJ16" i="2"/>
  <c r="AI16" i="2"/>
  <c r="AH16" i="2"/>
  <c r="AG16" i="2"/>
  <c r="AE16" i="2"/>
  <c r="AD16" i="2"/>
  <c r="AM14" i="2"/>
  <c r="AL14" i="2"/>
  <c r="AK14" i="2"/>
  <c r="AJ14" i="2"/>
  <c r="AI14" i="2"/>
  <c r="AH14" i="2"/>
  <c r="AG14" i="2"/>
  <c r="AE14" i="2"/>
  <c r="AD14" i="2"/>
  <c r="M14" i="2" l="1"/>
  <c r="M17" i="2"/>
  <c r="M18" i="2"/>
  <c r="M16" i="2"/>
  <c r="M19" i="2"/>
  <c r="M20" i="2"/>
  <c r="M21" i="2"/>
  <c r="AB22" i="2"/>
  <c r="AB21" i="2"/>
  <c r="AB20" i="2"/>
  <c r="AB19" i="2"/>
  <c r="AB18" i="2"/>
  <c r="AB17" i="2"/>
  <c r="AB16" i="2"/>
  <c r="AB14" i="2"/>
  <c r="AT22" i="2" l="1"/>
  <c r="G22" i="2"/>
  <c r="AT21" i="2"/>
  <c r="G21" i="2"/>
  <c r="AT20" i="2"/>
  <c r="G20" i="2"/>
  <c r="AT19" i="2"/>
  <c r="G19" i="2"/>
  <c r="AT18" i="2"/>
  <c r="G18" i="2"/>
  <c r="AT17" i="2"/>
  <c r="G17" i="2"/>
  <c r="AT16" i="2"/>
  <c r="G16" i="2"/>
  <c r="AT14" i="2"/>
  <c r="G14" i="2"/>
  <c r="B22" i="2"/>
  <c r="B21" i="2"/>
  <c r="N22" i="2"/>
  <c r="N21" i="2"/>
  <c r="N20" i="2"/>
  <c r="N19" i="2"/>
  <c r="N18" i="2"/>
  <c r="N17" i="2"/>
  <c r="N16" i="2"/>
  <c r="N14" i="2"/>
  <c r="AC22" i="2" l="1"/>
  <c r="AC21" i="2"/>
  <c r="AC20" i="2"/>
  <c r="AC19" i="2"/>
  <c r="AC18" i="2"/>
  <c r="AC17" i="2"/>
  <c r="AC16" i="2"/>
  <c r="AC14" i="2"/>
  <c r="B20" i="2" l="1"/>
  <c r="B19" i="2"/>
  <c r="B18" i="2"/>
  <c r="B17" i="2"/>
  <c r="B16" i="2"/>
  <c r="B14" i="2"/>
  <c r="D13" i="1"/>
  <c r="O22" i="2" l="1"/>
  <c r="O21" i="2"/>
  <c r="O20" i="2"/>
  <c r="O19" i="2"/>
  <c r="O18" i="2"/>
  <c r="O17" i="2"/>
  <c r="O16" i="2"/>
  <c r="O14" i="2"/>
  <c r="P22" i="2" l="1"/>
  <c r="P21" i="2"/>
  <c r="P20" i="2"/>
  <c r="P19" i="2"/>
  <c r="P18" i="2"/>
  <c r="P17" i="2"/>
  <c r="P16" i="2"/>
  <c r="P14" i="2"/>
  <c r="AN22" i="2" l="1"/>
  <c r="AN21" i="2"/>
  <c r="AN20" i="2"/>
  <c r="AN19" i="2"/>
  <c r="AN18" i="2"/>
  <c r="AN17" i="2"/>
  <c r="AN16" i="2"/>
  <c r="AN14" i="2"/>
  <c r="AO14" i="2" l="1"/>
  <c r="AO22" i="2" l="1"/>
  <c r="AO21" i="2"/>
  <c r="AO20" i="2"/>
  <c r="AO19" i="2"/>
  <c r="AO18" i="2"/>
  <c r="AO17" i="2"/>
  <c r="AO16" i="2"/>
  <c r="V9" i="1"/>
  <c r="U9" i="1"/>
  <c r="T9" i="1"/>
  <c r="S9" i="1"/>
  <c r="AP22" i="2" l="1"/>
  <c r="I22" i="2"/>
  <c r="F22" i="2"/>
  <c r="D22" i="2"/>
  <c r="AP21" i="2"/>
  <c r="I21" i="2"/>
  <c r="F21" i="2"/>
  <c r="D21" i="2"/>
  <c r="AP20" i="2"/>
  <c r="I20" i="2"/>
  <c r="F20" i="2"/>
  <c r="D20" i="2"/>
  <c r="AP19" i="2"/>
  <c r="I19" i="2"/>
  <c r="F19" i="2"/>
  <c r="D19" i="2"/>
  <c r="AP18" i="2"/>
  <c r="I18" i="2"/>
  <c r="F18" i="2"/>
  <c r="D18" i="2"/>
  <c r="AP17" i="2"/>
  <c r="I17" i="2"/>
  <c r="F17" i="2"/>
  <c r="D17" i="2"/>
  <c r="AP16" i="2"/>
  <c r="I16" i="2"/>
  <c r="F16" i="2"/>
  <c r="D16" i="2"/>
  <c r="AP14" i="2"/>
  <c r="I14" i="2"/>
  <c r="F14" i="2"/>
  <c r="D14" i="2"/>
  <c r="G2" i="1" l="1"/>
  <c r="G4" i="1" s="1"/>
  <c r="H4" i="1" s="1"/>
  <c r="R9" i="1" l="1"/>
  <c r="Q9" i="1"/>
  <c r="P9" i="1"/>
  <c r="O9" i="1"/>
  <c r="N9" i="1"/>
  <c r="K16" i="2" l="1"/>
  <c r="K17" i="2"/>
  <c r="K18" i="2"/>
  <c r="K19" i="2"/>
  <c r="K20" i="2"/>
  <c r="K21" i="2"/>
  <c r="K22" i="2"/>
  <c r="K14" i="2"/>
  <c r="AU16" i="2"/>
  <c r="AU17" i="2"/>
  <c r="AU18" i="2"/>
  <c r="AU19" i="2"/>
  <c r="AU20" i="2"/>
  <c r="AU21" i="2"/>
  <c r="AU22" i="2"/>
  <c r="AU14" i="2"/>
  <c r="AV16" i="2" l="1"/>
  <c r="AW16" i="2" s="1"/>
  <c r="AV17" i="2"/>
  <c r="AW17" i="2" s="1"/>
  <c r="AV18" i="2"/>
  <c r="AW18" i="2" s="1"/>
  <c r="AV19" i="2"/>
  <c r="AW19" i="2" s="1"/>
  <c r="AV20" i="2"/>
  <c r="AW20" i="2" s="1"/>
  <c r="AV21" i="2"/>
  <c r="AW21" i="2" s="1"/>
  <c r="AV22" i="2"/>
  <c r="AW22" i="2" s="1"/>
  <c r="AX16" i="2" l="1"/>
  <c r="E16" i="2" s="1"/>
  <c r="AX17" i="2"/>
  <c r="E17" i="2" s="1"/>
  <c r="AX18" i="2"/>
  <c r="E18" i="2" s="1"/>
  <c r="AX19" i="2"/>
  <c r="E19" i="2" s="1"/>
  <c r="AX20" i="2"/>
  <c r="E20" i="2" s="1"/>
  <c r="AX21" i="2"/>
  <c r="E21" i="2" s="1"/>
  <c r="AX22" i="2"/>
  <c r="E22" i="2" s="1"/>
  <c r="AX14" i="2"/>
  <c r="E14" i="2" s="1"/>
  <c r="M9" i="1"/>
  <c r="L9" i="1"/>
  <c r="AQ16" i="2"/>
  <c r="AQ17" i="2"/>
  <c r="AQ18" i="2"/>
  <c r="AQ19" i="2"/>
  <c r="AQ20" i="2"/>
  <c r="AQ21" i="2"/>
  <c r="AQ22" i="2"/>
  <c r="AQ14" i="2"/>
  <c r="AY16" i="2"/>
  <c r="H16" i="2" s="1"/>
  <c r="AY17" i="2"/>
  <c r="H17" i="2" s="1"/>
  <c r="AY18" i="2"/>
  <c r="H18" i="2" s="1"/>
  <c r="AY19" i="2"/>
  <c r="H19" i="2" s="1"/>
  <c r="AY20" i="2"/>
  <c r="H20" i="2" s="1"/>
  <c r="AY21" i="2"/>
  <c r="H21" i="2" s="1"/>
  <c r="AY22" i="2"/>
  <c r="H22" i="2" s="1"/>
  <c r="AY14" i="2"/>
  <c r="H14" i="2" s="1"/>
  <c r="K9" i="1"/>
  <c r="J9" i="1"/>
  <c r="I9" i="1"/>
  <c r="H9" i="1"/>
  <c r="G9" i="1"/>
  <c r="F9" i="1"/>
  <c r="AV14" i="2" l="1"/>
  <c r="AW14" i="2" l="1"/>
</calcChain>
</file>

<file path=xl/sharedStrings.xml><?xml version="1.0" encoding="utf-8"?>
<sst xmlns="http://schemas.openxmlformats.org/spreadsheetml/2006/main" count="470" uniqueCount="309">
  <si>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</si>
  <si>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</si>
  <si>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</si>
  <si>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</si>
  <si>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</si>
  <si>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</si>
  <si>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</si>
  <si>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</si>
  <si>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</si>
  <si>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</si>
  <si>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</si>
  <si>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</si>
  <si>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</si>
  <si>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</si>
  <si>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</si>
  <si>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</si>
  <si>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</si>
  <si>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</si>
  <si>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</si>
  <si>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</si>
  <si>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</si>
  <si>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</si>
  <si>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</si>
  <si>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</si>
  <si>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</si>
  <si>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</si>
  <si>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</si>
  <si>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</si>
  <si>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</si>
  <si>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</si>
  <si>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</si>
  <si>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</si>
  <si>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</si>
  <si>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</si>
  <si>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</si>
  <si>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</si>
  <si>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</si>
  <si>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</si>
  <si>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</si>
  <si>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</si>
  <si>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</si>
  <si>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</si>
  <si>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</si>
  <si>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</si>
  <si>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</si>
  <si>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</si>
  <si>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</si>
  <si>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</si>
  <si>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</si>
  <si>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</si>
  <si>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</si>
  <si>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</si>
  <si>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</si>
  <si>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</si>
  <si>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</si>
  <si>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</si>
  <si>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</si>
  <si>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</si>
  <si>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</si>
  <si>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</si>
  <si>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</si>
  <si>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</si>
  <si>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</si>
  <si>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Q</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</si>
  <si>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</si>
  <si>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</si>
  <si>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</si>
  <si>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</si>
  <si>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</si>
  <si>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</si>
  <si>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</si>
  <si>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</si>
  <si>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</si>
  <si>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</si>
  <si>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</si>
  <si>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</si>
  <si>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</si>
  <si>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</si>
  <si>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</si>
  <si>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</si>
  <si>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</si>
  <si>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</si>
  <si>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</si>
  <si>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</si>
  <si>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BYTE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</si>
  <si>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</si>
  <si>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</si>
  <si>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</si>
  <si>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</si>
  <si>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</si>
  <si>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</si>
  <si>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</si>
  <si>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</si>
  <si>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</si>
  <si>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</si>
  <si>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</si>
  <si>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</si>
  <si>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</si>
  <si>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</si>
  <si>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REAL</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</si>
  <si>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</si>
  <si>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</si>
  <si>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</si>
  <si>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</si>
  <si>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</si>
  <si>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</si>
  <si>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</si>
  <si>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</si>
  <si>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</si>
  <si>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</si>
  <si>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</si>
  <si>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</si>
  <si>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</si>
  <si>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</si>
  <si>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</si>
  <si>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</si>
  <si>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</si>
  <si>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</si>
  <si>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</si>
  <si>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</si>
  <si>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</si>
  <si>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</si>
  <si>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</si>
  <si>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</si>
  <si>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</si>
  <si>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</si>
  <si>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</si>
  <si>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</si>
  <si>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</si>
  <si>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</si>
  <si>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</si>
  <si>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</si>
  <si>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</si>
  <si>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</si>
  <si>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</si>
  <si>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</si>
  <si>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</si>
  <si>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</si>
  <si>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</si>
  <si>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</si>
  <si>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</si>
  <si>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</si>
  <si>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</si>
  <si>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</si>
  <si>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</si>
  <si>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</si>
  <si>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</si>
  <si>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</si>
  <si>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</si>
  <si>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</si>
  <si>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</si>
  <si>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</si>
  <si>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</si>
  <si>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</si>
  <si>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</si>
  <si>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</si>
  <si>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</si>
  <si>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</si>
  <si>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</si>
  <si>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</si>
  <si>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</si>
  <si>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</si>
  <si>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</si>
  <si>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</si>
  <si>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</si>
  <si>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</si>
  <si>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</si>
  <si>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</si>
  <si>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</si>
  <si>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</si>
  <si>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</si>
  <si>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</si>
  <si>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</si>
  <si>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</si>
  <si>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</si>
  <si>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</si>
  <si>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</si>
  <si>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</si>
  <si>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</si>
  <si>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</si>
  <si>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</si>
  <si>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Use this tab as necessary for intermediate data/formulas between the Header and Signals tab.  Name any cells referenced in other sheets using the format 'Prep_XXX'</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</si>
  <si>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</si>
  <si>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</si>
  <si>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</si>
  <si>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</si>
  <si>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</si>
  <si>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</si>
  <si>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</si>
  <si>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</si>
  <si>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</si>
  <si>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</si>
  <si>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</si>
  <si>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</si>
  <si>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</si>
  <si>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</si>
  <si>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</si>
  <si>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</si>
  <si>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</si>
  <si>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</si>
  <si>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</si>
  <si>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</si>
  <si>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</si>
  <si>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</si>
  <si>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</si>
  <si>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</si>
  <si>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</si>
  <si>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</si>
  <si>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</si>
  <si>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</si>
  <si>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</si>
  <si>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</si>
  <si>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</si>
  <si>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</si>
  <si>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</si>
  <si>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</si>
  <si>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</si>
  <si>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</si>
  <si>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</si>
  <si>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</si>
  <si>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</si>
  <si>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</si>
  <si>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</si>
  <si>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</si>
  <si>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</si>
  <si>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</si>
  <si>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</si>
  <si>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</si>
  <si>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</si>
  <si>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</si>
  <si>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</si>
  <si>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</si>
  <si>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</si>
  <si>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</si>
  <si>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</si>
  <si>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</si>
  <si>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</si>
  <si>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</si>
  <si>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</si>
  <si>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</si>
  <si>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</si>
  <si>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</si>
  <si>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</si>
  <si>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</si>
  <si>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</si>
  <si>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Dnet Network</t>
  </si>
  <si>
    <t>&lt;Config7&gt;</t>
  </si>
  <si>
    <t>&lt;Config8&gt;</t>
  </si>
  <si>
    <t>&lt;Config9&gt;</t>
  </si>
  <si>
    <t>AB_RACKx_SLOTa</t>
  </si>
  <si>
    <t>Standard Node</t>
  </si>
  <si>
    <t>Standard Data Word</t>
  </si>
  <si>
    <t>&lt;Config6&gt;</t>
  </si>
  <si>
    <t>Standard Node [*Mapped DINT]</t>
  </si>
  <si>
    <t>SxxRyy</t>
  </si>
  <si>
    <t>51[82]</t>
  </si>
  <si>
    <t>Network Name</t>
  </si>
  <si>
    <t>FANUC</t>
  </si>
  <si>
    <t>PLC Robot Name</t>
  </si>
  <si>
    <t>Safety Node [*Mapped DINT]</t>
  </si>
  <si>
    <t>56[114]</t>
  </si>
  <si>
    <t>STELLANTIS_DN</t>
  </si>
  <si>
    <t>STELLANTIS\Common\ToolPrototype\Robots</t>
  </si>
  <si>
    <t>Safety Module</t>
  </si>
  <si>
    <t>Safety Status Node</t>
  </si>
  <si>
    <t>Safety Status Data Word</t>
  </si>
  <si>
    <t>ProdStart</t>
  </si>
  <si>
    <t>b29</t>
  </si>
  <si>
    <t>PRODUCTION START DI29</t>
  </si>
  <si>
    <t>programEnded</t>
  </si>
  <si>
    <t>StartProgram</t>
  </si>
  <si>
    <t>ProgramNumber</t>
  </si>
  <si>
    <t>From_PLC_ProdStart</t>
  </si>
  <si>
    <t>From_RBT_programEnded</t>
  </si>
  <si>
    <t>STELLANTIS_DN_FANUC_ROBOT_128_BIT_SxxRyy_START.v00</t>
  </si>
  <si>
    <t>StyleNumber</t>
  </si>
  <si>
    <t>OneCycle</t>
  </si>
  <si>
    <t>CEE_Running</t>
  </si>
  <si>
    <t>VC</t>
  </si>
  <si>
    <t>DI[7]</t>
  </si>
  <si>
    <t>From_KEY_StyleNumber</t>
  </si>
  <si>
    <t>From_KEY_OneCycle</t>
  </si>
  <si>
    <t>From_CEE_Running</t>
  </si>
  <si>
    <t>startProgram</t>
  </si>
  <si>
    <t>(Starting Program)</t>
  </si>
  <si>
    <t>programNumber</t>
  </si>
  <si>
    <t>(Program Number)</t>
  </si>
  <si>
    <t>Maintain</t>
  </si>
  <si>
    <t>From_VC_StartProgram</t>
  </si>
  <si>
    <t>From_VC_ProgramNumber</t>
  </si>
  <si>
    <t>To_RBT_startProgram</t>
  </si>
  <si>
    <t>(CEE_StartProgram OR VC_StartProgram) AND (NOT RE(From_RBT_programEnded))</t>
  </si>
  <si>
    <t>To_RBT_programNumber</t>
  </si>
  <si>
    <t>(CEE_ProgramNumber + VC_ProgramNumber) * (NOT RE(From_RBT_programEnded))</t>
  </si>
  <si>
    <t>SCAN</t>
  </si>
  <si>
    <t>SCAN + SCAN_TIME</t>
  </si>
  <si>
    <t>Initiating</t>
  </si>
  <si>
    <t>SCAN &lt; SCAN_LIMIT</t>
  </si>
  <si>
    <t>CEE_ProgramNumber</t>
  </si>
  <si>
    <t>From_CEE_Running * ((Initiating * HOMESTYLE) + (NOT Initiating) * From_KEY_StyleNumber)</t>
  </si>
  <si>
    <t>VC_StartProgram</t>
  </si>
  <si>
    <t>(NOT From_CEE_Running) AND From_VC_StartProgram</t>
  </si>
  <si>
    <t>VC_ProgramNumber</t>
  </si>
  <si>
    <t>(NOT From_CEE_Running) * From_VC_ProgramNumber</t>
  </si>
  <si>
    <t>CEE_StartProgram</t>
  </si>
  <si>
    <t>From_CEE_Running AND From_PLC_ProdStart AND (NOT From_KEY_OneCycle)</t>
  </si>
  <si>
    <t>SCAN_TIME</t>
  </si>
  <si>
    <t>SCAN_LIMIT</t>
  </si>
  <si>
    <t>HOMESTYLE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</si>
</sst>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3">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6">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0" fontId="0" fillId="21" borderId="0" xfId="0" applyFill="1"/>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2" borderId="0" xfId="0" applyFill="1" applyAlignment="1">
      <alignment horizontal="left"/>
    </xf>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184150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188</v>
      </c>
      <c r="G2" s="54" t="str">
        <f ca="1">SUBSTITUTE( LEFT(CELL("filename",A1),FIND("]",CELL("filename",A1))-1),"[","")</f>
        <v>C:\Users\BryanJoseMaldonadoGa\source\repos\VC Validation Tracker Generator\assets\Signal Template - STELLANTIS - DN - Common - Robots - 128 Bit - Common - Start - v00.00.xlsm</v>
      </c>
      <c r="H2" s="54"/>
      <c r="I2" s="54"/>
      <c r="J2" s="54"/>
      <c r="K2" s="54"/>
      <c r="L2" s="54"/>
      <c r="M2" s="54"/>
      <c r="N2" s="54"/>
      <c r="O2" s="54"/>
      <c r="P2" s="54"/>
      <c r="Q2" s="54"/>
      <c r="R2" s="54"/>
      <c r="S2" s="54"/>
      <c r="T2" s="54"/>
      <c r="U2" s="54"/>
      <c r="V2" s="54"/>
    </row>
    <row r="3" spans="2:22" x14ac:dyDescent="0.35">
      <c r="F3" s="23" t="s">
        <v>187</v>
      </c>
      <c r="G3" s="55">
        <v>45580.411481481482</v>
      </c>
      <c r="H3" s="54"/>
      <c r="I3" s="54"/>
      <c r="J3" s="54"/>
      <c r="K3" s="54"/>
      <c r="L3" s="54"/>
      <c r="M3" s="54"/>
      <c r="N3" s="54"/>
      <c r="O3" s="54"/>
      <c r="P3" s="54"/>
      <c r="Q3" s="54"/>
      <c r="R3" s="54"/>
      <c r="S3" s="54"/>
      <c r="T3" s="54"/>
      <c r="U3" s="54"/>
      <c r="V3" s="54"/>
    </row>
    <row r="4" spans="2:22" x14ac:dyDescent="0.35">
      <c r="F4" s="23" t="s">
        <v>215</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128</v>
      </c>
      <c r="G5" s="53" t="s">
        <v>261</v>
      </c>
      <c r="H5" s="53"/>
      <c r="I5" s="53"/>
      <c r="J5" s="23" t="s">
        <v>129</v>
      </c>
      <c r="K5" s="54" t="s">
        <v>274</v>
      </c>
      <c r="L5" s="54"/>
      <c r="M5" s="54"/>
      <c r="N5" s="54"/>
      <c r="O5" s="54"/>
      <c r="P5" s="54"/>
      <c r="Q5" s="54"/>
      <c r="R5" s="54"/>
      <c r="S5" s="54"/>
      <c r="T5" s="54"/>
      <c r="U5" s="54"/>
      <c r="V5" s="54"/>
    </row>
    <row r="6" spans="2:22" x14ac:dyDescent="0.35">
      <c r="F6" s="23" t="s">
        <v>211</v>
      </c>
      <c r="G6" s="53" t="str">
        <f>"ROBOTS\"&amp;Header_LB_Unique_ID</f>
        <v>ROBOTS\SxxRyy</v>
      </c>
      <c r="H6" s="53"/>
      <c r="I6" s="53"/>
      <c r="J6" s="23" t="s">
        <v>185</v>
      </c>
      <c r="K6" s="53" t="str">
        <f>$G$5&amp;"_"&amp;$D$9&amp;"_ROBOT_128_BIT_"&amp;$D$10&amp;"_START.v00"</f>
        <v>STELLANTIS_DN_FANUC_ROBOT_128_BIT_SxxRyy_START.v00</v>
      </c>
      <c r="L6" s="53"/>
      <c r="M6" s="53"/>
      <c r="N6" s="53"/>
      <c r="O6" s="53"/>
      <c r="P6" s="53"/>
      <c r="Q6" s="53"/>
      <c r="R6" s="53"/>
      <c r="S6" s="53"/>
      <c r="T6" s="53"/>
      <c r="U6" s="53"/>
      <c r="V6" s="53"/>
    </row>
    <row r="7" spans="2:22" ht="15" thickBot="1" x14ac:dyDescent="0.4">
      <c r="F7" s="23" t="s">
        <v>210</v>
      </c>
      <c r="G7" s="53" t="s">
        <v>262</v>
      </c>
      <c r="H7" s="53"/>
      <c r="I7" s="53"/>
      <c r="J7" s="23" t="s">
        <v>186</v>
      </c>
      <c r="K7" s="53" t="s">
        <v>182</v>
      </c>
    </row>
    <row r="8" spans="2:22" ht="15" thickBot="1" x14ac:dyDescent="0.4">
      <c r="B8" s="67" t="s">
        <v>219</v>
      </c>
      <c r="F8" s="51"/>
      <c r="G8" s="51"/>
      <c r="H8" s="51"/>
      <c r="I8" s="51"/>
      <c r="J8" s="51"/>
      <c r="K8" s="51"/>
      <c r="L8" s="51"/>
      <c r="M8" s="51"/>
      <c r="N8" s="51"/>
      <c r="O8" s="51"/>
      <c r="P8" s="51"/>
      <c r="Q8" s="51"/>
      <c r="R8" s="51"/>
      <c r="S8" s="51"/>
      <c r="T8" s="51"/>
      <c r="U8" s="51"/>
      <c r="V8" s="51"/>
    </row>
    <row r="9" spans="2:22" ht="15" thickBot="1" x14ac:dyDescent="0.4">
      <c r="B9" s="1" t="s">
        <v>59</v>
      </c>
      <c r="C9" s="69"/>
      <c r="D9" s="22" t="s">
        <v>257</v>
      </c>
      <c r="F9" s="21" t="str">
        <f>$B$10</f>
        <v>LB Unique ID</v>
      </c>
      <c r="G9" s="21" t="str">
        <f>$B$14</f>
        <v>OPC Server</v>
      </c>
      <c r="H9" s="21" t="str">
        <f>$B$15</f>
        <v>PLC Robot Name</v>
      </c>
      <c r="I9" s="21" t="str">
        <f>$B$16</f>
        <v>Dnet Network</v>
      </c>
      <c r="J9" s="21" t="str">
        <f>$B$17</f>
        <v>Safety Node [*Mapped DINT]</v>
      </c>
      <c r="K9" s="21" t="str">
        <f>$B$18</f>
        <v>Standard Node [*Mapped DINT]</v>
      </c>
      <c r="L9" s="21" t="str">
        <f>$B$19</f>
        <v>&lt;Config6&gt;</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58</v>
      </c>
      <c r="C10" s="5"/>
      <c r="D10" s="78" t="s">
        <v>254</v>
      </c>
      <c r="F10" s="70"/>
      <c r="G10" s="71"/>
      <c r="H10" s="71"/>
      <c r="I10" s="71"/>
      <c r="J10" s="71"/>
      <c r="K10" s="71"/>
      <c r="L10" s="71"/>
      <c r="M10" s="71"/>
      <c r="N10" s="71"/>
      <c r="O10" s="71"/>
      <c r="P10" s="71"/>
      <c r="Q10" s="71"/>
      <c r="R10" s="71"/>
      <c r="S10" s="71"/>
      <c r="T10" s="71"/>
      <c r="U10" s="71"/>
      <c r="V10" s="72"/>
    </row>
    <row r="11" spans="2:22" x14ac:dyDescent="0.35">
      <c r="B11" s="2" t="s">
        <v>18</v>
      </c>
      <c r="C11" s="5"/>
      <c r="D11" s="3" t="str">
        <f>$D$10&amp;".LB"</f>
        <v>SxxRyy.LB</v>
      </c>
      <c r="F11" s="73"/>
      <c r="G11" s="18"/>
      <c r="H11" s="18"/>
      <c r="I11" s="18"/>
      <c r="J11" s="18"/>
      <c r="K11" s="18"/>
      <c r="L11" s="18"/>
      <c r="M11" s="18"/>
      <c r="N11" s="18"/>
      <c r="O11" s="18"/>
      <c r="P11" s="18"/>
      <c r="Q11" s="18"/>
      <c r="R11" s="18"/>
      <c r="S11" s="18"/>
      <c r="T11" s="18"/>
      <c r="U11" s="18"/>
      <c r="V11" s="74"/>
    </row>
    <row r="12" spans="2:22" x14ac:dyDescent="0.35">
      <c r="B12" s="2" t="s">
        <v>65</v>
      </c>
      <c r="C12" s="5"/>
      <c r="D12" s="3" t="s">
        <v>66</v>
      </c>
      <c r="F12" s="73"/>
      <c r="G12" s="18"/>
      <c r="H12" s="18"/>
      <c r="I12" s="18"/>
      <c r="J12" s="18"/>
      <c r="K12" s="18"/>
      <c r="L12" s="18"/>
      <c r="M12" s="18"/>
      <c r="N12" s="18"/>
      <c r="O12" s="18"/>
      <c r="P12" s="18"/>
      <c r="Q12" s="18"/>
      <c r="R12" s="18"/>
      <c r="S12" s="18"/>
      <c r="T12" s="18"/>
      <c r="U12" s="18"/>
      <c r="V12" s="74"/>
    </row>
    <row r="13" spans="2:22" x14ac:dyDescent="0.35">
      <c r="B13" s="58" t="s">
        <v>159</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244</v>
      </c>
      <c r="C14" s="5"/>
      <c r="D14" s="78" t="s">
        <v>249</v>
      </c>
      <c r="F14" s="73"/>
      <c r="G14" s="18"/>
      <c r="H14" s="18"/>
      <c r="I14" s="18"/>
      <c r="J14" s="18"/>
      <c r="K14" s="18"/>
      <c r="L14" s="18"/>
      <c r="M14" s="18"/>
      <c r="N14" s="18"/>
      <c r="O14" s="18"/>
      <c r="P14" s="18"/>
      <c r="Q14" s="18"/>
      <c r="R14" s="18"/>
      <c r="S14" s="18"/>
      <c r="T14" s="18"/>
      <c r="U14" s="18"/>
      <c r="V14" s="74"/>
    </row>
    <row r="15" spans="2:22" x14ac:dyDescent="0.35">
      <c r="B15" s="10" t="s">
        <v>258</v>
      </c>
      <c r="C15" s="5"/>
      <c r="D15" s="78" t="s">
        <v>254</v>
      </c>
      <c r="F15" s="73"/>
      <c r="G15" s="18"/>
      <c r="H15" s="18"/>
      <c r="I15" s="18"/>
      <c r="J15" s="18"/>
      <c r="K15" s="18"/>
      <c r="L15" s="18"/>
      <c r="M15" s="18"/>
      <c r="N15" s="18"/>
      <c r="O15" s="18"/>
      <c r="P15" s="18"/>
      <c r="Q15" s="18"/>
      <c r="R15" s="18"/>
      <c r="S15" s="18"/>
      <c r="T15" s="18"/>
      <c r="U15" s="18"/>
      <c r="V15" s="74"/>
    </row>
    <row r="16" spans="2:22" x14ac:dyDescent="0.35">
      <c r="B16" s="10" t="s">
        <v>245</v>
      </c>
      <c r="C16" s="5"/>
      <c r="D16" s="78">
        <v>110</v>
      </c>
      <c r="F16" s="73"/>
      <c r="G16" s="18"/>
      <c r="H16" s="18"/>
      <c r="I16" s="18"/>
      <c r="J16" s="18"/>
      <c r="K16" s="18"/>
      <c r="L16" s="18"/>
      <c r="M16" s="18"/>
      <c r="N16" s="18"/>
      <c r="O16" s="18"/>
      <c r="P16" s="18"/>
      <c r="Q16" s="18"/>
      <c r="R16" s="18"/>
      <c r="S16" s="18"/>
      <c r="T16" s="18"/>
      <c r="U16" s="18"/>
      <c r="V16" s="74"/>
    </row>
    <row r="17" spans="2:22" x14ac:dyDescent="0.35">
      <c r="B17" s="10" t="s">
        <v>259</v>
      </c>
      <c r="C17" s="5"/>
      <c r="D17" s="78" t="s">
        <v>260</v>
      </c>
      <c r="F17" s="73"/>
      <c r="G17" s="18"/>
      <c r="H17" s="18"/>
      <c r="I17" s="18"/>
      <c r="J17" s="18"/>
      <c r="K17" s="18"/>
      <c r="L17" s="18"/>
      <c r="M17" s="18"/>
      <c r="N17" s="18"/>
      <c r="O17" s="18"/>
      <c r="P17" s="18"/>
      <c r="Q17" s="18"/>
      <c r="R17" s="18"/>
      <c r="S17" s="18"/>
      <c r="T17" s="18"/>
      <c r="U17" s="18"/>
      <c r="V17" s="74"/>
    </row>
    <row r="18" spans="2:22" x14ac:dyDescent="0.35">
      <c r="B18" s="10" t="s">
        <v>253</v>
      </c>
      <c r="C18" s="5"/>
      <c r="D18" s="78" t="s">
        <v>255</v>
      </c>
      <c r="F18" s="73"/>
      <c r="G18" s="18"/>
      <c r="H18" s="18"/>
      <c r="I18" s="18"/>
      <c r="J18" s="18"/>
      <c r="K18" s="18"/>
      <c r="L18" s="18"/>
      <c r="M18" s="18"/>
      <c r="N18" s="18"/>
      <c r="O18" s="18"/>
      <c r="P18" s="18"/>
      <c r="Q18" s="18"/>
      <c r="R18" s="18"/>
      <c r="S18" s="18"/>
      <c r="T18" s="18"/>
      <c r="U18" s="18"/>
      <c r="V18" s="74"/>
    </row>
    <row r="19" spans="2:22" x14ac:dyDescent="0.35">
      <c r="B19" s="10" t="s">
        <v>252</v>
      </c>
      <c r="C19" s="5"/>
      <c r="D19" s="78" t="s">
        <v>243</v>
      </c>
      <c r="F19" s="73"/>
      <c r="G19" s="18"/>
      <c r="H19" s="18"/>
      <c r="I19" s="18"/>
      <c r="J19" s="18"/>
      <c r="K19" s="18"/>
      <c r="L19" s="18"/>
      <c r="M19" s="18"/>
      <c r="N19" s="18"/>
      <c r="O19" s="18"/>
      <c r="P19" s="18"/>
      <c r="Q19" s="18"/>
      <c r="R19" s="18"/>
      <c r="S19" s="18"/>
      <c r="T19" s="18"/>
      <c r="U19" s="18"/>
      <c r="V19" s="74"/>
    </row>
    <row r="20" spans="2:22" x14ac:dyDescent="0.35">
      <c r="B20" s="10" t="s">
        <v>246</v>
      </c>
      <c r="C20" s="5"/>
      <c r="D20" s="78" t="s">
        <v>243</v>
      </c>
      <c r="F20" s="73"/>
      <c r="G20" s="18"/>
      <c r="H20" s="18"/>
      <c r="I20" s="18"/>
      <c r="J20" s="18"/>
      <c r="K20" s="18"/>
      <c r="L20" s="18"/>
      <c r="M20" s="18"/>
      <c r="N20" s="18"/>
      <c r="O20" s="18"/>
      <c r="P20" s="18"/>
      <c r="Q20" s="18"/>
      <c r="R20" s="18"/>
      <c r="S20" s="18"/>
      <c r="T20" s="18"/>
      <c r="U20" s="18"/>
      <c r="V20" s="74"/>
    </row>
    <row r="21" spans="2:22" x14ac:dyDescent="0.35">
      <c r="B21" s="10" t="s">
        <v>247</v>
      </c>
      <c r="C21" s="5"/>
      <c r="D21" s="78" t="s">
        <v>243</v>
      </c>
      <c r="F21" s="73"/>
      <c r="G21" s="18"/>
      <c r="H21" s="18"/>
      <c r="I21" s="18"/>
      <c r="J21" s="18"/>
      <c r="K21" s="18"/>
      <c r="L21" s="18"/>
      <c r="M21" s="18"/>
      <c r="N21" s="18"/>
      <c r="O21" s="18"/>
      <c r="P21" s="18"/>
      <c r="Q21" s="18"/>
      <c r="R21" s="18"/>
      <c r="S21" s="18"/>
      <c r="T21" s="18"/>
      <c r="U21" s="18"/>
      <c r="V21" s="74"/>
    </row>
    <row r="22" spans="2:22" x14ac:dyDescent="0.35">
      <c r="B22" s="10" t="s">
        <v>248</v>
      </c>
      <c r="C22" s="5"/>
      <c r="D22" s="78" t="s">
        <v>243</v>
      </c>
      <c r="F22" s="73"/>
      <c r="G22" s="18"/>
      <c r="H22" s="18"/>
      <c r="I22" s="18"/>
      <c r="J22" s="18"/>
      <c r="K22" s="18"/>
      <c r="L22" s="18"/>
      <c r="M22" s="18"/>
      <c r="N22" s="18"/>
      <c r="O22" s="18"/>
      <c r="P22" s="18"/>
      <c r="Q22" s="18"/>
      <c r="R22" s="18"/>
      <c r="S22" s="18"/>
      <c r="T22" s="18"/>
      <c r="U22" s="18"/>
      <c r="V22" s="74"/>
    </row>
    <row r="23" spans="2:22" x14ac:dyDescent="0.35">
      <c r="B23" s="10" t="s">
        <v>124</v>
      </c>
      <c r="C23" s="5"/>
      <c r="D23" s="78" t="s">
        <v>243</v>
      </c>
      <c r="F23" s="73"/>
      <c r="G23" s="18"/>
      <c r="H23" s="18"/>
      <c r="I23" s="18"/>
      <c r="J23" s="18"/>
      <c r="K23" s="18"/>
      <c r="L23" s="18"/>
      <c r="M23" s="18"/>
      <c r="N23" s="18"/>
      <c r="O23" s="18"/>
      <c r="P23" s="18"/>
      <c r="Q23" s="18"/>
      <c r="R23" s="18"/>
      <c r="S23" s="18"/>
      <c r="T23" s="18"/>
      <c r="U23" s="18"/>
      <c r="V23" s="74"/>
    </row>
    <row r="24" spans="2:22" x14ac:dyDescent="0.35">
      <c r="B24" s="10" t="s">
        <v>123</v>
      </c>
      <c r="C24" s="5"/>
      <c r="D24" s="78" t="s">
        <v>243</v>
      </c>
      <c r="F24" s="73"/>
      <c r="G24" s="18"/>
      <c r="H24" s="18"/>
      <c r="I24" s="18"/>
      <c r="J24" s="18"/>
      <c r="K24" s="18"/>
      <c r="L24" s="18"/>
      <c r="M24" s="18"/>
      <c r="N24" s="18"/>
      <c r="O24" s="18"/>
      <c r="P24" s="18"/>
      <c r="Q24" s="18"/>
      <c r="R24" s="18"/>
      <c r="S24" s="18"/>
      <c r="T24" s="18"/>
      <c r="U24" s="18"/>
      <c r="V24" s="74"/>
    </row>
    <row r="25" spans="2:22" x14ac:dyDescent="0.35">
      <c r="B25" s="10" t="s">
        <v>122</v>
      </c>
      <c r="C25" s="5"/>
      <c r="D25" s="78" t="s">
        <v>243</v>
      </c>
      <c r="F25" s="73"/>
      <c r="G25" s="18"/>
      <c r="H25" s="18"/>
      <c r="I25" s="18"/>
      <c r="J25" s="18"/>
      <c r="K25" s="18"/>
      <c r="L25" s="18"/>
      <c r="M25" s="18"/>
      <c r="N25" s="18"/>
      <c r="O25" s="18"/>
      <c r="P25" s="18"/>
      <c r="Q25" s="18"/>
      <c r="R25" s="18"/>
      <c r="S25" s="18"/>
      <c r="T25" s="18"/>
      <c r="U25" s="18"/>
      <c r="V25" s="74"/>
    </row>
    <row r="26" spans="2:22" x14ac:dyDescent="0.35">
      <c r="B26" s="10" t="s">
        <v>145</v>
      </c>
      <c r="C26" s="5"/>
      <c r="D26" s="78" t="s">
        <v>243</v>
      </c>
      <c r="F26" s="73"/>
      <c r="G26" s="18"/>
      <c r="H26" s="18"/>
      <c r="I26" s="18"/>
      <c r="J26" s="18"/>
      <c r="K26" s="18"/>
      <c r="L26" s="18"/>
      <c r="M26" s="18"/>
      <c r="N26" s="18"/>
      <c r="O26" s="18"/>
      <c r="P26" s="18"/>
      <c r="Q26" s="18"/>
      <c r="R26" s="18"/>
      <c r="S26" s="18"/>
      <c r="T26" s="18"/>
      <c r="U26" s="18"/>
      <c r="V26" s="74"/>
    </row>
    <row r="27" spans="2:22" x14ac:dyDescent="0.35">
      <c r="B27" s="10" t="s">
        <v>146</v>
      </c>
      <c r="C27" s="5"/>
      <c r="D27" s="78" t="s">
        <v>243</v>
      </c>
      <c r="F27" s="73"/>
      <c r="G27" s="18"/>
      <c r="H27" s="18"/>
      <c r="I27" s="18"/>
      <c r="J27" s="18"/>
      <c r="K27" s="18"/>
      <c r="L27" s="18"/>
      <c r="M27" s="18"/>
      <c r="N27" s="18"/>
      <c r="O27" s="18"/>
      <c r="P27" s="18"/>
      <c r="Q27" s="18"/>
      <c r="R27" s="18"/>
      <c r="S27" s="18"/>
      <c r="T27" s="18"/>
      <c r="U27" s="18"/>
      <c r="V27" s="74"/>
    </row>
    <row r="28" spans="2:22" x14ac:dyDescent="0.35">
      <c r="B28" s="10" t="s">
        <v>147</v>
      </c>
      <c r="C28" s="5"/>
      <c r="D28" s="78" t="s">
        <v>243</v>
      </c>
      <c r="F28" s="73"/>
      <c r="G28" s="18"/>
      <c r="H28" s="18"/>
      <c r="I28" s="18"/>
      <c r="J28" s="18"/>
      <c r="K28" s="18"/>
      <c r="L28" s="18"/>
      <c r="M28" s="18"/>
      <c r="N28" s="18"/>
      <c r="O28" s="18"/>
      <c r="P28" s="18"/>
      <c r="Q28" s="18"/>
      <c r="R28" s="18"/>
      <c r="S28" s="18"/>
      <c r="T28" s="18"/>
      <c r="U28" s="18"/>
      <c r="V28" s="74"/>
    </row>
    <row r="29" spans="2:22" ht="15" thickBot="1" x14ac:dyDescent="0.4">
      <c r="B29" s="24" t="s">
        <v>148</v>
      </c>
      <c r="C29" s="6"/>
      <c r="D29" s="79" t="s">
        <v>243</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A1:C7"/>
  <sheetViews>
    <sheetView workbookViewId="0"/>
  </sheetViews>
  <sheetFormatPr defaultRowHeight="14.5" x14ac:dyDescent="0.35"/>
  <cols>
    <col min="2" max="2" width="22.54296875" bestFit="1" customWidth="1"/>
    <col min="3" max="3" width="11.1796875" bestFit="1" customWidth="1"/>
  </cols>
  <sheetData>
    <row r="1" spans="1:3" x14ac:dyDescent="0.35">
      <c r="A1" t="s">
        <v>181</v>
      </c>
    </row>
    <row r="2" spans="1:3" x14ac:dyDescent="0.35">
      <c r="B2" s="81" t="s">
        <v>263</v>
      </c>
      <c r="C2" s="85" t="str">
        <f>"DNS"&amp;Header_Config03&amp;"N"&amp;C4</f>
        <v>DNS110N56</v>
      </c>
    </row>
    <row r="3" spans="1:3" x14ac:dyDescent="0.35">
      <c r="B3" s="81" t="s">
        <v>256</v>
      </c>
      <c r="C3" s="85" t="str">
        <f>IF(ROUNDDOWN(Header_Config03,-2)=100,"Local",IF(ROUNDDOWN(Header_Config03,-2)&gt;=200,"ENBT"&amp;ROUNDDOWN(Header_Config03,-2),"&lt;invalid network&gt;"))&amp;":"&amp;VALUE(RIGHT(Header_Config03,2))</f>
        <v>Local:10</v>
      </c>
    </row>
    <row r="4" spans="1:3" x14ac:dyDescent="0.35">
      <c r="B4" s="81" t="s">
        <v>264</v>
      </c>
      <c r="C4" s="85" t="str">
        <f>IF(ISNUMBER(FIND("[",Header_Config04)),LEFT(Header_Config04,FIND("[",Header_Config04)-1),Header_Config04)</f>
        <v>56</v>
      </c>
    </row>
    <row r="5" spans="1:3" x14ac:dyDescent="0.35">
      <c r="B5" s="81" t="s">
        <v>265</v>
      </c>
      <c r="C5" s="85" t="str">
        <f>IF(ISNUMBER(FIND("[",Header_Config04)),MID(Header_Config04,FIND("[",Header_Config04)+1,FIND("]",Header_Config04)-FIND("[",Header_Config04)-1),Header_Config04*2)</f>
        <v>114</v>
      </c>
    </row>
    <row r="6" spans="1:3" x14ac:dyDescent="0.35">
      <c r="B6" s="81" t="s">
        <v>250</v>
      </c>
      <c r="C6" s="85" t="str">
        <f>IF(ISNUMBER(FIND("[",Header_Config05)),LEFT(Header_Config05,FIND("[",Header_Config05)-1),Header_Config05)</f>
        <v>51</v>
      </c>
    </row>
    <row r="7" spans="1:3" x14ac:dyDescent="0.35">
      <c r="B7" s="81" t="s">
        <v>251</v>
      </c>
      <c r="C7" s="85" t="str">
        <f>IF(ISNUMBER(FIND("[",Header_Config05)),MID(Header_Config05,FIND("[",Header_Config05)+1,FIND("]",Header_Config05)-FIND("[",Header_Config05)-1),Header_Config05*2)</f>
        <v>82</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23"/>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87</v>
      </c>
    </row>
    <row r="3" spans="2:96" x14ac:dyDescent="0.35">
      <c r="CO3" t="s">
        <v>91</v>
      </c>
    </row>
    <row r="4" spans="2:96" x14ac:dyDescent="0.35">
      <c r="B4" t="s">
        <v>176</v>
      </c>
      <c r="D4" t="s">
        <v>189</v>
      </c>
      <c r="E4" t="s">
        <v>179</v>
      </c>
      <c r="CO4" s="39" t="s">
        <v>90</v>
      </c>
    </row>
    <row r="5" spans="2:96" x14ac:dyDescent="0.35">
      <c r="B5" t="s">
        <v>171</v>
      </c>
      <c r="D5" t="s">
        <v>174</v>
      </c>
      <c r="E5" t="s">
        <v>173</v>
      </c>
      <c r="CO5" s="39" t="s">
        <v>89</v>
      </c>
    </row>
    <row r="6" spans="2:96" x14ac:dyDescent="0.35">
      <c r="B6" t="s">
        <v>168</v>
      </c>
      <c r="D6" t="s">
        <v>170</v>
      </c>
      <c r="E6" t="s">
        <v>172</v>
      </c>
      <c r="CO6" t="s">
        <v>88</v>
      </c>
    </row>
    <row r="7" spans="2:96" x14ac:dyDescent="0.35">
      <c r="B7" t="s">
        <v>169</v>
      </c>
      <c r="D7" t="s">
        <v>175</v>
      </c>
      <c r="E7" t="s">
        <v>180</v>
      </c>
    </row>
    <row r="8" spans="2:96" x14ac:dyDescent="0.35">
      <c r="B8" t="s">
        <v>222</v>
      </c>
      <c r="D8" t="s">
        <v>177</v>
      </c>
      <c r="E8" t="s">
        <v>178</v>
      </c>
      <c r="CB8" s="9" t="s">
        <v>92</v>
      </c>
      <c r="CO8" s="9" t="s">
        <v>92</v>
      </c>
    </row>
    <row r="9" spans="2:96" x14ac:dyDescent="0.35">
      <c r="B9" t="s">
        <v>223</v>
      </c>
      <c r="D9" t="s">
        <v>224</v>
      </c>
      <c r="E9" t="s">
        <v>225</v>
      </c>
    </row>
    <row r="10" spans="2:96" x14ac:dyDescent="0.35">
      <c r="CB10" t="s">
        <v>107</v>
      </c>
      <c r="CO10" t="s">
        <v>78</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108</v>
      </c>
      <c r="CE11" t="s">
        <v>85</v>
      </c>
      <c r="CO11" t="s">
        <v>79</v>
      </c>
      <c r="CR11" t="s">
        <v>85</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82</v>
      </c>
      <c r="AY12">
        <f>COLUMN()</f>
        <v>51</v>
      </c>
      <c r="BB12" s="47" t="s">
        <v>86</v>
      </c>
      <c r="BY12" s="47" t="s">
        <v>80</v>
      </c>
      <c r="CB12" t="s">
        <v>72</v>
      </c>
      <c r="CE12" t="s">
        <v>67</v>
      </c>
      <c r="CH12" s="47" t="s">
        <v>81</v>
      </c>
      <c r="CO12" t="s">
        <v>72</v>
      </c>
      <c r="CR12" t="s">
        <v>67</v>
      </c>
    </row>
    <row r="13" spans="2:96" ht="101.5" x14ac:dyDescent="0.35">
      <c r="B13" s="61" t="s">
        <v>0</v>
      </c>
      <c r="C13" s="61" t="s">
        <v>1</v>
      </c>
      <c r="D13" s="61" t="s">
        <v>2</v>
      </c>
      <c r="E13" s="61" t="s">
        <v>3</v>
      </c>
      <c r="F13" s="61" t="s">
        <v>4</v>
      </c>
      <c r="G13" s="61" t="s">
        <v>5</v>
      </c>
      <c r="H13" s="61" t="s">
        <v>6</v>
      </c>
      <c r="I13" s="61" t="s">
        <v>7</v>
      </c>
      <c r="J13" s="61" t="s">
        <v>8</v>
      </c>
      <c r="K13" s="57" t="s">
        <v>136</v>
      </c>
      <c r="L13" s="57" t="s">
        <v>211</v>
      </c>
      <c r="M13" s="57" t="s">
        <v>210</v>
      </c>
      <c r="N13" s="57" t="s">
        <v>153</v>
      </c>
      <c r="O13" s="57" t="s">
        <v>213</v>
      </c>
      <c r="P13" s="57" t="s">
        <v>154</v>
      </c>
      <c r="Q13" s="57" t="s">
        <v>236</v>
      </c>
      <c r="R13" s="57" t="s">
        <v>237</v>
      </c>
      <c r="S13" s="57" t="s">
        <v>239</v>
      </c>
      <c r="T13" s="57" t="s">
        <v>241</v>
      </c>
      <c r="U13" s="57" t="s">
        <v>231</v>
      </c>
      <c r="V13" s="57" t="s">
        <v>232</v>
      </c>
      <c r="W13" s="57" t="s">
        <v>135</v>
      </c>
      <c r="X13" s="57" t="s">
        <v>135</v>
      </c>
      <c r="Y13" s="57" t="s">
        <v>135</v>
      </c>
      <c r="Z13" s="57" t="s">
        <v>229</v>
      </c>
      <c r="AA13" s="57" t="s">
        <v>221</v>
      </c>
      <c r="AB13" s="57" t="s">
        <v>184</v>
      </c>
      <c r="AC13" s="57" t="s">
        <v>167</v>
      </c>
      <c r="AD13" s="57" t="s">
        <v>164</v>
      </c>
      <c r="AE13" s="57" t="s">
        <v>201</v>
      </c>
      <c r="AF13" s="57" t="s">
        <v>192</v>
      </c>
      <c r="AG13" s="57" t="s">
        <v>202</v>
      </c>
      <c r="AH13" s="57" t="s">
        <v>203</v>
      </c>
      <c r="AI13" s="57" t="s">
        <v>204</v>
      </c>
      <c r="AJ13" s="57" t="s">
        <v>205</v>
      </c>
      <c r="AK13" s="57" t="s">
        <v>206</v>
      </c>
      <c r="AL13" s="57" t="s">
        <v>207</v>
      </c>
      <c r="AM13" s="57" t="s">
        <v>208</v>
      </c>
      <c r="AN13" s="57" t="s">
        <v>155</v>
      </c>
      <c r="AO13" s="57" t="s">
        <v>156</v>
      </c>
      <c r="AP13" s="57" t="s">
        <v>13</v>
      </c>
      <c r="AQ13" s="57" t="s">
        <v>157</v>
      </c>
      <c r="AR13" s="45" t="s">
        <v>19</v>
      </c>
      <c r="AT13" s="33" t="s">
        <v>64</v>
      </c>
      <c r="AU13" s="34" t="s">
        <v>68</v>
      </c>
      <c r="AV13" s="34" t="s">
        <v>83</v>
      </c>
      <c r="AW13" s="34" t="s">
        <v>71</v>
      </c>
      <c r="AX13" s="34" t="s">
        <v>69</v>
      </c>
      <c r="AY13" s="35" t="s">
        <v>70</v>
      </c>
      <c r="AZ13" s="62" t="s">
        <v>141</v>
      </c>
      <c r="BA13" s="62" t="s">
        <v>141</v>
      </c>
      <c r="BB13" s="25" t="s">
        <v>14</v>
      </c>
      <c r="BC13" s="26" t="s">
        <v>13</v>
      </c>
      <c r="BD13" s="27" t="s">
        <v>226</v>
      </c>
      <c r="BE13" s="27" t="s">
        <v>134</v>
      </c>
      <c r="BF13" s="27" t="s">
        <v>227</v>
      </c>
      <c r="BG13" s="27" t="s">
        <v>238</v>
      </c>
      <c r="BH13" s="27" t="s">
        <v>235</v>
      </c>
      <c r="BI13" s="27" t="s">
        <v>240</v>
      </c>
      <c r="BJ13" s="27" t="s">
        <v>230</v>
      </c>
      <c r="BK13" s="27" t="s">
        <v>234</v>
      </c>
      <c r="BL13" s="27" t="s">
        <v>233</v>
      </c>
      <c r="BM13" s="27" t="s">
        <v>135</v>
      </c>
      <c r="BN13" s="27" t="s">
        <v>135</v>
      </c>
      <c r="BO13" s="27" t="s">
        <v>135</v>
      </c>
      <c r="BP13" s="27" t="s">
        <v>228</v>
      </c>
      <c r="BQ13" s="27" t="s">
        <v>220</v>
      </c>
      <c r="BR13" s="27" t="s">
        <v>150</v>
      </c>
      <c r="BS13" s="27" t="s">
        <v>149</v>
      </c>
      <c r="BT13" s="27" t="s">
        <v>139</v>
      </c>
      <c r="BU13" s="27" t="s">
        <v>218</v>
      </c>
      <c r="BV13" s="46" t="s">
        <v>131</v>
      </c>
      <c r="BW13" s="62" t="s">
        <v>141</v>
      </c>
      <c r="BX13" s="62" t="s">
        <v>141</v>
      </c>
      <c r="BY13" s="43" t="s">
        <v>95</v>
      </c>
      <c r="BZ13" s="28" t="s">
        <v>96</v>
      </c>
      <c r="CA13" s="28" t="s">
        <v>97</v>
      </c>
      <c r="CB13" s="43" t="s">
        <v>105</v>
      </c>
      <c r="CC13" s="28" t="s">
        <v>106</v>
      </c>
      <c r="CD13" s="28" t="s">
        <v>10</v>
      </c>
      <c r="CE13" s="31" t="s">
        <v>11</v>
      </c>
      <c r="CF13" s="62" t="s">
        <v>141</v>
      </c>
      <c r="CG13" s="62" t="s">
        <v>141</v>
      </c>
      <c r="CH13" s="41" t="s">
        <v>93</v>
      </c>
      <c r="CI13" s="29" t="s">
        <v>94</v>
      </c>
      <c r="CJ13" s="29" t="s">
        <v>74</v>
      </c>
      <c r="CK13" s="29" t="s">
        <v>75</v>
      </c>
      <c r="CL13" s="29" t="s">
        <v>126</v>
      </c>
      <c r="CM13" s="29" t="s">
        <v>76</v>
      </c>
      <c r="CN13" s="32" t="s">
        <v>77</v>
      </c>
      <c r="CO13" s="37" t="s">
        <v>9</v>
      </c>
      <c r="CP13" s="37" t="s">
        <v>10</v>
      </c>
      <c r="CQ13" s="37"/>
      <c r="CR13" s="38" t="s">
        <v>11</v>
      </c>
    </row>
    <row r="14" spans="2:96" x14ac:dyDescent="0.35">
      <c r="B14" s="4" t="str">
        <f t="shared" ref="B14" si="0">IF(LEN(BT14)=0,Header_LB_Name,"&lt;BLANK&gt;")</f>
        <v>SxxRyy.LB</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From_PLC_ProdStart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Local:10:O.Data[82].28</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&lt;O0110N51.b29&gt; - PRODUCTION START DI29</v>
      </c>
      <c r="I14" s="4" t="str">
        <f>IF(OR(BC14="PLC",BC14="PSF"),BD14,IF(AND(BC14="CUSTOM",BF14&lt;&gt;""),BF14,""))</f>
        <v>AB_RACKx_SLOTa</v>
      </c>
      <c r="J14" s="4"/>
      <c r="K14" s="56" t="str">
        <f>AT14</f>
        <v>BOOL</v>
      </c>
      <c r="L14" s="56" t="str">
        <f t="shared" ref="L14:L15" si="4">Header_Resource_Compound</f>
        <v>ROBOTS\SxxRyy</v>
      </c>
      <c r="M14" s="56" t="str">
        <f t="shared" ref="M14:M15" si="5">Header_Sysroot_Folder</f>
        <v>STELLANTIS\Common\ToolPrototype\Robots</v>
      </c>
      <c r="N14" s="56" t="str">
        <f t="shared" ref="N14:N15" si="6">Header_COJT_Full_Name</f>
        <v>STELLANTIS_DN_FANUC_ROBOT_128_BIT_SxxRyy_START.v00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15" si="9">IF(Header_COJT_Type_Definition="","ToolPrototype",Header_COJT_Type_Definition)</f>
        <v>ToolPrototype</v>
      </c>
      <c r="AC14" s="56" t="str">
        <f>IF(ISBLANK(BT14),"","Optional")</f>
        <v/>
      </c>
      <c r="AD14" s="56" t="str">
        <f t="shared" ref="AD14:AD15" si="10">IF(Export_VC_Forms="","",Export_VC_Forms)</f>
        <v/>
      </c>
      <c r="AE14" s="56" t="str">
        <f t="shared" ref="AE14:AE15" si="11">IF(Export_Setup_Tracker="","",Export_Setup_Tracker)</f>
        <v/>
      </c>
      <c r="AF14" s="56" t="str">
        <f t="shared" ref="AF14:AF15" si="12">IF(Export_Validation_Tracker="","",Export_Validation_Tracker)</f>
        <v/>
      </c>
      <c r="AG14" s="56" t="str">
        <f t="shared" ref="AG14:AG15" si="13">IF(Export_Spare_04="","",Export_Spare_04)</f>
        <v/>
      </c>
      <c r="AH14" s="56" t="str">
        <f t="shared" ref="AH14:AH15" si="14">IF(Export_Spare_05="","",Export_Spare_05)</f>
        <v/>
      </c>
      <c r="AI14" s="56" t="str">
        <f t="shared" ref="AI14:AI15" si="15">IF(Export_Spare_06="","",Export_Spare_06)</f>
        <v/>
      </c>
      <c r="AJ14" s="56" t="str">
        <f t="shared" ref="AJ14:AJ15" si="16">IF(Export_Spare_07="","",Export_Spare_07)</f>
        <v/>
      </c>
      <c r="AK14" s="56" t="str">
        <f t="shared" ref="AK14:AK15" si="17">IF(Export_Spare_08="","",Export_Spare_08)</f>
        <v/>
      </c>
      <c r="AL14" s="56" t="str">
        <f t="shared" ref="AL14:AL15" si="18">IF(Export_Spare_09="","",Export_Spare_09)</f>
        <v/>
      </c>
      <c r="AM14" s="56" t="str">
        <f t="shared" ref="AM14:AM15" si="19">IF(Export_Spare_10="","",Export_Spare_10)</f>
        <v/>
      </c>
      <c r="AN14" s="56" t="str">
        <f>IF(BR14&lt;&gt;"",BR14,"")</f>
        <v/>
      </c>
      <c r="AO14" s="56" t="str">
        <f>IF(BS14&lt;&gt;"",BS14,"")</f>
        <v/>
      </c>
      <c r="AP14" s="56" t="str">
        <f>IF(BC14&lt;&gt;"CUSTOM",BC14,BU14)</f>
        <v>PLC</v>
      </c>
      <c r="AQ14" s="56" t="str">
        <f>BB14</f>
        <v>ENTRY</v>
      </c>
      <c r="AR14" s="39" t="s">
        <v>130</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Local:10:O.Data[82].28</v>
      </c>
      <c r="AY14" s="36" t="str">
        <f t="shared" ref="AY14" si="25">IF(OR(BC14="PLC",BC14="PSF"),IF(CM14&lt;&gt;"",CM14 &amp; ": &lt;" &amp; CN14&amp;CO14 &amp; "&gt; - ","Controller: &lt;"&amp;CJ14&amp;CK14&amp;"&gt; - "),"")</f>
        <v xml:space="preserve">Controller: &lt;O0110N51.b29&gt; - </v>
      </c>
      <c r="BB14" s="42" t="s">
        <v>15</v>
      </c>
      <c r="BC14" t="s">
        <v>16</v>
      </c>
      <c r="BD14" t="str">
        <f>Header_Config01</f>
        <v>AB_RACKx_SLOTa</v>
      </c>
      <c r="BV14" s="30" t="s">
        <v>266</v>
      </c>
      <c r="BW14" t="s">
        <v>279</v>
      </c>
      <c r="BY14" s="42"/>
      <c r="CB14" s="42"/>
      <c r="CE14" s="30"/>
      <c r="CH14" s="42"/>
      <c r="CJ14" t="str">
        <f>Prep!$C$3&amp;":O.Data["&amp;Prep!$C$7&amp;"]."</f>
        <v>Local:10:O.Data[82].</v>
      </c>
      <c r="CK14">
        <v>28</v>
      </c>
      <c r="CM14" t="s">
        <v>73</v>
      </c>
      <c r="CN14" s="30" t="str">
        <f>"O0"&amp;Header_Config03&amp;"N"&amp;TEXT(Prep!$C$6,"00")&amp;"."</f>
        <v>O0110N51.</v>
      </c>
      <c r="CO14" t="s">
        <v>267</v>
      </c>
      <c r="CP14" t="s">
        <v>12</v>
      </c>
      <c r="CQ14" s="40"/>
      <c r="CR14" s="30" t="s">
        <v>268</v>
      </c>
    </row>
    <row r="15" spans="2:96" x14ac:dyDescent="0.35">
      <c r="B15" s="4" t="str">
        <f t="shared" ref="B15" si="26">IF(LEN(BT15)=0,Header_LB_Name,"&lt;BLANK&gt;")</f>
        <v>SxxRyy.LB</v>
      </c>
      <c r="C15" s="4"/>
      <c r="D15" s="4" t="str">
        <f t="shared" ref="D15" si="27">IF(BC15="CUSTOM",BV15,IF(BB15="ENTRY","From_",IF(BB15="EXIT","To_","&lt;invalid&gt;"))&amp;IF(OR(BC15="RBT",BC15="KEY",BC15="SNS"),IF(BE15="",BC15,BC15&amp;"_"&amp;BE15),IF(BC15="OPR",IF(BE15="",BC15&amp;"_"&amp;BD15,BC15&amp;"_"&amp;BE15),IF(BC15="LBS",IF(BE15="",BD15,BE15),BC15)))&amp;"_"&amp;IF(BC15="OPR",IF(BB15="ENTRY","end",IF(BB15="EXIT","start","&lt;invalid&gt;")),BV15))</f>
        <v>From_KEY_StyleNumber</v>
      </c>
      <c r="E15" s="4" t="str">
        <f t="shared" ref="E15"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StyleNumber</v>
      </c>
      <c r="F15" s="4" t="str">
        <f t="shared" ref="F15" si="29">IF(BC15="CUSTOM",BE15,IF(OR(AND(BB15="ENTRY",OR(BC15="PLC",BC15="PSF")),AND(BB15="EXIT",OR(BC15="RBT",BC15="OPR"))),"Q","I"))</f>
        <v>I</v>
      </c>
      <c r="G15" s="4" t="str">
        <f t="shared" ref="G15" si="30">IF(Header_PLC_Type="S7-ADD",IF(OR(BC15="PSF",BC15="PLC"),IF(BY15&lt;&gt;"",IF(AT15="BOOL",BY15&amp;"."&amp;BZ15,BY15),"&lt;missing&gt;"),""),"")</f>
        <v/>
      </c>
      <c r="H15" s="4" t="str">
        <f t="shared" ref="H15" si="31">IF(OR(BC15="PLC",BC15="PSF"),IF(Header_PLC_Type="CLX",AY15&amp;CR15,IF(LEFT(Header_PLC_Type,2)="S7",AW15&amp;CE15,"&lt;invalid PLC type&gt;")),IF(Header_PLC_Type="CLX",IF(CR15&lt;&gt;"",CR15,""),IF(LEFT(Header_PLC_Type,2)="S7",IF(CE15&lt;&gt;"",CE15,""),"&lt;invalid PLC type&gt;")))</f>
        <v/>
      </c>
      <c r="I15" s="4" t="str">
        <f t="shared" ref="I15" si="32">IF(OR(BC15="PLC",BC15="PSF"),BD15,IF(AND(BC15="CUSTOM",BF15&lt;&gt;""),BF15,""))</f>
        <v/>
      </c>
      <c r="J15" s="4"/>
      <c r="K15" s="56" t="str">
        <f t="shared" ref="K15" si="33">AT15</f>
        <v>BYTE</v>
      </c>
      <c r="L15" s="56" t="str">
        <f t="shared" si="4"/>
        <v>ROBOTS\SxxRyy</v>
      </c>
      <c r="M15" s="56" t="str">
        <f t="shared" si="5"/>
        <v>STELLANTIS\Common\ToolPrototype\Robots</v>
      </c>
      <c r="N15" s="56" t="str">
        <f t="shared" si="6"/>
        <v>STELLANTIS_DN_FANUC_ROBOT_128_BIT_SxxRyy_START.v00</v>
      </c>
      <c r="O15" s="56" t="str">
        <f t="shared" ref="O15" si="34">IF(AND(OR(BC15="SNS",BC15="OPR",BC15="RBT"),BF15&lt;&gt;""),BF15,IF(OR(BC15="PSF",BC15="PLC"),IF(BB15="ENTRY",IF(OR(ISLOGICAL(BF15),ISNUMBER(BF15)),LOWER(TEXT(BF15,"General")),IF((ISTEXT(BF15)),"CEE_To_VC_"&amp;BE15&amp;"_"&amp;BF15,"")),IF((ISTEXT(BF15)),"CEE_From_VC_"&amp;BE15&amp;"_"&amp;BF15,"")),IF(BC15="CUSTOM",IF(BH15&lt;&gt;"",BH15,""),"")))</f>
        <v/>
      </c>
      <c r="P15" s="56" t="str">
        <f t="shared" ref="P15" si="35">IF(OR(BC15="SNS",BC15="OPR"),IF(BG15&lt;&gt;"",BG15,""),IF(BC15="RBT",BD15,IF(BC15="CUSTOM",IF(BG15&lt;&gt;"",BG15,""),"")))</f>
        <v/>
      </c>
      <c r="Q15" s="56" t="str">
        <f t="shared" ref="Q15" si="36">IF(BC15="OPR",IF(BV15&lt;&gt;"",BV15,"NONSIM"),IF(BC15="RBT",IF(BH15&lt;&gt;"",BH15,""),IF(BC15="SNS",IF(BH15&lt;&gt;"",BH15,L15),IF(OR(BC15="PLC",BC15="PSF"),IF(BG15&lt;&gt;"",BG15,""),""))))</f>
        <v/>
      </c>
      <c r="R15" s="56" t="str">
        <f t="shared" ref="R15" si="37">IF(OR(BC15="PLC",BC15="PSF",BC15="OPR"),IF(BH15&lt;&gt;"",BH15,""),IF(BC15="RBT",IF(BI15&lt;&gt;"",BI15,""),IF(BC15="SNS",IF(BI15&lt;&gt;"",BI15,"PHOTOELECTRIC"),"")))</f>
        <v/>
      </c>
      <c r="S15" s="56" t="str">
        <f t="shared" ref="S15" si="38">IF(OR(BC15="PLC",BC15="PSF",BC15="OPR",AND(BC15="CUSTOM",OR(BU15="PLC",BU15="PSF"))),IF(BI15&lt;&gt;"",BI15,""),IF(BC15="SNS",IF(BJ15&lt;&gt;"",BJ15,""),""))</f>
        <v/>
      </c>
      <c r="T15" s="56" t="str">
        <f t="shared" ref="T15" si="39">IF(AND(Header_PLC_Type="CLX",BC15="PSF",BB15="EXIT"),CJ15&amp;CK15,IF(BC15="OPR",IF(BJ15&lt;&gt;"",BJ15,""),""))</f>
        <v/>
      </c>
      <c r="U15" s="56" t="str">
        <f t="shared" ref="U15" si="40">IF(OR(BC15="SNS",BC15="OPR"),IF(BK15&lt;&gt;"",BK15,""),"")</f>
        <v/>
      </c>
      <c r="V15" s="56" t="str">
        <f t="shared" ref="V15" si="41">IF(OR(BC15="SNS",BC15="OPR"),IF(BL15&lt;&gt;"",BL15,""),"")</f>
        <v/>
      </c>
      <c r="W15" s="56"/>
      <c r="X15" s="56"/>
      <c r="Y15" s="56"/>
      <c r="Z15" s="56" t="str">
        <f t="shared" ref="Z15" si="42">IF(BP15="","",BP15)</f>
        <v/>
      </c>
      <c r="AA15" s="56" t="str">
        <f t="shared" ref="AA15" si="43">IF($BQ15="","",$BQ15)</f>
        <v/>
      </c>
      <c r="AB15" s="56" t="str">
        <f t="shared" si="9"/>
        <v>ToolPrototype</v>
      </c>
      <c r="AC15" s="56" t="str">
        <f t="shared" ref="AC15" si="44">IF(ISBLANK(BT15),"","Optional")</f>
        <v/>
      </c>
      <c r="AD15" s="56" t="str">
        <f t="shared" si="10"/>
        <v/>
      </c>
      <c r="AE15" s="56" t="str">
        <f t="shared" si="11"/>
        <v/>
      </c>
      <c r="AF15" s="56" t="str">
        <f t="shared" si="12"/>
        <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 si="45">IF(BR15&lt;&gt;"",BR15,"")</f>
        <v/>
      </c>
      <c r="AO15" s="56" t="str">
        <f t="shared" ref="AO15" si="46">IF(BS15&lt;&gt;"",BS15,"")</f>
        <v/>
      </c>
      <c r="AP15" s="56" t="str">
        <f t="shared" ref="AP15" si="47">IF(BC15&lt;&gt;"CUSTOM",BC15,BU15)</f>
        <v>KEY</v>
      </c>
      <c r="AQ15" s="56" t="str">
        <f t="shared" ref="AQ15" si="48">BB15</f>
        <v>ENTRY</v>
      </c>
      <c r="AR15" s="39" t="s">
        <v>130</v>
      </c>
      <c r="AT15" s="44" t="str">
        <f t="shared" ref="AT15" si="49">IF(Header_PLC_Type="CLX",IF(CP15&lt;&gt;"",CP15,"&lt;noType&gt;"),IF(LEFT(Header_PLC_Type,2)="S7",IF(CD15&lt;&gt;"",CD15,"&lt;noType&gt;"),"&lt;noPLC&gt;"))</f>
        <v>BYTE</v>
      </c>
      <c r="AU15" s="23" t="str">
        <f t="shared" ref="AU15" si="50">IF(OR(BC15="PLC",BC15="PSF"),CA15,"")</f>
        <v/>
      </c>
      <c r="AV15" s="23" t="str">
        <f t="shared" ref="AV15" si="51">IF(OR(BC15="PLC",BC15="PSF"),IF(AT15="BOOL",F15,IF(AT15="BYTE",F15&amp;"B",IF(OR(AT15="WORD",AT15="INT"),F15&amp;"W",IF(OR(AT15="DWORD",AT15="DINT",AT15="REAL"),F15&amp;"D","&lt;invalid&gt;")))),"")</f>
        <v/>
      </c>
      <c r="AW15" s="23" t="str">
        <f t="shared" ref="AW15" si="52">IF(OR(BC15="PLC",BC15="PSF"),""&amp;AV15&amp;IF(AT15="BOOL",BY15&amp;"."&amp;BZ15,BY15)&amp; IF(CA15&lt;&gt;"",": &lt;"&amp;CA15&amp;"&gt; - ",": "),"")</f>
        <v/>
      </c>
      <c r="AX15" s="23" t="str">
        <f t="shared" ref="AX15" si="53">IF(OR(BC15="PLC",BC15="PSF"),IF(AND(BB15="EXIT",BC15="PSF"),CH15&amp;SUBSTITUTE(CJ15,":","_")&amp;CK15,CJ15&amp;CK15),"")</f>
        <v/>
      </c>
      <c r="AY15" s="36" t="str">
        <f t="shared" ref="AY15" si="54">IF(OR(BC15="PLC",BC15="PSF"),IF(CM15&lt;&gt;"",CM15 &amp; ": &lt;" &amp; CN15&amp;CO15 &amp; "&gt; - ","Controller: &lt;"&amp;CJ15&amp;CK15&amp;"&gt; - "),"")</f>
        <v/>
      </c>
      <c r="BB15" s="42" t="s">
        <v>15</v>
      </c>
      <c r="BC15" t="s">
        <v>61</v>
      </c>
      <c r="BD15" t="s">
        <v>275</v>
      </c>
      <c r="BE15" t="s">
        <v>62</v>
      </c>
      <c r="BU15" t="s">
        <v>100</v>
      </c>
      <c r="BV15" s="30" t="s">
        <v>280</v>
      </c>
      <c r="BY15" s="42"/>
      <c r="CB15" s="42"/>
      <c r="CE15" s="30"/>
      <c r="CH15" s="42"/>
      <c r="CN15" s="30"/>
      <c r="CP15" t="s">
        <v>84</v>
      </c>
      <c r="CQ15" s="40"/>
      <c r="CR15" s="30"/>
    </row>
    <row r="16" spans="2:96" x14ac:dyDescent="0.35">
      <c r="B16" s="4" t="str">
        <f t="shared" ref="B16:B22" si="55">IF(LEN(BT16)=0,Header_LB_Name,"&lt;BLANK&gt;")</f>
        <v>SxxRyy.LB</v>
      </c>
      <c r="C16" s="4"/>
      <c r="D16" s="4" t="str">
        <f t="shared" ref="D16:D22" si="56">IF(BC16="CUSTOM",BV16,IF(BB16="ENTRY","From_",IF(BB16="EXIT","To_","&lt;invalid&gt;"))&amp;IF(OR(BC16="RBT",BC16="KEY",BC16="SNS"),IF(BE16="",BC16,BC16&amp;"_"&amp;BE16),IF(BC16="OPR",IF(BE16="",BC16&amp;"_"&amp;BD16,BC16&amp;"_"&amp;BE16),IF(BC16="LBS",IF(BE16="",BD16,BE16),BC16)))&amp;"_"&amp;IF(BC16="OPR",IF(BB16="ENTRY","end",IF(BB16="EXIT","start","&lt;invalid&gt;")),BV16))</f>
        <v>From_KEY_OneCycle</v>
      </c>
      <c r="E16" s="4" t="str">
        <f t="shared" ref="E16:E22" si="57">IF(OR(BC16="PLC",BC16="PSF"),IF(Header_PLC_Type="CLX",AX16,IF(LEFT(Header_PLC_Type,2)="S7",AU16,"&lt;invalid PLC type&gt;")),IF(BB16="ENTRY",IF(BC16="LBS",IF(BD16&lt;&gt;"",IF(BF16="",BC16&amp;"_"&amp;BD16&amp;"_To_"&amp;B16&amp;"_"&amp;BV16,BC16&amp;"_"&amp;BD16&amp;"_To_"&amp;BF16&amp;"_"&amp;BV16),"&lt;missing other LB/group name&gt;"),IF(OR(BC16="SNS",BC16="KEY"),IF(BD16&lt;&gt;"",BC16&amp;"_"&amp;BD16&amp;"_"&amp;BV16,"&lt;missing unique identifier&gt;"),IF(OR(BC16="RBT",BC16="OPR"),IF(BD16&lt;&gt;"",BD16&amp;"_"&amp;IF(BC16="OPR","end",IF(BG16&lt;&gt;"",BG16,BV16)),"&lt;missing unique identifier&gt;"),IF(BC16="CUSTOM",BD16,"&lt;invalid connection&gt;")))),IF(BB16="EXIT",IF(BC16="LBS",IF(BD16&lt;&gt;"",BC16&amp;"_"&amp;B16&amp;"_To_"&amp;BD16&amp;"_"&amp;BV16,"&lt;missing other LB/group name&gt;"),IF(OR(BC16="RBT",BC16="OPR"),IF(BD16&lt;&gt;"",BD16&amp;"_"&amp;IF(BC16="OPR","start",IF(BG16&lt;&gt;"",BG16,BV16)),"&lt;missing unique identifier&gt;"),IF(BC16="CUSTOM",BD16,"&lt;invalid connection (sensor or key signal can't be exit)&gt;"))),"&lt;invalid entry/exit&gt;")))</f>
        <v>OneCycle</v>
      </c>
      <c r="F16" s="4" t="str">
        <f t="shared" ref="F16:F22" si="58">IF(BC16="CUSTOM",BE16,IF(OR(AND(BB16="ENTRY",OR(BC16="PLC",BC16="PSF")),AND(BB16="EXIT",OR(BC16="RBT",BC16="OPR"))),"Q","I"))</f>
        <v>I</v>
      </c>
      <c r="G16" s="4" t="str">
        <f t="shared" ref="G16:G22" si="59">IF(Header_PLC_Type="S7-ADD",IF(OR(BC16="PSF",BC16="PLC"),IF(BY16&lt;&gt;"",IF(AT16="BOOL",BY16&amp;"."&amp;BZ16,BY16),"&lt;missing&gt;"),""),"")</f>
        <v/>
      </c>
      <c r="H16" s="4" t="str">
        <f t="shared" ref="H16:H22" si="60">IF(OR(BC16="PLC",BC16="PSF"),IF(Header_PLC_Type="CLX",AY16&amp;CR16,IF(LEFT(Header_PLC_Type,2)="S7",AW16&amp;CE16,"&lt;invalid PLC type&gt;")),IF(Header_PLC_Type="CLX",IF(CR16&lt;&gt;"",CR16,""),IF(LEFT(Header_PLC_Type,2)="S7",IF(CE16&lt;&gt;"",CE16,""),"&lt;invalid PLC type&gt;")))</f>
        <v/>
      </c>
      <c r="I16" s="4" t="str">
        <f t="shared" ref="I16:I22" si="61">IF(OR(BC16="PLC",BC16="PSF"),BD16,IF(AND(BC16="CUSTOM",BF16&lt;&gt;""),BF16,""))</f>
        <v/>
      </c>
      <c r="J16" s="4"/>
      <c r="K16" s="56" t="str">
        <f t="shared" ref="K16:K22" si="62">AT16</f>
        <v>BOOL</v>
      </c>
      <c r="L16" s="56" t="str">
        <f t="shared" ref="L16:L22" si="63">Header_Resource_Compound</f>
        <v>ROBOTS\SxxRyy</v>
      </c>
      <c r="M16" s="56" t="str">
        <f t="shared" ref="M16:M22" si="64">Header_Sysroot_Folder</f>
        <v>STELLANTIS\Common\ToolPrototype\Robots</v>
      </c>
      <c r="N16" s="56" t="str">
        <f t="shared" ref="N16:N22" si="65">Header_COJT_Full_Name</f>
        <v>STELLANTIS_DN_FANUC_ROBOT_128_BIT_SxxRyy_START.v00</v>
      </c>
      <c r="O16" s="56" t="str">
        <f t="shared" ref="O16:O22" si="66">IF(AND(OR(BC16="SNS",BC16="OPR",BC16="RBT"),BF16&lt;&gt;""),BF16,IF(OR(BC16="PSF",BC16="PLC"),IF(BB16="ENTRY",IF(OR(ISLOGICAL(BF16),ISNUMBER(BF16)),LOWER(TEXT(BF16,"General")),IF((ISTEXT(BF16)),"CEE_To_VC_"&amp;BE16&amp;"_"&amp;BF16,"")),IF((ISTEXT(BF16)),"CEE_From_VC_"&amp;BE16&amp;"_"&amp;BF16,"")),IF(BC16="CUSTOM",IF(BH16&lt;&gt;"",BH16,""),"")))</f>
        <v/>
      </c>
      <c r="P16" s="56" t="str">
        <f t="shared" ref="P16:P22" si="67">IF(OR(BC16="SNS",BC16="OPR"),IF(BG16&lt;&gt;"",BG16,""),IF(BC16="RBT",BD16,IF(BC16="CUSTOM",IF(BG16&lt;&gt;"",BG16,""),"")))</f>
        <v/>
      </c>
      <c r="Q16" s="56" t="str">
        <f t="shared" ref="Q16:Q22" si="68">IF(BC16="OPR",IF(BV16&lt;&gt;"",BV16,"NONSIM"),IF(BC16="RBT",IF(BH16&lt;&gt;"",BH16,""),IF(BC16="SNS",IF(BH16&lt;&gt;"",BH16,L16),IF(OR(BC16="PLC",BC16="PSF"),IF(BG16&lt;&gt;"",BG16,""),""))))</f>
        <v/>
      </c>
      <c r="R16" s="56" t="str">
        <f t="shared" ref="R16:R22" si="69">IF(OR(BC16="PLC",BC16="PSF",BC16="OPR"),IF(BH16&lt;&gt;"",BH16,""),IF(BC16="RBT",IF(BI16&lt;&gt;"",BI16,""),IF(BC16="SNS",IF(BI16&lt;&gt;"",BI16,"PHOTOELECTRIC"),"")))</f>
        <v/>
      </c>
      <c r="S16" s="56" t="str">
        <f t="shared" ref="S16:S22" si="70">IF(OR(BC16="PLC",BC16="PSF",BC16="OPR",AND(BC16="CUSTOM",OR(BU16="PLC",BU16="PSF"))),IF(BI16&lt;&gt;"",BI16,""),IF(BC16="SNS",IF(BJ16&lt;&gt;"",BJ16,""),""))</f>
        <v/>
      </c>
      <c r="T16" s="56" t="str">
        <f t="shared" ref="T16:T22" si="71">IF(AND(Header_PLC_Type="CLX",BC16="PSF",BB16="EXIT"),CJ16&amp;CK16,IF(BC16="OPR",IF(BJ16&lt;&gt;"",BJ16,""),""))</f>
        <v/>
      </c>
      <c r="U16" s="56" t="str">
        <f t="shared" ref="U16:U22" si="72">IF(OR(BC16="SNS",BC16="OPR"),IF(BK16&lt;&gt;"",BK16,""),"")</f>
        <v/>
      </c>
      <c r="V16" s="56" t="str">
        <f t="shared" ref="V16:V22" si="73">IF(OR(BC16="SNS",BC16="OPR"),IF(BL16&lt;&gt;"",BL16,""),"")</f>
        <v/>
      </c>
      <c r="W16" s="56"/>
      <c r="X16" s="56"/>
      <c r="Y16" s="56"/>
      <c r="Z16" s="56" t="str">
        <f t="shared" ref="Z16:Z22" si="74">IF(BP16="","",BP16)</f>
        <v/>
      </c>
      <c r="AA16" s="56" t="str">
        <f t="shared" ref="AA16:AA22" si="75">IF($BQ16="","",$BQ16)</f>
        <v/>
      </c>
      <c r="AB16" s="56" t="str">
        <f t="shared" ref="AB16:AB22" si="76">IF(Header_COJT_Type_Definition="","ToolPrototype",Header_COJT_Type_Definition)</f>
        <v>ToolPrototype</v>
      </c>
      <c r="AC16" s="56" t="str">
        <f t="shared" ref="AC16:AC22" si="77">IF(ISBLANK(BT16),"","Optional")</f>
        <v/>
      </c>
      <c r="AD16" s="56" t="str">
        <f t="shared" ref="AD16:AD22" si="78">IF(Export_VC_Forms="","",Export_VC_Forms)</f>
        <v/>
      </c>
      <c r="AE16" s="56" t="str">
        <f t="shared" ref="AE16:AE22" si="79">IF(Export_Setup_Tracker="","",Export_Setup_Tracker)</f>
        <v/>
      </c>
      <c r="AF16" s="56" t="str">
        <f t="shared" ref="AF16:AF22" si="80">IF(Export_Validation_Tracker="","",Export_Validation_Tracker)</f>
        <v/>
      </c>
      <c r="AG16" s="56" t="str">
        <f t="shared" ref="AG16:AG22" si="81">IF(Export_Spare_04="","",Export_Spare_04)</f>
        <v/>
      </c>
      <c r="AH16" s="56" t="str">
        <f t="shared" ref="AH16:AH22" si="82">IF(Export_Spare_05="","",Export_Spare_05)</f>
        <v/>
      </c>
      <c r="AI16" s="56" t="str">
        <f t="shared" ref="AI16:AI22" si="83">IF(Export_Spare_06="","",Export_Spare_06)</f>
        <v/>
      </c>
      <c r="AJ16" s="56" t="str">
        <f t="shared" ref="AJ16:AJ22" si="84">IF(Export_Spare_07="","",Export_Spare_07)</f>
        <v/>
      </c>
      <c r="AK16" s="56" t="str">
        <f t="shared" ref="AK16:AK22" si="85">IF(Export_Spare_08="","",Export_Spare_08)</f>
        <v/>
      </c>
      <c r="AL16" s="56" t="str">
        <f t="shared" ref="AL16:AL22" si="86">IF(Export_Spare_09="","",Export_Spare_09)</f>
        <v/>
      </c>
      <c r="AM16" s="56" t="str">
        <f t="shared" ref="AM16:AM22" si="87">IF(Export_Spare_10="","",Export_Spare_10)</f>
        <v/>
      </c>
      <c r="AN16" s="56" t="str">
        <f t="shared" ref="AN16:AN22" si="88">IF(BR16&lt;&gt;"",BR16,"")</f>
        <v/>
      </c>
      <c r="AO16" s="56" t="str">
        <f t="shared" ref="AO16:AO22" si="89">IF(BS16&lt;&gt;"",BS16,"")</f>
        <v/>
      </c>
      <c r="AP16" s="56" t="str">
        <f t="shared" ref="AP16:AP22" si="90">IF(BC16&lt;&gt;"CUSTOM",BC16,BU16)</f>
        <v>KEY</v>
      </c>
      <c r="AQ16" s="56" t="str">
        <f t="shared" ref="AQ16:AQ22" si="91">BB16</f>
        <v>ENTRY</v>
      </c>
      <c r="AR16" s="39" t="s">
        <v>130</v>
      </c>
      <c r="AT16" s="44" t="str">
        <f t="shared" ref="AT16:AT22" si="92">IF(Header_PLC_Type="CLX",IF(CP16&lt;&gt;"",CP16,"&lt;noType&gt;"),IF(LEFT(Header_PLC_Type,2)="S7",IF(CD16&lt;&gt;"",CD16,"&lt;noType&gt;"),"&lt;noPLC&gt;"))</f>
        <v>BOOL</v>
      </c>
      <c r="AU16" s="23" t="str">
        <f t="shared" ref="AU16:AU22" si="93">IF(OR(BC16="PLC",BC16="PSF"),CA16,"")</f>
        <v/>
      </c>
      <c r="AV16" s="23" t="str">
        <f t="shared" ref="AV16:AV22" si="94">IF(OR(BC16="PLC",BC16="PSF"),IF(AT16="BOOL",F16,IF(AT16="BYTE",F16&amp;"B",IF(OR(AT16="WORD",AT16="INT"),F16&amp;"W",IF(OR(AT16="DWORD",AT16="DINT",AT16="REAL"),F16&amp;"D","&lt;invalid&gt;")))),"")</f>
        <v/>
      </c>
      <c r="AW16" s="23" t="str">
        <f t="shared" ref="AW16:AW18" si="95">IF(OR(BC16="PLC",BC16="PSF"),""&amp;AV16&amp;IF(AT16="BOOL",BY16&amp;"."&amp;BZ16,BY16)&amp; IF(CA16&lt;&gt;"",": &lt;"&amp;CA16&amp;"&gt; - ",": "),"")</f>
        <v/>
      </c>
      <c r="AX16" s="23" t="str">
        <f t="shared" ref="AX16:AX22" si="96">IF(OR(BC16="PLC",BC16="PSF"),IF(AND(BB16="EXIT",BC16="PSF"),CH16&amp;SUBSTITUTE(CJ16,":","_")&amp;CK16,CJ16&amp;CK16),"")</f>
        <v/>
      </c>
      <c r="AY16" s="36" t="str">
        <f t="shared" ref="AY16:AY22" si="97">IF(OR(BC16="PLC",BC16="PSF"),IF(CM16&lt;&gt;"",CM16 &amp; ": &lt;" &amp; CN16&amp;CO16 &amp; "&gt; - ","Controller: &lt;"&amp;CJ16&amp;CK16&amp;"&gt; - "),"")</f>
        <v/>
      </c>
      <c r="BB16" s="42" t="s">
        <v>15</v>
      </c>
      <c r="BC16" t="s">
        <v>61</v>
      </c>
      <c r="BD16" t="s">
        <v>276</v>
      </c>
      <c r="BE16" t="s">
        <v>62</v>
      </c>
      <c r="BU16" t="s">
        <v>100</v>
      </c>
      <c r="BV16" s="30" t="s">
        <v>281</v>
      </c>
      <c r="BY16" s="42"/>
      <c r="CB16" s="42"/>
      <c r="CE16" s="30"/>
      <c r="CH16" s="42"/>
      <c r="CN16" s="30"/>
      <c r="CP16" t="s">
        <v>12</v>
      </c>
      <c r="CQ16" s="40"/>
      <c r="CR16" s="30"/>
    </row>
    <row r="17" spans="2:96" x14ac:dyDescent="0.35">
      <c r="B17" s="4" t="str">
        <f t="shared" si="55"/>
        <v>SxxRyy.LB</v>
      </c>
      <c r="C17" s="4"/>
      <c r="D17" s="4" t="str">
        <f t="shared" si="56"/>
        <v>From_CEE_Running</v>
      </c>
      <c r="E17" s="4" t="str">
        <f t="shared" si="57"/>
        <v>CEE_Running</v>
      </c>
      <c r="F17" s="4" t="str">
        <f t="shared" si="58"/>
        <v>Q</v>
      </c>
      <c r="G17" s="4" t="str">
        <f t="shared" si="59"/>
        <v/>
      </c>
      <c r="H17" s="4" t="str">
        <f t="shared" si="60"/>
        <v/>
      </c>
      <c r="I17" s="4" t="str">
        <f t="shared" si="61"/>
        <v/>
      </c>
      <c r="J17" s="4"/>
      <c r="K17" s="56" t="str">
        <f t="shared" si="62"/>
        <v>BOOL</v>
      </c>
      <c r="L17" s="56" t="str">
        <f t="shared" si="63"/>
        <v>ROBOTS\SxxRyy</v>
      </c>
      <c r="M17" s="56" t="str">
        <f t="shared" si="64"/>
        <v>STELLANTIS\Common\ToolPrototype\Robots</v>
      </c>
      <c r="N17" s="56" t="str">
        <f t="shared" si="65"/>
        <v>STELLANTIS_DN_FANUC_ROBOT_128_BIT_SxxRyy_START.v00</v>
      </c>
      <c r="O17" s="56" t="str">
        <f t="shared" si="66"/>
        <v/>
      </c>
      <c r="P17" s="56" t="str">
        <f t="shared" si="67"/>
        <v/>
      </c>
      <c r="Q17" s="56" t="str">
        <f t="shared" si="68"/>
        <v/>
      </c>
      <c r="R17" s="56" t="str">
        <f t="shared" si="69"/>
        <v/>
      </c>
      <c r="S17" s="56" t="str">
        <f t="shared" si="70"/>
        <v/>
      </c>
      <c r="T17" s="56" t="str">
        <f t="shared" si="71"/>
        <v/>
      </c>
      <c r="U17" s="56" t="str">
        <f t="shared" si="72"/>
        <v/>
      </c>
      <c r="V17" s="56" t="str">
        <f t="shared" si="73"/>
        <v/>
      </c>
      <c r="W17" s="56"/>
      <c r="X17" s="56"/>
      <c r="Y17" s="56"/>
      <c r="Z17" s="56" t="str">
        <f t="shared" si="74"/>
        <v/>
      </c>
      <c r="AA17" s="56" t="str">
        <f t="shared" si="75"/>
        <v/>
      </c>
      <c r="AB17" s="56" t="str">
        <f t="shared" si="76"/>
        <v>ToolPrototype</v>
      </c>
      <c r="AC17" s="56" t="str">
        <f t="shared" si="77"/>
        <v/>
      </c>
      <c r="AD17" s="56" t="str">
        <f t="shared" si="78"/>
        <v/>
      </c>
      <c r="AE17" s="56" t="str">
        <f t="shared" si="79"/>
        <v/>
      </c>
      <c r="AF17" s="56" t="str">
        <f t="shared" si="80"/>
        <v/>
      </c>
      <c r="AG17" s="56" t="str">
        <f t="shared" si="81"/>
        <v/>
      </c>
      <c r="AH17" s="56" t="str">
        <f t="shared" si="82"/>
        <v/>
      </c>
      <c r="AI17" s="56" t="str">
        <f t="shared" si="83"/>
        <v/>
      </c>
      <c r="AJ17" s="56" t="str">
        <f t="shared" si="84"/>
        <v/>
      </c>
      <c r="AK17" s="56" t="str">
        <f t="shared" si="85"/>
        <v/>
      </c>
      <c r="AL17" s="56" t="str">
        <f t="shared" si="86"/>
        <v/>
      </c>
      <c r="AM17" s="56" t="str">
        <f t="shared" si="87"/>
        <v/>
      </c>
      <c r="AN17" s="56" t="str">
        <f t="shared" si="88"/>
        <v/>
      </c>
      <c r="AO17" s="56" t="str">
        <f t="shared" si="89"/>
        <v/>
      </c>
      <c r="AP17" s="56" t="str">
        <f t="shared" si="90"/>
        <v>LBS</v>
      </c>
      <c r="AQ17" s="56" t="str">
        <f t="shared" si="91"/>
        <v>ENTRY</v>
      </c>
      <c r="AR17" s="39" t="s">
        <v>130</v>
      </c>
      <c r="AT17" s="44" t="str">
        <f t="shared" si="92"/>
        <v>BOOL</v>
      </c>
      <c r="AU17" s="23" t="str">
        <f t="shared" si="93"/>
        <v/>
      </c>
      <c r="AV17" s="23" t="str">
        <f t="shared" si="94"/>
        <v/>
      </c>
      <c r="AW17" s="23" t="str">
        <f t="shared" si="95"/>
        <v/>
      </c>
      <c r="AX17" s="23" t="str">
        <f t="shared" si="96"/>
        <v/>
      </c>
      <c r="AY17" s="36" t="str">
        <f t="shared" si="97"/>
        <v/>
      </c>
      <c r="BB17" s="42" t="s">
        <v>15</v>
      </c>
      <c r="BC17" t="s">
        <v>61</v>
      </c>
      <c r="BD17" t="s">
        <v>277</v>
      </c>
      <c r="BE17" t="s">
        <v>63</v>
      </c>
      <c r="BU17" t="s">
        <v>102</v>
      </c>
      <c r="BV17" s="30" t="s">
        <v>282</v>
      </c>
      <c r="BY17" s="42"/>
      <c r="CB17" s="42"/>
      <c r="CE17" s="30"/>
      <c r="CH17" s="42"/>
      <c r="CN17" s="30"/>
      <c r="CP17" t="s">
        <v>12</v>
      </c>
      <c r="CQ17" s="40"/>
      <c r="CR17" s="30"/>
    </row>
    <row r="18" spans="2:96" x14ac:dyDescent="0.35">
      <c r="B18" s="4" t="str">
        <f t="shared" si="55"/>
        <v>SxxRyy.LB</v>
      </c>
      <c r="C18" s="4"/>
      <c r="D18" s="4" t="str">
        <f t="shared" si="56"/>
        <v>From_VC_StartProgram</v>
      </c>
      <c r="E18" s="4" t="str">
        <f t="shared" si="57"/>
        <v>LBS_FANUC_SxxRyy_To_SxxRyy.LB_StartProgram</v>
      </c>
      <c r="F18" s="4" t="str">
        <f t="shared" si="58"/>
        <v>I</v>
      </c>
      <c r="G18" s="4" t="str">
        <f t="shared" si="59"/>
        <v/>
      </c>
      <c r="H18" s="4" t="str">
        <f t="shared" si="60"/>
        <v/>
      </c>
      <c r="I18" s="4" t="str">
        <f t="shared" si="61"/>
        <v/>
      </c>
      <c r="J18" s="4"/>
      <c r="K18" s="56" t="str">
        <f t="shared" si="62"/>
        <v>BOOL</v>
      </c>
      <c r="L18" s="56" t="str">
        <f t="shared" si="63"/>
        <v>ROBOTS\SxxRyy</v>
      </c>
      <c r="M18" s="56" t="str">
        <f t="shared" si="64"/>
        <v>STELLANTIS\Common\ToolPrototype\Robots</v>
      </c>
      <c r="N18" s="56" t="str">
        <f t="shared" si="65"/>
        <v>STELLANTIS_DN_FANUC_ROBOT_128_BIT_SxxRyy_START.v00</v>
      </c>
      <c r="O18" s="56" t="str">
        <f t="shared" si="66"/>
        <v/>
      </c>
      <c r="P18" s="56" t="str">
        <f t="shared" si="67"/>
        <v/>
      </c>
      <c r="Q18" s="56" t="str">
        <f t="shared" si="68"/>
        <v/>
      </c>
      <c r="R18" s="56" t="str">
        <f t="shared" si="69"/>
        <v/>
      </c>
      <c r="S18" s="56" t="str">
        <f t="shared" si="70"/>
        <v/>
      </c>
      <c r="T18" s="56" t="str">
        <f t="shared" si="71"/>
        <v/>
      </c>
      <c r="U18" s="56" t="str">
        <f t="shared" si="72"/>
        <v/>
      </c>
      <c r="V18" s="56" t="str">
        <f t="shared" si="73"/>
        <v/>
      </c>
      <c r="W18" s="56"/>
      <c r="X18" s="56"/>
      <c r="Y18" s="56"/>
      <c r="Z18" s="56" t="str">
        <f t="shared" si="74"/>
        <v/>
      </c>
      <c r="AA18" s="56" t="str">
        <f t="shared" si="75"/>
        <v/>
      </c>
      <c r="AB18" s="56" t="str">
        <f t="shared" si="76"/>
        <v>ToolPrototype</v>
      </c>
      <c r="AC18" s="56" t="str">
        <f t="shared" si="77"/>
        <v/>
      </c>
      <c r="AD18" s="56" t="str">
        <f t="shared" si="78"/>
        <v/>
      </c>
      <c r="AE18" s="56" t="str">
        <f t="shared" si="79"/>
        <v/>
      </c>
      <c r="AF18" s="56" t="str">
        <f t="shared" si="80"/>
        <v/>
      </c>
      <c r="AG18" s="56" t="str">
        <f t="shared" si="81"/>
        <v/>
      </c>
      <c r="AH18" s="56" t="str">
        <f t="shared" si="82"/>
        <v/>
      </c>
      <c r="AI18" s="56" t="str">
        <f t="shared" si="83"/>
        <v/>
      </c>
      <c r="AJ18" s="56" t="str">
        <f t="shared" si="84"/>
        <v/>
      </c>
      <c r="AK18" s="56" t="str">
        <f t="shared" si="85"/>
        <v/>
      </c>
      <c r="AL18" s="56" t="str">
        <f t="shared" si="86"/>
        <v/>
      </c>
      <c r="AM18" s="56" t="str">
        <f t="shared" si="87"/>
        <v/>
      </c>
      <c r="AN18" s="56" t="str">
        <f t="shared" si="88"/>
        <v/>
      </c>
      <c r="AO18" s="56" t="str">
        <f t="shared" si="89"/>
        <v/>
      </c>
      <c r="AP18" s="56" t="str">
        <f t="shared" si="90"/>
        <v>LBS</v>
      </c>
      <c r="AQ18" s="56" t="str">
        <f t="shared" si="91"/>
        <v>ENTRY</v>
      </c>
      <c r="AR18" s="39" t="s">
        <v>130</v>
      </c>
      <c r="AT18" s="44" t="str">
        <f t="shared" si="92"/>
        <v>BOOL</v>
      </c>
      <c r="AU18" s="23" t="str">
        <f t="shared" si="93"/>
        <v/>
      </c>
      <c r="AV18" s="23" t="str">
        <f t="shared" si="94"/>
        <v/>
      </c>
      <c r="AW18" s="23" t="str">
        <f t="shared" si="95"/>
        <v/>
      </c>
      <c r="AX18" s="23" t="str">
        <f t="shared" si="96"/>
        <v/>
      </c>
      <c r="AY18" s="36" t="str">
        <f t="shared" si="97"/>
        <v/>
      </c>
      <c r="BB18" s="42" t="s">
        <v>15</v>
      </c>
      <c r="BC18" t="s">
        <v>102</v>
      </c>
      <c r="BD18" t="str">
        <f>Header_LB_Type&amp;"_"&amp;Header_LB_Unique_ID</f>
        <v>FANUC_SxxRyy</v>
      </c>
      <c r="BE18" t="s">
        <v>278</v>
      </c>
      <c r="BV18" s="30" t="s">
        <v>270</v>
      </c>
      <c r="BY18" s="42"/>
      <c r="CB18" s="42"/>
      <c r="CE18" s="30"/>
      <c r="CH18" s="42"/>
      <c r="CN18" s="30"/>
      <c r="CP18" t="s">
        <v>12</v>
      </c>
      <c r="CQ18" s="40"/>
      <c r="CR18" s="30"/>
    </row>
    <row r="19" spans="2:96" x14ac:dyDescent="0.35">
      <c r="B19" s="4" t="str">
        <f t="shared" si="55"/>
        <v>SxxRyy.LB</v>
      </c>
      <c r="C19" s="4"/>
      <c r="D19" s="4" t="str">
        <f t="shared" si="56"/>
        <v>From_VC_ProgramNumber</v>
      </c>
      <c r="E19" s="4" t="str">
        <f t="shared" si="57"/>
        <v>LBS_FANUC_SxxRyy_To_SxxRyy.LB_ProgramNumber</v>
      </c>
      <c r="F19" s="4" t="str">
        <f t="shared" si="58"/>
        <v>I</v>
      </c>
      <c r="G19" s="4" t="str">
        <f t="shared" si="59"/>
        <v/>
      </c>
      <c r="H19" s="4" t="str">
        <f t="shared" si="60"/>
        <v/>
      </c>
      <c r="I19" s="4" t="str">
        <f t="shared" si="61"/>
        <v/>
      </c>
      <c r="J19" s="4"/>
      <c r="K19" s="56" t="str">
        <f t="shared" si="62"/>
        <v>BYTE</v>
      </c>
      <c r="L19" s="56" t="str">
        <f t="shared" si="63"/>
        <v>ROBOTS\SxxRyy</v>
      </c>
      <c r="M19" s="56" t="str">
        <f t="shared" si="64"/>
        <v>STELLANTIS\Common\ToolPrototype\Robots</v>
      </c>
      <c r="N19" s="56" t="str">
        <f t="shared" si="65"/>
        <v>STELLANTIS_DN_FANUC_ROBOT_128_BIT_SxxRyy_START.v00</v>
      </c>
      <c r="O19" s="56" t="str">
        <f t="shared" si="66"/>
        <v/>
      </c>
      <c r="P19" s="56" t="str">
        <f t="shared" si="67"/>
        <v/>
      </c>
      <c r="Q19" s="56" t="str">
        <f t="shared" si="68"/>
        <v/>
      </c>
      <c r="R19" s="56" t="str">
        <f t="shared" si="69"/>
        <v/>
      </c>
      <c r="S19" s="56" t="str">
        <f t="shared" si="70"/>
        <v/>
      </c>
      <c r="T19" s="56" t="str">
        <f t="shared" si="71"/>
        <v/>
      </c>
      <c r="U19" s="56" t="str">
        <f t="shared" si="72"/>
        <v/>
      </c>
      <c r="V19" s="56" t="str">
        <f t="shared" si="73"/>
        <v/>
      </c>
      <c r="W19" s="56"/>
      <c r="X19" s="56"/>
      <c r="Y19" s="56"/>
      <c r="Z19" s="56" t="str">
        <f t="shared" si="74"/>
        <v/>
      </c>
      <c r="AA19" s="56" t="str">
        <f t="shared" si="75"/>
        <v/>
      </c>
      <c r="AB19" s="56" t="str">
        <f t="shared" si="76"/>
        <v>ToolPrototype</v>
      </c>
      <c r="AC19" s="56" t="str">
        <f t="shared" si="77"/>
        <v/>
      </c>
      <c r="AD19" s="56" t="str">
        <f t="shared" si="78"/>
        <v/>
      </c>
      <c r="AE19" s="56" t="str">
        <f t="shared" si="79"/>
        <v/>
      </c>
      <c r="AF19" s="56" t="str">
        <f t="shared" si="80"/>
        <v/>
      </c>
      <c r="AG19" s="56" t="str">
        <f t="shared" si="81"/>
        <v/>
      </c>
      <c r="AH19" s="56" t="str">
        <f t="shared" si="82"/>
        <v/>
      </c>
      <c r="AI19" s="56" t="str">
        <f t="shared" si="83"/>
        <v/>
      </c>
      <c r="AJ19" s="56" t="str">
        <f t="shared" si="84"/>
        <v/>
      </c>
      <c r="AK19" s="56" t="str">
        <f t="shared" si="85"/>
        <v/>
      </c>
      <c r="AL19" s="56" t="str">
        <f t="shared" si="86"/>
        <v/>
      </c>
      <c r="AM19" s="56" t="str">
        <f t="shared" si="87"/>
        <v/>
      </c>
      <c r="AN19" s="56" t="str">
        <f t="shared" si="88"/>
        <v/>
      </c>
      <c r="AO19" s="56" t="str">
        <f t="shared" si="89"/>
        <v/>
      </c>
      <c r="AP19" s="56" t="str">
        <f t="shared" si="90"/>
        <v>LBS</v>
      </c>
      <c r="AQ19" s="56" t="str">
        <f t="shared" si="91"/>
        <v>ENTRY</v>
      </c>
      <c r="AR19" s="39" t="s">
        <v>130</v>
      </c>
      <c r="AT19" s="44" t="str">
        <f t="shared" si="92"/>
        <v>BYTE</v>
      </c>
      <c r="AU19" s="23" t="str">
        <f t="shared" si="93"/>
        <v/>
      </c>
      <c r="AV19" s="23" t="str">
        <f t="shared" si="94"/>
        <v/>
      </c>
      <c r="AW19" s="23" t="str">
        <f t="shared" ref="AW19:AW22" si="98">IF(OR(BC19="PLC",BC19="PSF"),""&amp;AV19&amp;IF(AT19="BOOL",BY19&amp;"."&amp;BZ19,BY19)&amp; IF(CA19&lt;&gt;"",": &lt;"&amp;CA19&amp;"&gt; - ",": "),"")</f>
        <v/>
      </c>
      <c r="AX19" s="23" t="str">
        <f t="shared" si="96"/>
        <v/>
      </c>
      <c r="AY19" s="36" t="str">
        <f t="shared" si="97"/>
        <v/>
      </c>
      <c r="BB19" s="42" t="s">
        <v>15</v>
      </c>
      <c r="BC19" t="s">
        <v>102</v>
      </c>
      <c r="BD19" t="str">
        <f>Header_LB_Type&amp;"_"&amp;Header_LB_Unique_ID</f>
        <v>FANUC_SxxRyy</v>
      </c>
      <c r="BE19" t="s">
        <v>278</v>
      </c>
      <c r="BV19" s="30" t="s">
        <v>271</v>
      </c>
      <c r="BY19" s="42"/>
      <c r="CB19" s="42"/>
      <c r="CE19" s="30"/>
      <c r="CH19" s="42"/>
      <c r="CN19" s="30"/>
      <c r="CP19" t="s">
        <v>84</v>
      </c>
      <c r="CQ19" s="40"/>
      <c r="CR19" s="30"/>
    </row>
    <row r="20" spans="2:96" x14ac:dyDescent="0.35">
      <c r="B20" s="4" t="str">
        <f t="shared" si="55"/>
        <v>SxxRyy.LB</v>
      </c>
      <c r="C20" s="4"/>
      <c r="D20" s="4" t="str">
        <f t="shared" si="56"/>
        <v>From_RBT_programEnded</v>
      </c>
      <c r="E20" s="4" t="str">
        <f t="shared" si="57"/>
        <v>SxxRyy_programEnded</v>
      </c>
      <c r="F20" s="4" t="str">
        <f t="shared" si="58"/>
        <v>I</v>
      </c>
      <c r="G20" s="4" t="str">
        <f t="shared" si="59"/>
        <v/>
      </c>
      <c r="H20" s="4" t="str">
        <f t="shared" si="60"/>
        <v/>
      </c>
      <c r="I20" s="4" t="str">
        <f t="shared" si="61"/>
        <v/>
      </c>
      <c r="J20" s="4"/>
      <c r="K20" s="56" t="str">
        <f t="shared" si="62"/>
        <v>BOOL</v>
      </c>
      <c r="L20" s="56" t="str">
        <f t="shared" si="63"/>
        <v>ROBOTS\SxxRyy</v>
      </c>
      <c r="M20" s="56" t="str">
        <f t="shared" si="64"/>
        <v>STELLANTIS\Common\ToolPrototype\Robots</v>
      </c>
      <c r="N20" s="56" t="str">
        <f t="shared" si="65"/>
        <v>STELLANTIS_DN_FANUC_ROBOT_128_BIT_SxxRyy_START.v00</v>
      </c>
      <c r="O20" s="56" t="str">
        <f t="shared" si="66"/>
        <v/>
      </c>
      <c r="P20" s="56" t="str">
        <f t="shared" si="67"/>
        <v>SxxRyy</v>
      </c>
      <c r="Q20" s="56" t="str">
        <f t="shared" si="68"/>
        <v/>
      </c>
      <c r="R20" s="56" t="str">
        <f t="shared" si="69"/>
        <v/>
      </c>
      <c r="S20" s="56" t="str">
        <f t="shared" si="70"/>
        <v/>
      </c>
      <c r="T20" s="56" t="str">
        <f t="shared" si="71"/>
        <v/>
      </c>
      <c r="U20" s="56" t="str">
        <f t="shared" si="72"/>
        <v/>
      </c>
      <c r="V20" s="56" t="str">
        <f t="shared" si="73"/>
        <v/>
      </c>
      <c r="W20" s="56"/>
      <c r="X20" s="56"/>
      <c r="Y20" s="56"/>
      <c r="Z20" s="56" t="str">
        <f t="shared" si="74"/>
        <v/>
      </c>
      <c r="AA20" s="56" t="str">
        <f t="shared" si="75"/>
        <v/>
      </c>
      <c r="AB20" s="56" t="str">
        <f t="shared" si="76"/>
        <v>ToolPrototype</v>
      </c>
      <c r="AC20" s="56" t="str">
        <f t="shared" si="77"/>
        <v/>
      </c>
      <c r="AD20" s="56" t="str">
        <f t="shared" si="78"/>
        <v/>
      </c>
      <c r="AE20" s="56" t="str">
        <f t="shared" si="79"/>
        <v/>
      </c>
      <c r="AF20" s="56" t="str">
        <f t="shared" si="80"/>
        <v/>
      </c>
      <c r="AG20" s="56" t="str">
        <f t="shared" si="81"/>
        <v/>
      </c>
      <c r="AH20" s="56" t="str">
        <f t="shared" si="82"/>
        <v/>
      </c>
      <c r="AI20" s="56" t="str">
        <f t="shared" si="83"/>
        <v/>
      </c>
      <c r="AJ20" s="56" t="str">
        <f t="shared" si="84"/>
        <v/>
      </c>
      <c r="AK20" s="56" t="str">
        <f t="shared" si="85"/>
        <v/>
      </c>
      <c r="AL20" s="56" t="str">
        <f t="shared" si="86"/>
        <v/>
      </c>
      <c r="AM20" s="56" t="str">
        <f t="shared" si="87"/>
        <v/>
      </c>
      <c r="AN20" s="56" t="str">
        <f t="shared" si="88"/>
        <v/>
      </c>
      <c r="AO20" s="56" t="str">
        <f t="shared" si="89"/>
        <v/>
      </c>
      <c r="AP20" s="56" t="str">
        <f t="shared" si="90"/>
        <v>RBT</v>
      </c>
      <c r="AQ20" s="56" t="str">
        <f t="shared" si="91"/>
        <v>ENTRY</v>
      </c>
      <c r="AR20" s="39" t="s">
        <v>130</v>
      </c>
      <c r="AT20" s="44" t="str">
        <f t="shared" si="92"/>
        <v>BOOL</v>
      </c>
      <c r="AU20" s="23" t="str">
        <f t="shared" si="93"/>
        <v/>
      </c>
      <c r="AV20" s="23" t="str">
        <f t="shared" si="94"/>
        <v/>
      </c>
      <c r="AW20" s="23" t="str">
        <f t="shared" si="98"/>
        <v/>
      </c>
      <c r="AX20" s="23" t="str">
        <f t="shared" si="96"/>
        <v/>
      </c>
      <c r="AY20" s="36" t="str">
        <f t="shared" si="97"/>
        <v/>
      </c>
      <c r="BB20" s="42" t="s">
        <v>15</v>
      </c>
      <c r="BC20" t="s">
        <v>60</v>
      </c>
      <c r="BD20" t="str">
        <f>Header_LB_Unique_ID</f>
        <v>SxxRyy</v>
      </c>
      <c r="BV20" s="30" t="s">
        <v>269</v>
      </c>
      <c r="BY20" s="42"/>
      <c r="CB20" s="42"/>
      <c r="CE20" s="30"/>
      <c r="CH20" s="42"/>
      <c r="CN20" s="30"/>
      <c r="CP20" t="s">
        <v>12</v>
      </c>
      <c r="CQ20" s="40"/>
      <c r="CR20" s="30"/>
    </row>
    <row r="21" spans="2:96" x14ac:dyDescent="0.35">
      <c r="B21" s="4" t="str">
        <f t="shared" si="55"/>
        <v>SxxRyy.LB</v>
      </c>
      <c r="C21" s="4"/>
      <c r="D21" s="4" t="str">
        <f t="shared" si="56"/>
        <v>To_RBT_startProgram</v>
      </c>
      <c r="E21" s="4" t="str">
        <f t="shared" si="57"/>
        <v>SxxRyy_startProgram</v>
      </c>
      <c r="F21" s="4" t="str">
        <f t="shared" si="58"/>
        <v>Q</v>
      </c>
      <c r="G21" s="4" t="str">
        <f t="shared" si="59"/>
        <v/>
      </c>
      <c r="H21" s="4" t="str">
        <f t="shared" si="60"/>
        <v>(Starting Program)</v>
      </c>
      <c r="I21" s="4" t="str">
        <f t="shared" si="61"/>
        <v/>
      </c>
      <c r="J21" s="4"/>
      <c r="K21" s="56" t="str">
        <f t="shared" si="62"/>
        <v>BOOL</v>
      </c>
      <c r="L21" s="56" t="str">
        <f t="shared" si="63"/>
        <v>ROBOTS\SxxRyy</v>
      </c>
      <c r="M21" s="56" t="str">
        <f t="shared" si="64"/>
        <v>STELLANTIS\Common\ToolPrototype\Robots</v>
      </c>
      <c r="N21" s="56" t="str">
        <f t="shared" si="65"/>
        <v>STELLANTIS_DN_FANUC_ROBOT_128_BIT_SxxRyy_START.v00</v>
      </c>
      <c r="O21" s="56" t="str">
        <f t="shared" si="66"/>
        <v/>
      </c>
      <c r="P21" s="56" t="str">
        <f t="shared" si="67"/>
        <v>SxxRyy</v>
      </c>
      <c r="Q21" s="56" t="str">
        <f t="shared" si="68"/>
        <v>SxxRyy</v>
      </c>
      <c r="R21" s="56" t="str">
        <f t="shared" si="69"/>
        <v>AB_RACKx_SLOTa</v>
      </c>
      <c r="S21" s="56" t="str">
        <f t="shared" si="70"/>
        <v/>
      </c>
      <c r="T21" s="56" t="str">
        <f t="shared" si="71"/>
        <v/>
      </c>
      <c r="U21" s="56" t="str">
        <f t="shared" si="72"/>
        <v/>
      </c>
      <c r="V21" s="56" t="str">
        <f t="shared" si="73"/>
        <v/>
      </c>
      <c r="W21" s="56"/>
      <c r="X21" s="56"/>
      <c r="Y21" s="56"/>
      <c r="Z21" s="56" t="str">
        <f t="shared" si="74"/>
        <v/>
      </c>
      <c r="AA21" s="56" t="str">
        <f t="shared" si="75"/>
        <v/>
      </c>
      <c r="AB21" s="56" t="str">
        <f t="shared" si="76"/>
        <v>ToolPrototype</v>
      </c>
      <c r="AC21" s="56" t="str">
        <f t="shared" si="77"/>
        <v/>
      </c>
      <c r="AD21" s="56" t="str">
        <f t="shared" si="78"/>
        <v/>
      </c>
      <c r="AE21" s="56" t="str">
        <f t="shared" si="79"/>
        <v/>
      </c>
      <c r="AF21" s="56" t="str">
        <f t="shared" si="80"/>
        <v/>
      </c>
      <c r="AG21" s="56" t="str">
        <f t="shared" si="81"/>
        <v/>
      </c>
      <c r="AH21" s="56" t="str">
        <f t="shared" si="82"/>
        <v/>
      </c>
      <c r="AI21" s="56" t="str">
        <f t="shared" si="83"/>
        <v/>
      </c>
      <c r="AJ21" s="56" t="str">
        <f t="shared" si="84"/>
        <v/>
      </c>
      <c r="AK21" s="56" t="str">
        <f t="shared" si="85"/>
        <v/>
      </c>
      <c r="AL21" s="56" t="str">
        <f t="shared" si="86"/>
        <v/>
      </c>
      <c r="AM21" s="56" t="str">
        <f t="shared" si="87"/>
        <v/>
      </c>
      <c r="AN21" s="56">
        <f t="shared" si="88"/>
        <v>6</v>
      </c>
      <c r="AO21" s="56" t="str">
        <f t="shared" si="89"/>
        <v>ROBOTS:SxxRyy\000_COMMON|ROBOTS_NOPLC:SxxRyy\000_COMMON</v>
      </c>
      <c r="AP21" s="56" t="str">
        <f t="shared" si="90"/>
        <v>RBT</v>
      </c>
      <c r="AQ21" s="56" t="str">
        <f t="shared" si="91"/>
        <v>EXIT</v>
      </c>
      <c r="AR21" s="39" t="s">
        <v>130</v>
      </c>
      <c r="AT21" s="44" t="str">
        <f t="shared" si="92"/>
        <v>BOOL</v>
      </c>
      <c r="AU21" s="23" t="str">
        <f t="shared" si="93"/>
        <v/>
      </c>
      <c r="AV21" s="23" t="str">
        <f t="shared" si="94"/>
        <v/>
      </c>
      <c r="AW21" s="23" t="str">
        <f t="shared" si="98"/>
        <v/>
      </c>
      <c r="AX21" s="23" t="str">
        <f t="shared" si="96"/>
        <v/>
      </c>
      <c r="AY21" s="36" t="str">
        <f t="shared" si="97"/>
        <v/>
      </c>
      <c r="BB21" s="42" t="s">
        <v>17</v>
      </c>
      <c r="BC21" t="s">
        <v>60</v>
      </c>
      <c r="BD21" t="str">
        <f>Header_LB_Unique_ID</f>
        <v>SxxRyy</v>
      </c>
      <c r="BH21" t="str">
        <f>Header_Config02</f>
        <v>SxxRyy</v>
      </c>
      <c r="BI21" t="str">
        <f>Header_Config01</f>
        <v>AB_RACKx_SLOTa</v>
      </c>
      <c r="BR21">
        <v>6</v>
      </c>
      <c r="BS21" t="str">
        <f>"ROBOTS:"&amp;Header_Config02&amp;"\000_COMMON|ROBOTS_NOPLC:"&amp;Header_Config02&amp;"\000_COMMON"</f>
        <v>ROBOTS:SxxRyy\000_COMMON|ROBOTS_NOPLC:SxxRyy\000_COMMON</v>
      </c>
      <c r="BV21" s="30" t="s">
        <v>283</v>
      </c>
      <c r="BY21" s="42"/>
      <c r="CB21" s="42"/>
      <c r="CE21" s="30"/>
      <c r="CH21" s="42"/>
      <c r="CN21" s="30"/>
      <c r="CP21" t="s">
        <v>12</v>
      </c>
      <c r="CQ21" s="40"/>
      <c r="CR21" s="30" t="s">
        <v>284</v>
      </c>
    </row>
    <row r="22" spans="2:96" x14ac:dyDescent="0.35">
      <c r="B22" s="4" t="str">
        <f t="shared" si="55"/>
        <v>SxxRyy.LB</v>
      </c>
      <c r="C22" s="4"/>
      <c r="D22" s="4" t="str">
        <f t="shared" si="56"/>
        <v>To_RBT_programNumber</v>
      </c>
      <c r="E22" s="4" t="str">
        <f t="shared" si="57"/>
        <v>SxxRyy_programNumber</v>
      </c>
      <c r="F22" s="4" t="str">
        <f t="shared" si="58"/>
        <v>Q</v>
      </c>
      <c r="G22" s="4" t="str">
        <f t="shared" si="59"/>
        <v/>
      </c>
      <c r="H22" s="4" t="str">
        <f t="shared" si="60"/>
        <v>(Program Number)</v>
      </c>
      <c r="I22" s="4" t="str">
        <f t="shared" si="61"/>
        <v/>
      </c>
      <c r="J22" s="4"/>
      <c r="K22" s="56" t="str">
        <f t="shared" si="62"/>
        <v>BYTE</v>
      </c>
      <c r="L22" s="56" t="str">
        <f t="shared" si="63"/>
        <v>ROBOTS\SxxRyy</v>
      </c>
      <c r="M22" s="56" t="str">
        <f t="shared" si="64"/>
        <v>STELLANTIS\Common\ToolPrototype\Robots</v>
      </c>
      <c r="N22" s="56" t="str">
        <f t="shared" si="65"/>
        <v>STELLANTIS_DN_FANUC_ROBOT_128_BIT_SxxRyy_START.v00</v>
      </c>
      <c r="O22" s="56" t="str">
        <f t="shared" si="66"/>
        <v/>
      </c>
      <c r="P22" s="56" t="str">
        <f t="shared" si="67"/>
        <v>SxxRyy</v>
      </c>
      <c r="Q22" s="56" t="str">
        <f t="shared" si="68"/>
        <v/>
      </c>
      <c r="R22" s="56" t="str">
        <f t="shared" si="69"/>
        <v/>
      </c>
      <c r="S22" s="56" t="str">
        <f t="shared" si="70"/>
        <v/>
      </c>
      <c r="T22" s="56" t="str">
        <f t="shared" si="71"/>
        <v/>
      </c>
      <c r="U22" s="56" t="str">
        <f t="shared" si="72"/>
        <v/>
      </c>
      <c r="V22" s="56" t="str">
        <f t="shared" si="73"/>
        <v/>
      </c>
      <c r="W22" s="56"/>
      <c r="X22" s="56"/>
      <c r="Y22" s="56"/>
      <c r="Z22" s="56" t="str">
        <f t="shared" si="74"/>
        <v/>
      </c>
      <c r="AA22" s="56" t="str">
        <f t="shared" si="75"/>
        <v/>
      </c>
      <c r="AB22" s="56" t="str">
        <f t="shared" si="76"/>
        <v>ToolPrototype</v>
      </c>
      <c r="AC22" s="56" t="str">
        <f t="shared" si="77"/>
        <v/>
      </c>
      <c r="AD22" s="56" t="str">
        <f t="shared" si="78"/>
        <v/>
      </c>
      <c r="AE22" s="56" t="str">
        <f t="shared" si="79"/>
        <v/>
      </c>
      <c r="AF22" s="56" t="str">
        <f t="shared" si="80"/>
        <v/>
      </c>
      <c r="AG22" s="56" t="str">
        <f t="shared" si="81"/>
        <v/>
      </c>
      <c r="AH22" s="56" t="str">
        <f t="shared" si="82"/>
        <v/>
      </c>
      <c r="AI22" s="56" t="str">
        <f t="shared" si="83"/>
        <v/>
      </c>
      <c r="AJ22" s="56" t="str">
        <f t="shared" si="84"/>
        <v/>
      </c>
      <c r="AK22" s="56" t="str">
        <f t="shared" si="85"/>
        <v/>
      </c>
      <c r="AL22" s="56" t="str">
        <f t="shared" si="86"/>
        <v/>
      </c>
      <c r="AM22" s="56" t="str">
        <f t="shared" si="87"/>
        <v/>
      </c>
      <c r="AN22" s="56">
        <f t="shared" si="88"/>
        <v>7</v>
      </c>
      <c r="AO22" s="56" t="str">
        <f t="shared" si="89"/>
        <v>ROBOTS:SxxRyy\000_COMMON|ROBOTS_NOPLC:SxxRyy\000_COMMON</v>
      </c>
      <c r="AP22" s="56" t="str">
        <f t="shared" si="90"/>
        <v>RBT</v>
      </c>
      <c r="AQ22" s="56" t="str">
        <f t="shared" si="91"/>
        <v>EXIT</v>
      </c>
      <c r="AR22" s="39" t="s">
        <v>130</v>
      </c>
      <c r="AT22" s="44" t="str">
        <f t="shared" si="92"/>
        <v>BYTE</v>
      </c>
      <c r="AU22" s="23" t="str">
        <f t="shared" si="93"/>
        <v/>
      </c>
      <c r="AV22" s="23" t="str">
        <f t="shared" si="94"/>
        <v/>
      </c>
      <c r="AW22" s="23" t="str">
        <f t="shared" si="98"/>
        <v/>
      </c>
      <c r="AX22" s="23" t="str">
        <f t="shared" si="96"/>
        <v/>
      </c>
      <c r="AY22" s="36" t="str">
        <f t="shared" si="97"/>
        <v/>
      </c>
      <c r="BB22" s="42" t="s">
        <v>17</v>
      </c>
      <c r="BC22" t="s">
        <v>60</v>
      </c>
      <c r="BD22" t="str">
        <f>Header_LB_Unique_ID</f>
        <v>SxxRyy</v>
      </c>
      <c r="BR22">
        <v>7</v>
      </c>
      <c r="BS22" t="str">
        <f>"ROBOTS:"&amp;Header_Config02&amp;"\000_COMMON|ROBOTS_NOPLC:"&amp;Header_Config02&amp;"\000_COMMON"</f>
        <v>ROBOTS:SxxRyy\000_COMMON|ROBOTS_NOPLC:SxxRyy\000_COMMON</v>
      </c>
      <c r="BV22" s="30" t="s">
        <v>285</v>
      </c>
      <c r="BY22" s="42"/>
      <c r="CB22" s="42"/>
      <c r="CE22" s="30"/>
      <c r="CH22" s="42"/>
      <c r="CN22" s="30"/>
      <c r="CP22" t="s">
        <v>84</v>
      </c>
      <c r="CQ22" s="40"/>
      <c r="CR22" s="30" t="s">
        <v>286</v>
      </c>
    </row>
    <row r="23" spans="2:96" x14ac:dyDescent="0.35">
      <c r="B23" s="4"/>
      <c r="C23" s="4"/>
      <c r="D23" s="4"/>
      <c r="E23" s="4"/>
      <c r="F23" s="4"/>
      <c r="G23" s="4"/>
      <c r="H23" s="4"/>
      <c r="I23" s="4"/>
      <c r="J23" s="4"/>
      <c r="K23" s="56"/>
      <c r="L23" s="56"/>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39"/>
      <c r="AT23" s="44"/>
      <c r="AU23" s="23"/>
      <c r="AV23" s="23"/>
      <c r="AW23" s="23"/>
      <c r="AX23" s="23"/>
      <c r="AY23" s="36"/>
      <c r="BB23" s="42"/>
      <c r="BV23" s="30"/>
      <c r="BY23" s="42"/>
      <c r="CB23" s="42"/>
      <c r="CE23" s="30"/>
      <c r="CH23" s="42"/>
      <c r="CN23" s="30"/>
      <c r="CQ23" s="40"/>
      <c r="CR23" s="30"/>
    </row>
  </sheetData>
  <conditionalFormatting sqref="BF14:BF23">
    <cfRule type="expression" dxfId="24" priority="294">
      <formula>AND(OR(AND($BC14="LBS",$BB14="EXIT"),AND($BC14="CUSTOM",$BU14&lt;&gt;"PLC",$BU14&lt;&gt;"PSF")),$B14&lt;&gt;"")</formula>
    </cfRule>
  </conditionalFormatting>
  <conditionalFormatting sqref="CL14:CL23 CH14:CI23">
    <cfRule type="expression" dxfId="23" priority="316">
      <formula>AND(OR($BB14="ENTRY",$BC14&lt;&gt;"PSF"),$B14&lt;&gt;"")</formula>
    </cfRule>
  </conditionalFormatting>
  <conditionalFormatting sqref="CM14:CO23 BY14:BZ23 CJ14:CK23">
    <cfRule type="expression" dxfId="22" priority="319">
      <formula>AND($BC14&lt;&gt;"PLC",$BC14&lt;&gt;"PSF",$B14&lt;&gt;"")</formula>
    </cfRule>
  </conditionalFormatting>
  <conditionalFormatting sqref="BH14:BI23">
    <cfRule type="expression" dxfId="21" priority="296">
      <formula>AND($BC14&lt;&gt;"PLC",$BC14&lt;&gt;"PSF",$BC14&lt;&gt;"SNS",$BC14&lt;&gt;"OPR",$BC14&lt;&gt;"RBT",$BC14&lt;&gt;"CUSTOM",$B14&lt;&gt;"")</formula>
    </cfRule>
  </conditionalFormatting>
  <conditionalFormatting sqref="BU14:BU23">
    <cfRule type="expression" dxfId="20" priority="302">
      <formula>AND($BC14&lt;&gt;"CUSTOM",$B14&lt;&gt;"")</formula>
    </cfRule>
  </conditionalFormatting>
  <conditionalFormatting sqref="BG14:BG23">
    <cfRule type="expression" dxfId="19" priority="295">
      <formula>AND($BC14&lt;&gt;"PLC",$BC14&lt;&gt;"PSF",$BC14&lt;&gt;"RBT",$BC14&lt;&gt;"OPR",$BC14&lt;&gt;"SNS",$BC14&lt;&gt;"CUSTOM",$B14&lt;&gt;"")</formula>
    </cfRule>
  </conditionalFormatting>
  <conditionalFormatting sqref="BT14:BT23">
    <cfRule type="expression" dxfId="18" priority="6">
      <formula>NOT(ISBLANK($BT14))</formula>
    </cfRule>
  </conditionalFormatting>
  <conditionalFormatting sqref="BJ14:BL23">
    <cfRule type="expression" dxfId="17" priority="298">
      <formula>AND($BC14&lt;&gt;"SNS",$BC14&lt;&gt;"OPR",$B14&lt;&gt;"")</formula>
    </cfRule>
  </conditionalFormatting>
  <conditionalFormatting sqref="B14:J23">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23">
    <cfRule type="expression" dxfId="2" priority="2">
      <formula>$B14=""</formula>
    </cfRule>
  </conditionalFormatting>
  <conditionalFormatting sqref="AT14:CR23">
    <cfRule type="expression" dxfId="1" priority="1">
      <formula>AND(OR($BB14&lt;&gt;$BB13,$BC14&lt;&gt;$BC13),AT$13&lt;&gt;"x")</formula>
    </cfRule>
  </conditionalFormatting>
  <conditionalFormatting sqref="BM14:BO23">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BB14:BB22</xm:sqref>
        </x14:dataValidation>
        <x14:dataValidation type="list" allowBlank="1" showInputMessage="1" showErrorMessage="1" xr:uid="{00000000-0002-0000-0200-000001000000}">
          <x14:formula1>
            <xm:f>Lists!$C$3:$C$10</xm:f>
          </x14:formula1>
          <xm:sqref>BC14:BC22</xm:sqref>
        </x14:dataValidation>
        <x14:dataValidation type="list" allowBlank="1" showInputMessage="1" xr:uid="{00000000-0002-0000-0200-000002000000}">
          <x14:formula1>
            <xm:f>Lists!$E$3:$E$10</xm:f>
          </x14:formula1>
          <xm:sqref>BU14:BU22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heetViews>
  <sheetFormatPr defaultRowHeight="14.5" x14ac:dyDescent="0.35"/>
  <cols>
    <col min="1" max="1" width="2.81640625" customWidth="1"/>
    <col min="2" max="2" width="27" bestFit="1" customWidth="1"/>
    <col min="3" max="3" width="146.7265625" customWidth="1"/>
  </cols>
  <sheetData>
    <row r="2" spans="2:3" x14ac:dyDescent="0.35">
      <c r="C2" s="68" t="s">
        <v>212</v>
      </c>
    </row>
    <row r="4" spans="2:3" x14ac:dyDescent="0.35">
      <c r="B4" s="66" t="s">
        <v>190</v>
      </c>
      <c r="C4" s="65"/>
    </row>
    <row r="5" spans="2:3" x14ac:dyDescent="0.35">
      <c r="B5" s="66" t="s">
        <v>200</v>
      </c>
      <c r="C5" s="65"/>
    </row>
    <row r="6" spans="2:3" x14ac:dyDescent="0.35">
      <c r="B6" s="66" t="s">
        <v>191</v>
      </c>
      <c r="C6" s="65"/>
    </row>
    <row r="7" spans="2:3" x14ac:dyDescent="0.35">
      <c r="B7" s="66" t="s">
        <v>193</v>
      </c>
      <c r="C7" s="65"/>
    </row>
    <row r="8" spans="2:3" x14ac:dyDescent="0.35">
      <c r="B8" s="66" t="s">
        <v>194</v>
      </c>
      <c r="C8" s="65"/>
    </row>
    <row r="9" spans="2:3" x14ac:dyDescent="0.35">
      <c r="B9" s="66" t="s">
        <v>195</v>
      </c>
      <c r="C9" s="65"/>
    </row>
    <row r="10" spans="2:3" x14ac:dyDescent="0.35">
      <c r="B10" s="66" t="s">
        <v>196</v>
      </c>
      <c r="C10" s="65"/>
    </row>
    <row r="11" spans="2:3" x14ac:dyDescent="0.35">
      <c r="B11" s="66" t="s">
        <v>197</v>
      </c>
      <c r="C11" s="65"/>
    </row>
    <row r="12" spans="2:3" x14ac:dyDescent="0.35">
      <c r="B12" s="66" t="s">
        <v>198</v>
      </c>
      <c r="C12" s="65"/>
    </row>
    <row r="13" spans="2:3" x14ac:dyDescent="0.35">
      <c r="B13" s="66" t="s">
        <v>199</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14"/>
  <sheetViews>
    <sheetView zoomScale="85" zoomScaleNormal="85" workbookViewId="0">
      <pane xSplit="2" topLeftCell="C1" activePane="topRight" state="frozenSplit"/>
      <selection activeCell="A34" sqref="A34"/>
      <selection pane="topRight"/>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2" t="s">
        <v>272</v>
      </c>
      <c r="B2" s="17" t="s">
        <v>12</v>
      </c>
      <c r="C2" s="82" t="s">
        <v>130</v>
      </c>
      <c r="D2" s="16"/>
      <c r="E2" s="16"/>
      <c r="F2" s="16"/>
      <c r="G2" s="16"/>
      <c r="H2" s="16"/>
      <c r="I2" s="11"/>
      <c r="J2" s="11"/>
      <c r="K2" s="11"/>
      <c r="L2" s="11"/>
    </row>
    <row r="3" spans="1:12" s="15" customFormat="1" x14ac:dyDescent="0.35">
      <c r="A3" s="82" t="s">
        <v>280</v>
      </c>
      <c r="B3" s="17" t="s">
        <v>84</v>
      </c>
      <c r="C3" s="82" t="s">
        <v>287</v>
      </c>
      <c r="D3" s="16"/>
      <c r="E3" s="16"/>
      <c r="F3" s="16"/>
      <c r="G3" s="16"/>
      <c r="H3" s="16"/>
      <c r="I3" s="11"/>
      <c r="J3" s="11"/>
      <c r="K3" s="11"/>
      <c r="L3" s="11"/>
    </row>
    <row r="4" spans="1:12" s="15" customFormat="1" x14ac:dyDescent="0.35">
      <c r="A4" s="82" t="s">
        <v>281</v>
      </c>
      <c r="B4" s="17" t="s">
        <v>12</v>
      </c>
      <c r="C4" s="82" t="s">
        <v>287</v>
      </c>
      <c r="D4" s="16"/>
      <c r="E4" s="16"/>
      <c r="F4" s="16"/>
      <c r="G4" s="16"/>
      <c r="H4" s="16"/>
      <c r="I4" s="11"/>
      <c r="J4" s="11"/>
      <c r="K4" s="11"/>
      <c r="L4" s="11"/>
    </row>
    <row r="5" spans="1:12" s="15" customFormat="1" x14ac:dyDescent="0.35">
      <c r="A5" s="82" t="s">
        <v>282</v>
      </c>
      <c r="B5" s="17" t="s">
        <v>12</v>
      </c>
      <c r="C5" s="82" t="s">
        <v>287</v>
      </c>
      <c r="D5" s="16"/>
      <c r="E5" s="16"/>
      <c r="F5" s="16"/>
      <c r="G5" s="16"/>
      <c r="H5" s="16"/>
      <c r="I5" s="11"/>
      <c r="J5" s="11"/>
      <c r="K5" s="11"/>
      <c r="L5" s="11"/>
    </row>
    <row r="6" spans="1:12" s="15" customFormat="1" x14ac:dyDescent="0.35">
      <c r="A6" s="82" t="s">
        <v>288</v>
      </c>
      <c r="B6" s="17" t="s">
        <v>12</v>
      </c>
      <c r="C6" s="82" t="s">
        <v>130</v>
      </c>
      <c r="D6" s="16"/>
      <c r="E6" s="16"/>
      <c r="F6" s="16"/>
      <c r="G6" s="16"/>
      <c r="H6" s="16"/>
      <c r="I6" s="11"/>
      <c r="J6" s="11"/>
      <c r="K6" s="11"/>
      <c r="L6" s="11"/>
    </row>
    <row r="7" spans="1:12" s="15" customFormat="1" x14ac:dyDescent="0.35">
      <c r="A7" s="82" t="s">
        <v>289</v>
      </c>
      <c r="B7" s="17" t="s">
        <v>84</v>
      </c>
      <c r="C7" s="82" t="s">
        <v>130</v>
      </c>
      <c r="D7" s="16"/>
      <c r="E7" s="16"/>
      <c r="F7" s="16"/>
      <c r="G7" s="16"/>
      <c r="H7" s="16"/>
      <c r="I7" s="11"/>
      <c r="J7" s="11"/>
      <c r="K7" s="11"/>
      <c r="L7" s="11"/>
    </row>
    <row r="8" spans="1:12" s="15" customFormat="1" x14ac:dyDescent="0.35">
      <c r="A8" s="82" t="s">
        <v>273</v>
      </c>
      <c r="B8" s="17" t="s">
        <v>12</v>
      </c>
      <c r="C8" s="82" t="s">
        <v>130</v>
      </c>
      <c r="D8" s="16"/>
      <c r="E8" s="16"/>
      <c r="F8" s="16"/>
      <c r="G8" s="16"/>
      <c r="H8" s="16"/>
      <c r="I8" s="11"/>
      <c r="J8" s="11"/>
      <c r="K8" s="11"/>
      <c r="L8" s="11"/>
    </row>
    <row r="9" spans="1:12" s="15" customFormat="1" x14ac:dyDescent="0.35">
      <c r="A9" s="82"/>
      <c r="B9" s="17"/>
      <c r="C9" s="82"/>
      <c r="D9" s="16"/>
      <c r="E9" s="16"/>
      <c r="F9" s="16"/>
      <c r="G9" s="16"/>
      <c r="H9" s="16"/>
      <c r="I9" s="11"/>
      <c r="J9" s="11"/>
      <c r="K9" s="11"/>
      <c r="L9" s="11"/>
    </row>
    <row r="10" spans="1:12" s="15" customFormat="1" x14ac:dyDescent="0.35">
      <c r="A10" s="82"/>
      <c r="B10" s="17"/>
      <c r="C10" s="82"/>
      <c r="D10" s="16"/>
      <c r="E10" s="16"/>
      <c r="F10" s="16"/>
      <c r="G10" s="16"/>
      <c r="H10" s="16"/>
      <c r="I10" s="11"/>
      <c r="J10" s="11"/>
      <c r="K10" s="11"/>
      <c r="L10" s="11"/>
    </row>
    <row r="11" spans="1:12" s="15" customFormat="1" x14ac:dyDescent="0.35">
      <c r="A11" s="82"/>
      <c r="B11" s="17"/>
      <c r="C11" s="82"/>
      <c r="D11" s="16"/>
      <c r="E11" s="16"/>
      <c r="F11" s="16"/>
      <c r="G11" s="16"/>
      <c r="H11" s="16"/>
      <c r="I11" s="11"/>
      <c r="J11" s="11"/>
      <c r="K11" s="11"/>
      <c r="L11" s="11"/>
    </row>
    <row r="12" spans="1:12" s="15" customFormat="1" x14ac:dyDescent="0.35">
      <c r="A12" s="82"/>
      <c r="B12" s="17"/>
      <c r="C12" s="82"/>
      <c r="D12" s="16"/>
      <c r="E12" s="16"/>
      <c r="F12" s="16"/>
      <c r="G12" s="16"/>
      <c r="H12" s="16"/>
      <c r="I12" s="11"/>
      <c r="J12" s="11"/>
      <c r="K12" s="11"/>
      <c r="L12" s="11"/>
    </row>
    <row r="13" spans="1:12" s="15" customFormat="1" x14ac:dyDescent="0.35">
      <c r="A13" s="82"/>
      <c r="B13" s="17"/>
      <c r="C13" s="82"/>
      <c r="D13" s="16"/>
      <c r="E13" s="16"/>
      <c r="F13" s="16"/>
      <c r="G13" s="16"/>
      <c r="H13" s="16"/>
      <c r="I13" s="11"/>
      <c r="J13" s="11"/>
      <c r="K13" s="11"/>
      <c r="L13" s="11"/>
    </row>
    <row r="14" spans="1:12" x14ac:dyDescent="0.35">
      <c r="A14" s="14" t="s">
        <v>56</v>
      </c>
      <c r="B14" s="14" t="s">
        <v>31</v>
      </c>
      <c r="C14" s="14" t="s">
        <v>11</v>
      </c>
      <c r="D14" s="14" t="s">
        <v>29</v>
      </c>
      <c r="E14" s="14" t="s">
        <v>158</v>
      </c>
      <c r="F14" s="14"/>
      <c r="G14" s="14"/>
      <c r="H14" s="14"/>
      <c r="I14" s="14"/>
      <c r="J14" s="14"/>
      <c r="K14" s="14"/>
      <c r="L14" s="14"/>
    </row>
    <row r="15" spans="1:12" s="15" customFormat="1" x14ac:dyDescent="0.35">
      <c r="A15" s="82" t="s">
        <v>290</v>
      </c>
      <c r="B15" s="17" t="s">
        <v>12</v>
      </c>
      <c r="C15" s="82" t="s">
        <v>130</v>
      </c>
      <c r="D15" s="83" t="s">
        <v>291</v>
      </c>
      <c r="E15" s="82"/>
      <c r="F15" s="16"/>
      <c r="G15" s="16"/>
      <c r="H15" s="16"/>
      <c r="I15" s="16"/>
      <c r="J15" s="20"/>
      <c r="K15" s="16"/>
      <c r="L15" s="16"/>
    </row>
    <row r="16" spans="1:12" s="15" customFormat="1" x14ac:dyDescent="0.35">
      <c r="A16" s="82" t="s">
        <v>292</v>
      </c>
      <c r="B16" s="17" t="s">
        <v>84</v>
      </c>
      <c r="C16" s="82" t="s">
        <v>130</v>
      </c>
      <c r="D16" s="83" t="s">
        <v>293</v>
      </c>
      <c r="E16" s="82"/>
      <c r="F16" s="16"/>
      <c r="G16" s="16"/>
      <c r="H16" s="16"/>
      <c r="I16" s="16"/>
      <c r="J16" s="20"/>
      <c r="K16" s="16"/>
      <c r="L16" s="16"/>
    </row>
    <row r="17" spans="1:12" s="15" customFormat="1" x14ac:dyDescent="0.35">
      <c r="A17" s="82"/>
      <c r="B17" s="17"/>
      <c r="C17" s="82"/>
      <c r="D17" s="83"/>
      <c r="E17" s="82"/>
      <c r="F17" s="16"/>
      <c r="G17" s="16"/>
      <c r="H17" s="16"/>
      <c r="I17" s="16"/>
      <c r="J17" s="20"/>
      <c r="K17" s="16"/>
      <c r="L17" s="16"/>
    </row>
    <row r="18" spans="1:12" s="15" customFormat="1" x14ac:dyDescent="0.35">
      <c r="A18" s="82"/>
      <c r="B18" s="17"/>
      <c r="C18" s="82"/>
      <c r="D18" s="83"/>
      <c r="E18" s="82"/>
      <c r="F18" s="16"/>
      <c r="G18" s="16"/>
      <c r="H18" s="16"/>
      <c r="I18" s="16"/>
      <c r="J18" s="20"/>
      <c r="K18" s="16"/>
      <c r="L18" s="16"/>
    </row>
    <row r="19" spans="1:12" s="15" customFormat="1" x14ac:dyDescent="0.35">
      <c r="A19" s="82"/>
      <c r="B19" s="17"/>
      <c r="C19" s="82"/>
      <c r="D19" s="83"/>
      <c r="E19" s="82"/>
      <c r="F19" s="16"/>
      <c r="G19" s="16"/>
      <c r="H19" s="16"/>
      <c r="I19" s="16"/>
      <c r="J19" s="20"/>
      <c r="K19" s="16"/>
      <c r="L19" s="16"/>
    </row>
    <row r="20" spans="1:12" s="15" customFormat="1" x14ac:dyDescent="0.35">
      <c r="A20" s="82"/>
      <c r="B20" s="17"/>
      <c r="C20" s="82"/>
      <c r="D20" s="83"/>
      <c r="E20" s="82"/>
      <c r="F20" s="16"/>
      <c r="G20" s="16"/>
      <c r="H20" s="16"/>
      <c r="I20" s="16"/>
      <c r="J20" s="20"/>
      <c r="K20" s="16"/>
      <c r="L20" s="16"/>
    </row>
    <row r="21" spans="1:12" s="15" customFormat="1" x14ac:dyDescent="0.35">
      <c r="A21" s="82"/>
      <c r="B21" s="17"/>
      <c r="C21" s="82"/>
      <c r="D21" s="83"/>
      <c r="E21" s="82"/>
      <c r="F21" s="16"/>
      <c r="G21" s="16"/>
      <c r="H21" s="16"/>
      <c r="I21" s="16"/>
      <c r="J21" s="20"/>
      <c r="K21" s="16"/>
      <c r="L21" s="16"/>
    </row>
    <row r="22" spans="1:12" x14ac:dyDescent="0.35">
      <c r="A22" s="14" t="s">
        <v>55</v>
      </c>
      <c r="B22" s="14" t="s">
        <v>31</v>
      </c>
      <c r="C22" s="14" t="s">
        <v>30</v>
      </c>
      <c r="D22" s="14"/>
      <c r="E22" s="14"/>
      <c r="F22" s="14"/>
      <c r="G22" s="14"/>
      <c r="H22" s="14"/>
      <c r="I22" s="14"/>
      <c r="J22" s="14"/>
      <c r="K22" s="14"/>
      <c r="L22" s="14"/>
    </row>
    <row r="23" spans="1:12" s="15" customFormat="1" x14ac:dyDescent="0.35">
      <c r="A23" s="17"/>
      <c r="B23" s="17"/>
      <c r="C23" s="17"/>
      <c r="D23" s="16"/>
      <c r="E23" s="16"/>
      <c r="F23" s="16"/>
      <c r="G23" s="16"/>
      <c r="H23" s="16"/>
      <c r="I23" s="16"/>
      <c r="J23" s="20"/>
      <c r="K23" s="16"/>
      <c r="L23" s="16"/>
    </row>
    <row r="24" spans="1:12" s="15" customFormat="1" x14ac:dyDescent="0.35">
      <c r="A24" s="17"/>
      <c r="B24" s="17"/>
      <c r="C24" s="17"/>
      <c r="D24" s="16"/>
      <c r="E24" s="16"/>
      <c r="F24" s="16"/>
      <c r="G24" s="16"/>
      <c r="H24" s="16"/>
      <c r="I24" s="16"/>
      <c r="J24" s="20"/>
      <c r="K24" s="16"/>
      <c r="L24" s="16"/>
    </row>
    <row r="25" spans="1:12" s="15" customFormat="1" x14ac:dyDescent="0.35">
      <c r="A25" s="17"/>
      <c r="B25" s="17"/>
      <c r="C25" s="17"/>
      <c r="D25" s="16"/>
      <c r="E25" s="16"/>
      <c r="F25" s="16"/>
      <c r="G25" s="16"/>
      <c r="H25" s="16"/>
      <c r="I25" s="16"/>
      <c r="J25" s="20"/>
      <c r="K25" s="16"/>
      <c r="L25" s="16"/>
    </row>
    <row r="26" spans="1:12" s="15" customFormat="1" x14ac:dyDescent="0.35">
      <c r="A26" s="17"/>
      <c r="B26" s="17"/>
      <c r="C26" s="17"/>
      <c r="D26" s="16"/>
      <c r="E26" s="16"/>
      <c r="F26" s="16"/>
      <c r="G26" s="16"/>
      <c r="H26" s="16"/>
      <c r="I26" s="16"/>
      <c r="J26" s="20"/>
      <c r="K26" s="16"/>
      <c r="L26" s="16"/>
    </row>
    <row r="27" spans="1:12" s="15" customFormat="1" x14ac:dyDescent="0.35">
      <c r="A27" s="17"/>
      <c r="B27" s="17"/>
      <c r="C27" s="17"/>
      <c r="D27" s="16"/>
      <c r="E27" s="16"/>
      <c r="F27" s="16"/>
      <c r="G27" s="16"/>
      <c r="H27" s="16"/>
      <c r="I27" s="16"/>
      <c r="J27" s="20"/>
      <c r="K27" s="16"/>
      <c r="L27" s="16"/>
    </row>
    <row r="28" spans="1:12" x14ac:dyDescent="0.35">
      <c r="A28" s="14" t="s">
        <v>54</v>
      </c>
      <c r="B28" s="14" t="s">
        <v>31</v>
      </c>
      <c r="C28" s="14" t="s">
        <v>30</v>
      </c>
      <c r="D28" s="14" t="s">
        <v>45</v>
      </c>
      <c r="E28" s="14" t="s">
        <v>53</v>
      </c>
      <c r="F28" s="14" t="s">
        <v>52</v>
      </c>
      <c r="G28" s="14" t="s">
        <v>51</v>
      </c>
      <c r="H28" s="14"/>
      <c r="I28" s="14"/>
      <c r="J28" s="14"/>
      <c r="K28" s="14"/>
      <c r="L28" s="14"/>
    </row>
    <row r="29" spans="1:12" s="15" customFormat="1" x14ac:dyDescent="0.35">
      <c r="A29" s="17"/>
      <c r="B29" s="17"/>
      <c r="C29" s="17"/>
      <c r="D29" s="83"/>
      <c r="E29" s="83"/>
      <c r="F29" s="83"/>
      <c r="G29" s="83"/>
      <c r="H29" s="20"/>
      <c r="I29" s="11"/>
      <c r="J29" s="11"/>
      <c r="K29" s="11"/>
      <c r="L29" s="11"/>
    </row>
    <row r="30" spans="1:12" s="15" customFormat="1" x14ac:dyDescent="0.35">
      <c r="A30" s="17"/>
      <c r="B30" s="17"/>
      <c r="C30" s="17"/>
      <c r="D30" s="83"/>
      <c r="E30" s="83"/>
      <c r="F30" s="83"/>
      <c r="G30" s="83"/>
      <c r="H30" s="20"/>
      <c r="I30" s="11"/>
      <c r="J30" s="11"/>
      <c r="K30" s="11"/>
      <c r="L30" s="11"/>
    </row>
    <row r="31" spans="1:12" s="15" customFormat="1" x14ac:dyDescent="0.35">
      <c r="A31" s="17"/>
      <c r="B31" s="17"/>
      <c r="C31" s="17"/>
      <c r="D31" s="83"/>
      <c r="E31" s="83"/>
      <c r="F31" s="83"/>
      <c r="G31" s="83"/>
      <c r="H31" s="20"/>
      <c r="I31" s="11"/>
      <c r="J31" s="11"/>
      <c r="K31" s="11"/>
      <c r="L31" s="11"/>
    </row>
    <row r="32" spans="1:12" s="15" customFormat="1" x14ac:dyDescent="0.35">
      <c r="A32" s="17"/>
      <c r="B32" s="17"/>
      <c r="C32" s="17"/>
      <c r="D32" s="83"/>
      <c r="E32" s="83"/>
      <c r="F32" s="83"/>
      <c r="G32" s="83"/>
      <c r="H32" s="20"/>
      <c r="I32" s="11"/>
      <c r="J32" s="11"/>
      <c r="K32" s="11"/>
      <c r="L32" s="11"/>
    </row>
    <row r="33" spans="1:12" s="15" customFormat="1" x14ac:dyDescent="0.35">
      <c r="A33" s="17"/>
      <c r="B33" s="17"/>
      <c r="C33" s="17"/>
      <c r="D33" s="83"/>
      <c r="E33" s="83"/>
      <c r="F33" s="83"/>
      <c r="G33" s="83"/>
      <c r="H33" s="20"/>
      <c r="I33" s="11"/>
      <c r="J33" s="11"/>
      <c r="K33" s="11"/>
      <c r="L33" s="11"/>
    </row>
    <row r="34" spans="1:12" x14ac:dyDescent="0.35">
      <c r="A34" s="14" t="s">
        <v>50</v>
      </c>
      <c r="B34" s="14" t="s">
        <v>31</v>
      </c>
      <c r="C34" s="14"/>
      <c r="D34" s="14" t="s">
        <v>29</v>
      </c>
      <c r="E34" s="14"/>
      <c r="F34" s="14"/>
      <c r="G34" s="14"/>
      <c r="H34" s="14"/>
      <c r="I34" s="14"/>
      <c r="J34" s="14"/>
      <c r="K34" s="14"/>
      <c r="L34" s="14"/>
    </row>
    <row r="35" spans="1:12" s="15" customFormat="1" x14ac:dyDescent="0.35">
      <c r="A35" s="17" t="s">
        <v>294</v>
      </c>
      <c r="B35" s="17" t="s">
        <v>99</v>
      </c>
      <c r="C35" s="16"/>
      <c r="D35" s="83" t="s">
        <v>295</v>
      </c>
      <c r="E35" s="11"/>
      <c r="F35" s="11"/>
      <c r="G35" s="11"/>
      <c r="H35" s="11"/>
      <c r="I35" s="11"/>
      <c r="J35" s="11"/>
      <c r="K35" s="11"/>
      <c r="L35" s="11"/>
    </row>
    <row r="36" spans="1:12" s="15" customFormat="1" x14ac:dyDescent="0.35">
      <c r="A36" s="17" t="s">
        <v>296</v>
      </c>
      <c r="B36" s="17" t="s">
        <v>12</v>
      </c>
      <c r="C36" s="16"/>
      <c r="D36" s="83" t="s">
        <v>297</v>
      </c>
      <c r="E36" s="11"/>
      <c r="F36" s="11"/>
      <c r="G36" s="11"/>
      <c r="H36" s="11"/>
      <c r="I36" s="11"/>
      <c r="J36" s="11"/>
      <c r="K36" s="11"/>
      <c r="L36" s="11"/>
    </row>
    <row r="37" spans="1:12" s="15" customFormat="1" x14ac:dyDescent="0.35">
      <c r="A37" s="17" t="s">
        <v>298</v>
      </c>
      <c r="B37" s="17" t="s">
        <v>84</v>
      </c>
      <c r="C37" s="16"/>
      <c r="D37" s="83" t="s">
        <v>299</v>
      </c>
      <c r="E37" s="11"/>
      <c r="F37" s="11"/>
      <c r="G37" s="11"/>
      <c r="H37" s="11"/>
      <c r="I37" s="11"/>
      <c r="J37" s="11"/>
      <c r="K37" s="11"/>
      <c r="L37" s="11"/>
    </row>
    <row r="38" spans="1:12" s="15" customFormat="1" x14ac:dyDescent="0.35">
      <c r="A38" s="17" t="s">
        <v>300</v>
      </c>
      <c r="B38" s="17" t="s">
        <v>12</v>
      </c>
      <c r="C38" s="16"/>
      <c r="D38" s="83" t="s">
        <v>301</v>
      </c>
      <c r="E38" s="11"/>
      <c r="F38" s="11"/>
      <c r="G38" s="11"/>
      <c r="H38" s="11"/>
      <c r="I38" s="11"/>
      <c r="J38" s="11"/>
      <c r="K38" s="11"/>
      <c r="L38" s="11"/>
    </row>
    <row r="39" spans="1:12" s="15" customFormat="1" x14ac:dyDescent="0.35">
      <c r="A39" s="17" t="s">
        <v>302</v>
      </c>
      <c r="B39" s="17" t="s">
        <v>84</v>
      </c>
      <c r="C39" s="16"/>
      <c r="D39" s="83" t="s">
        <v>303</v>
      </c>
      <c r="E39" s="11"/>
      <c r="F39" s="11"/>
      <c r="G39" s="11"/>
      <c r="H39" s="11"/>
      <c r="I39" s="11"/>
      <c r="J39" s="11"/>
      <c r="K39" s="11"/>
      <c r="L39" s="11"/>
    </row>
    <row r="40" spans="1:12" s="15" customFormat="1" x14ac:dyDescent="0.35">
      <c r="A40" s="17" t="s">
        <v>304</v>
      </c>
      <c r="B40" s="17" t="s">
        <v>12</v>
      </c>
      <c r="C40" s="16"/>
      <c r="D40" s="83" t="s">
        <v>305</v>
      </c>
      <c r="E40" s="11"/>
      <c r="F40" s="11"/>
      <c r="G40" s="11"/>
      <c r="H40" s="11"/>
      <c r="I40" s="11"/>
      <c r="J40" s="11"/>
      <c r="K40" s="11"/>
      <c r="L40" s="11"/>
    </row>
    <row r="41" spans="1:12" s="15" customFormat="1" x14ac:dyDescent="0.35">
      <c r="A41" s="17"/>
      <c r="B41" s="17"/>
      <c r="C41" s="16"/>
      <c r="D41" s="83"/>
      <c r="E41" s="11"/>
      <c r="F41" s="11"/>
      <c r="G41" s="11"/>
      <c r="H41" s="11"/>
      <c r="I41" s="11"/>
      <c r="J41" s="11"/>
      <c r="K41" s="11"/>
      <c r="L41" s="11"/>
    </row>
    <row r="42" spans="1:12" s="15" customFormat="1" x14ac:dyDescent="0.35">
      <c r="A42" s="17"/>
      <c r="B42" s="17"/>
      <c r="C42" s="16"/>
      <c r="D42" s="83"/>
      <c r="E42" s="11"/>
      <c r="F42" s="11"/>
      <c r="G42" s="11"/>
      <c r="H42" s="11"/>
      <c r="I42" s="11"/>
      <c r="J42" s="11"/>
      <c r="K42" s="11"/>
      <c r="L42" s="11"/>
    </row>
    <row r="43" spans="1:12" s="15" customFormat="1" x14ac:dyDescent="0.35">
      <c r="A43" s="17"/>
      <c r="B43" s="17"/>
      <c r="C43" s="16"/>
      <c r="D43" s="83"/>
      <c r="E43" s="11"/>
      <c r="F43" s="11"/>
      <c r="G43" s="11"/>
      <c r="H43" s="11"/>
      <c r="I43" s="11"/>
      <c r="J43" s="11"/>
      <c r="K43" s="11"/>
      <c r="L43" s="11"/>
    </row>
    <row r="44" spans="1:12" s="15" customFormat="1" x14ac:dyDescent="0.35">
      <c r="A44" s="17"/>
      <c r="B44" s="17"/>
      <c r="C44" s="16"/>
      <c r="D44" s="83"/>
      <c r="E44" s="11"/>
      <c r="F44" s="11"/>
      <c r="G44" s="11"/>
      <c r="H44" s="11"/>
      <c r="I44" s="11"/>
      <c r="J44" s="11"/>
      <c r="K44" s="11"/>
      <c r="L44" s="11"/>
    </row>
    <row r="45" spans="1:12" s="15" customFormat="1" x14ac:dyDescent="0.35">
      <c r="A45" s="17"/>
      <c r="B45" s="17"/>
      <c r="C45" s="16"/>
      <c r="D45" s="83"/>
      <c r="E45" s="11"/>
      <c r="F45" s="11"/>
      <c r="G45" s="11"/>
      <c r="H45" s="11"/>
      <c r="I45" s="11"/>
      <c r="J45" s="11"/>
      <c r="K45" s="11"/>
      <c r="L45" s="11"/>
    </row>
    <row r="46" spans="1:12" x14ac:dyDescent="0.35">
      <c r="A46" s="19" t="s">
        <v>49</v>
      </c>
      <c r="B46" s="19" t="s">
        <v>31</v>
      </c>
      <c r="C46" s="19" t="s">
        <v>48</v>
      </c>
      <c r="D46" s="14"/>
      <c r="E46" s="14"/>
      <c r="F46" s="14"/>
      <c r="G46" s="14"/>
      <c r="H46" s="14"/>
      <c r="I46" s="14"/>
      <c r="J46" s="14"/>
      <c r="K46" s="14"/>
      <c r="L46" s="14"/>
    </row>
    <row r="47" spans="1:12" s="15" customFormat="1" x14ac:dyDescent="0.35">
      <c r="A47" s="17" t="s">
        <v>306</v>
      </c>
      <c r="B47" s="17" t="s">
        <v>99</v>
      </c>
      <c r="C47" s="17">
        <v>0.1</v>
      </c>
      <c r="D47" s="11"/>
      <c r="E47" s="11"/>
      <c r="F47" s="11"/>
      <c r="G47" s="11"/>
      <c r="H47" s="11"/>
      <c r="I47" s="11"/>
      <c r="J47" s="11"/>
      <c r="K47" s="11"/>
      <c r="L47" s="11"/>
    </row>
    <row r="48" spans="1:12" s="15" customFormat="1" x14ac:dyDescent="0.35">
      <c r="A48" s="17" t="s">
        <v>307</v>
      </c>
      <c r="B48" s="17" t="s">
        <v>99</v>
      </c>
      <c r="C48" s="17">
        <v>0.5</v>
      </c>
      <c r="D48" s="11"/>
      <c r="E48" s="11"/>
      <c r="F48" s="11"/>
      <c r="G48" s="11"/>
      <c r="H48" s="11"/>
      <c r="I48" s="11"/>
      <c r="J48" s="11"/>
      <c r="K48" s="11"/>
      <c r="L48" s="11"/>
    </row>
    <row r="49" spans="1:12" s="15" customFormat="1" x14ac:dyDescent="0.35">
      <c r="A49" s="17" t="s">
        <v>308</v>
      </c>
      <c r="B49" s="17" t="s">
        <v>98</v>
      </c>
      <c r="C49" s="17">
        <v>255</v>
      </c>
      <c r="D49" s="11"/>
      <c r="E49" s="11"/>
      <c r="F49" s="11"/>
      <c r="G49" s="11"/>
      <c r="H49" s="11"/>
      <c r="I49" s="11"/>
      <c r="J49" s="11"/>
      <c r="K49" s="11"/>
      <c r="L49" s="11"/>
    </row>
    <row r="50" spans="1:12" s="15" customFormat="1" x14ac:dyDescent="0.35">
      <c r="A50" s="17"/>
      <c r="B50" s="17"/>
      <c r="C50" s="17"/>
      <c r="D50" s="11"/>
      <c r="E50" s="11"/>
      <c r="F50" s="11"/>
      <c r="G50" s="11"/>
      <c r="H50" s="11"/>
      <c r="I50" s="11"/>
      <c r="J50" s="11"/>
      <c r="K50" s="11"/>
      <c r="L50" s="11"/>
    </row>
    <row r="51" spans="1:12" s="15" customFormat="1" x14ac:dyDescent="0.35">
      <c r="A51" s="17"/>
      <c r="B51" s="17"/>
      <c r="C51" s="17"/>
      <c r="D51" s="11"/>
      <c r="E51" s="11"/>
      <c r="F51" s="11"/>
      <c r="G51" s="11"/>
      <c r="H51" s="11"/>
      <c r="I51" s="11"/>
      <c r="J51" s="11"/>
      <c r="K51" s="11"/>
      <c r="L51" s="11"/>
    </row>
    <row r="52" spans="1:12" s="15" customFormat="1" x14ac:dyDescent="0.35">
      <c r="A52" s="17"/>
      <c r="B52" s="17"/>
      <c r="C52" s="17"/>
      <c r="D52" s="11"/>
      <c r="E52" s="11"/>
      <c r="F52" s="11"/>
      <c r="G52" s="11"/>
      <c r="H52" s="11"/>
      <c r="I52" s="11"/>
      <c r="J52" s="11"/>
      <c r="K52" s="11"/>
      <c r="L52" s="11"/>
    </row>
    <row r="53" spans="1:12" s="15" customFormat="1" x14ac:dyDescent="0.35">
      <c r="A53" s="17"/>
      <c r="B53" s="17"/>
      <c r="C53" s="17"/>
      <c r="D53" s="11"/>
      <c r="E53" s="11"/>
      <c r="F53" s="11"/>
      <c r="G53" s="11"/>
      <c r="H53" s="11"/>
      <c r="I53" s="11"/>
      <c r="J53" s="11"/>
      <c r="K53" s="11"/>
      <c r="L53" s="11"/>
    </row>
    <row r="54" spans="1:12" s="15" customFormat="1" x14ac:dyDescent="0.35">
      <c r="A54" s="17"/>
      <c r="B54" s="17"/>
      <c r="C54" s="17"/>
      <c r="D54" s="11"/>
      <c r="E54" s="11"/>
      <c r="F54" s="11"/>
      <c r="G54" s="11"/>
      <c r="H54" s="11"/>
      <c r="I54" s="11"/>
      <c r="J54" s="11"/>
      <c r="K54" s="11"/>
      <c r="L54" s="11"/>
    </row>
    <row r="55" spans="1:12" x14ac:dyDescent="0.35">
      <c r="A55" s="14" t="s">
        <v>47</v>
      </c>
      <c r="B55" s="14" t="s">
        <v>31</v>
      </c>
      <c r="C55" s="14"/>
      <c r="D55" s="14" t="s">
        <v>29</v>
      </c>
      <c r="E55" s="14"/>
      <c r="F55" s="14"/>
      <c r="G55" s="14"/>
      <c r="H55" s="14"/>
      <c r="I55" s="14"/>
      <c r="J55" s="14"/>
      <c r="K55" s="14"/>
      <c r="L55" s="14"/>
    </row>
    <row r="56" spans="1:12" s="15" customFormat="1" x14ac:dyDescent="0.35">
      <c r="A56" s="17"/>
      <c r="B56" s="17"/>
      <c r="C56" s="16"/>
      <c r="D56" s="17"/>
      <c r="E56" s="11"/>
      <c r="F56" s="11"/>
      <c r="G56" s="11"/>
      <c r="H56" s="11"/>
      <c r="I56" s="11"/>
      <c r="J56" s="11"/>
      <c r="K56" s="11"/>
      <c r="L56" s="11"/>
    </row>
    <row r="57" spans="1:12" s="15" customFormat="1" x14ac:dyDescent="0.35">
      <c r="A57" s="17"/>
      <c r="B57" s="17"/>
      <c r="C57" s="16"/>
      <c r="D57" s="17"/>
      <c r="E57" s="11"/>
      <c r="F57" s="11"/>
      <c r="G57" s="11"/>
      <c r="H57" s="11"/>
      <c r="I57" s="11"/>
      <c r="J57" s="11"/>
      <c r="K57" s="11"/>
      <c r="L57" s="11"/>
    </row>
    <row r="58" spans="1:12" s="15" customFormat="1" x14ac:dyDescent="0.35">
      <c r="A58" s="17"/>
      <c r="B58" s="17"/>
      <c r="C58" s="16"/>
      <c r="D58" s="17"/>
      <c r="E58" s="11"/>
      <c r="F58" s="11"/>
      <c r="G58" s="11"/>
      <c r="H58" s="11"/>
      <c r="I58" s="11"/>
      <c r="J58" s="11"/>
      <c r="K58" s="11"/>
      <c r="L58" s="11"/>
    </row>
    <row r="59" spans="1:12" s="15" customFormat="1" x14ac:dyDescent="0.35">
      <c r="A59" s="17"/>
      <c r="B59" s="17"/>
      <c r="C59" s="16"/>
      <c r="D59" s="17"/>
      <c r="E59" s="11"/>
      <c r="F59" s="11"/>
      <c r="G59" s="11"/>
      <c r="H59" s="11"/>
      <c r="I59" s="11"/>
      <c r="J59" s="11"/>
      <c r="K59" s="11"/>
      <c r="L59" s="11"/>
    </row>
    <row r="60" spans="1:12" s="15" customFormat="1" x14ac:dyDescent="0.35">
      <c r="A60" s="17"/>
      <c r="B60" s="17"/>
      <c r="C60" s="16"/>
      <c r="D60" s="17"/>
      <c r="E60" s="11"/>
      <c r="F60" s="11"/>
      <c r="G60" s="11"/>
      <c r="H60" s="11"/>
      <c r="I60" s="11"/>
      <c r="J60" s="11"/>
      <c r="K60" s="11"/>
      <c r="L60" s="11"/>
    </row>
    <row r="61" spans="1:12" x14ac:dyDescent="0.35">
      <c r="A61" s="14" t="s">
        <v>46</v>
      </c>
      <c r="B61" s="14" t="s">
        <v>31</v>
      </c>
      <c r="C61" s="14" t="s">
        <v>45</v>
      </c>
      <c r="D61" s="14" t="s">
        <v>29</v>
      </c>
      <c r="E61" s="14" t="s">
        <v>42</v>
      </c>
      <c r="F61" s="14" t="s">
        <v>44</v>
      </c>
      <c r="G61" s="14"/>
      <c r="H61" s="14"/>
      <c r="I61" s="14"/>
      <c r="J61" s="14"/>
      <c r="K61" s="14"/>
      <c r="L61" s="14"/>
    </row>
    <row r="62" spans="1:12" s="15" customFormat="1" x14ac:dyDescent="0.35">
      <c r="A62" s="17"/>
      <c r="B62" s="17"/>
      <c r="C62" s="17"/>
      <c r="D62" s="83"/>
      <c r="E62" s="83"/>
      <c r="F62" s="82"/>
      <c r="G62" s="16"/>
      <c r="H62" s="16"/>
      <c r="I62" s="11"/>
      <c r="J62" s="11"/>
      <c r="K62" s="11"/>
      <c r="L62" s="11"/>
    </row>
    <row r="63" spans="1:12" s="15" customFormat="1" x14ac:dyDescent="0.35">
      <c r="A63" s="17"/>
      <c r="B63" s="17"/>
      <c r="C63" s="17"/>
      <c r="D63" s="83"/>
      <c r="E63" s="83"/>
      <c r="F63" s="82"/>
      <c r="G63" s="16"/>
      <c r="H63" s="16"/>
      <c r="I63" s="11"/>
      <c r="J63" s="11"/>
      <c r="K63" s="11"/>
      <c r="L63" s="11"/>
    </row>
    <row r="64" spans="1:12" s="15" customFormat="1" x14ac:dyDescent="0.35">
      <c r="A64" s="17"/>
      <c r="B64" s="17"/>
      <c r="C64" s="17"/>
      <c r="D64" s="83"/>
      <c r="E64" s="83"/>
      <c r="F64" s="82"/>
      <c r="G64" s="16"/>
      <c r="H64" s="16"/>
      <c r="I64" s="11"/>
      <c r="J64" s="11"/>
      <c r="K64" s="11"/>
      <c r="L64" s="11"/>
    </row>
    <row r="65" spans="1:12" s="15" customFormat="1" x14ac:dyDescent="0.35">
      <c r="A65" s="17"/>
      <c r="B65" s="17"/>
      <c r="C65" s="17"/>
      <c r="D65" s="83"/>
      <c r="E65" s="83"/>
      <c r="F65" s="82"/>
      <c r="G65" s="16"/>
      <c r="H65" s="16"/>
      <c r="I65" s="11"/>
      <c r="J65" s="11"/>
      <c r="K65" s="11"/>
      <c r="L65" s="11"/>
    </row>
    <row r="66" spans="1:12" s="15" customFormat="1" x14ac:dyDescent="0.35">
      <c r="A66" s="17"/>
      <c r="B66" s="17"/>
      <c r="C66" s="17"/>
      <c r="D66" s="83"/>
      <c r="E66" s="83"/>
      <c r="F66" s="82"/>
      <c r="G66" s="16"/>
      <c r="H66" s="16"/>
      <c r="I66" s="11"/>
      <c r="J66" s="11"/>
      <c r="K66" s="11"/>
      <c r="L66" s="11"/>
    </row>
    <row r="67" spans="1:12" x14ac:dyDescent="0.35">
      <c r="A67" s="14" t="s">
        <v>43</v>
      </c>
      <c r="B67" s="14" t="s">
        <v>31</v>
      </c>
      <c r="C67" s="14" t="s">
        <v>30</v>
      </c>
      <c r="D67" s="14" t="s">
        <v>29</v>
      </c>
      <c r="E67" s="14" t="s">
        <v>42</v>
      </c>
      <c r="F67" s="14"/>
      <c r="G67" s="14"/>
      <c r="H67" s="14"/>
      <c r="I67" s="14"/>
      <c r="J67" s="14"/>
      <c r="K67" s="14"/>
      <c r="L67" s="14"/>
    </row>
    <row r="68" spans="1:12" x14ac:dyDescent="0.35">
      <c r="A68" s="18"/>
      <c r="B68" s="18"/>
      <c r="C68" s="18"/>
      <c r="D68" s="18"/>
      <c r="E68" s="18"/>
      <c r="F68" s="12"/>
      <c r="G68" s="12"/>
      <c r="H68" s="12"/>
      <c r="I68" s="12"/>
      <c r="J68" s="12"/>
      <c r="K68" s="12"/>
      <c r="L68" s="12"/>
    </row>
    <row r="69" spans="1:12" x14ac:dyDescent="0.35">
      <c r="A69" s="18"/>
      <c r="B69" s="18"/>
      <c r="C69" s="18"/>
      <c r="D69" s="18"/>
      <c r="E69" s="18"/>
      <c r="F69" s="12"/>
      <c r="G69" s="12"/>
      <c r="H69" s="12"/>
      <c r="I69" s="12"/>
      <c r="J69" s="12"/>
      <c r="K69" s="12"/>
      <c r="L69" s="12"/>
    </row>
    <row r="70" spans="1:12" x14ac:dyDescent="0.35">
      <c r="A70" s="18"/>
      <c r="B70" s="18"/>
      <c r="C70" s="18"/>
      <c r="D70" s="18"/>
      <c r="E70" s="18"/>
      <c r="F70" s="12"/>
      <c r="G70" s="12"/>
      <c r="H70" s="12"/>
      <c r="I70" s="12"/>
      <c r="J70" s="12"/>
      <c r="K70" s="12"/>
      <c r="L70" s="12"/>
    </row>
    <row r="71" spans="1:12" x14ac:dyDescent="0.35">
      <c r="A71" s="18"/>
      <c r="B71" s="18"/>
      <c r="C71" s="18"/>
      <c r="D71" s="18"/>
      <c r="E71" s="18"/>
      <c r="F71" s="12"/>
      <c r="G71" s="12"/>
      <c r="H71" s="12"/>
      <c r="I71" s="12"/>
      <c r="J71" s="12"/>
      <c r="K71" s="12"/>
      <c r="L71" s="12"/>
    </row>
    <row r="72" spans="1:12" x14ac:dyDescent="0.35">
      <c r="A72" s="18"/>
      <c r="B72" s="18"/>
      <c r="C72" s="18"/>
      <c r="D72" s="18"/>
      <c r="E72" s="18"/>
      <c r="F72" s="12"/>
      <c r="G72" s="12"/>
      <c r="H72" s="12"/>
      <c r="I72" s="12"/>
      <c r="J72" s="12"/>
      <c r="K72" s="12"/>
      <c r="L72" s="12"/>
    </row>
    <row r="73" spans="1:12" x14ac:dyDescent="0.35">
      <c r="A73" s="14" t="s">
        <v>41</v>
      </c>
      <c r="B73" s="14" t="s">
        <v>31</v>
      </c>
      <c r="C73" s="14" t="s">
        <v>30</v>
      </c>
      <c r="D73" s="14" t="s">
        <v>29</v>
      </c>
      <c r="E73" s="14" t="s">
        <v>40</v>
      </c>
      <c r="F73" s="14" t="s">
        <v>37</v>
      </c>
      <c r="G73" s="14" t="s">
        <v>36</v>
      </c>
      <c r="H73" s="14"/>
      <c r="I73" s="14"/>
      <c r="J73" s="14"/>
      <c r="K73" s="14"/>
      <c r="L73" s="14"/>
    </row>
    <row r="74" spans="1:12" s="15" customFormat="1" x14ac:dyDescent="0.35">
      <c r="A74" s="17"/>
      <c r="B74" s="17"/>
      <c r="C74" s="17"/>
      <c r="D74" s="83"/>
      <c r="E74" s="83"/>
      <c r="F74" s="83"/>
      <c r="G74" s="83"/>
      <c r="H74" s="11"/>
      <c r="I74" s="11"/>
      <c r="J74" s="11"/>
      <c r="K74" s="11"/>
      <c r="L74" s="11"/>
    </row>
    <row r="75" spans="1:12" s="15" customFormat="1" x14ac:dyDescent="0.35">
      <c r="A75" s="17"/>
      <c r="B75" s="17"/>
      <c r="C75" s="17"/>
      <c r="D75" s="83"/>
      <c r="E75" s="83"/>
      <c r="F75" s="83"/>
      <c r="G75" s="83"/>
      <c r="H75" s="11"/>
      <c r="I75" s="11"/>
      <c r="J75" s="11"/>
      <c r="K75" s="11"/>
      <c r="L75" s="11"/>
    </row>
    <row r="76" spans="1:12" s="15" customFormat="1" x14ac:dyDescent="0.35">
      <c r="A76" s="17"/>
      <c r="B76" s="17"/>
      <c r="C76" s="17"/>
      <c r="D76" s="83"/>
      <c r="E76" s="83"/>
      <c r="F76" s="83"/>
      <c r="G76" s="83"/>
      <c r="H76" s="11"/>
      <c r="I76" s="11"/>
      <c r="J76" s="11"/>
      <c r="K76" s="11"/>
      <c r="L76" s="11"/>
    </row>
    <row r="77" spans="1:12" s="15" customFormat="1" x14ac:dyDescent="0.35">
      <c r="A77" s="17"/>
      <c r="B77" s="17"/>
      <c r="C77" s="17"/>
      <c r="D77" s="83"/>
      <c r="E77" s="83"/>
      <c r="F77" s="83"/>
      <c r="G77" s="83"/>
      <c r="H77" s="11"/>
      <c r="I77" s="11"/>
      <c r="J77" s="11"/>
      <c r="K77" s="11"/>
      <c r="L77" s="11"/>
    </row>
    <row r="78" spans="1:12" s="15" customFormat="1" x14ac:dyDescent="0.35">
      <c r="A78" s="17"/>
      <c r="B78" s="17"/>
      <c r="C78" s="17"/>
      <c r="D78" s="83"/>
      <c r="E78" s="83"/>
      <c r="F78" s="83"/>
      <c r="G78" s="83"/>
      <c r="H78" s="11"/>
      <c r="I78" s="11"/>
      <c r="J78" s="11"/>
      <c r="K78" s="11"/>
      <c r="L78" s="11"/>
    </row>
    <row r="79" spans="1:12" customFormat="1" x14ac:dyDescent="0.35">
      <c r="A79" s="60" t="s">
        <v>160</v>
      </c>
      <c r="B79" s="60" t="s">
        <v>31</v>
      </c>
      <c r="C79" s="60" t="s">
        <v>30</v>
      </c>
      <c r="D79" s="60" t="s">
        <v>29</v>
      </c>
      <c r="E79" s="60" t="s">
        <v>28</v>
      </c>
      <c r="F79" s="60" t="s">
        <v>161</v>
      </c>
      <c r="G79" s="60" t="s">
        <v>37</v>
      </c>
      <c r="H79" s="60" t="s">
        <v>36</v>
      </c>
      <c r="I79" s="14"/>
      <c r="J79" s="14"/>
      <c r="K79" s="14"/>
      <c r="L79" s="14"/>
    </row>
    <row r="80" spans="1:12" customFormat="1" x14ac:dyDescent="0.35">
      <c r="A80" s="84"/>
      <c r="B80" s="84"/>
      <c r="C80" s="84"/>
      <c r="D80" s="84"/>
      <c r="E80" s="84"/>
      <c r="F80" s="84"/>
      <c r="G80" s="84"/>
      <c r="H80" s="84"/>
      <c r="I80" s="11"/>
      <c r="J80" s="11"/>
      <c r="K80" s="11"/>
      <c r="L80" s="11"/>
    </row>
    <row r="81" spans="1:12" customFormat="1" x14ac:dyDescent="0.35">
      <c r="A81" s="84"/>
      <c r="B81" s="84"/>
      <c r="C81" s="84"/>
      <c r="D81" s="84"/>
      <c r="E81" s="84"/>
      <c r="F81" s="84"/>
      <c r="G81" s="84"/>
      <c r="H81" s="84"/>
      <c r="I81" s="11"/>
      <c r="J81" s="11"/>
      <c r="K81" s="11"/>
      <c r="L81" s="11"/>
    </row>
    <row r="82" spans="1:12" customFormat="1" x14ac:dyDescent="0.35">
      <c r="A82" s="84"/>
      <c r="B82" s="84"/>
      <c r="C82" s="84"/>
      <c r="D82" s="84"/>
      <c r="E82" s="84"/>
      <c r="F82" s="84"/>
      <c r="G82" s="84"/>
      <c r="H82" s="84"/>
      <c r="I82" s="11"/>
      <c r="J82" s="11"/>
      <c r="K82" s="11"/>
      <c r="L82" s="11"/>
    </row>
    <row r="83" spans="1:12" customFormat="1" x14ac:dyDescent="0.35">
      <c r="A83" s="84"/>
      <c r="B83" s="84"/>
      <c r="C83" s="84"/>
      <c r="D83" s="84"/>
      <c r="E83" s="84"/>
      <c r="F83" s="84"/>
      <c r="G83" s="84"/>
      <c r="H83" s="84"/>
      <c r="I83" s="11"/>
      <c r="J83" s="11"/>
      <c r="K83" s="11"/>
      <c r="L83" s="11"/>
    </row>
    <row r="84" spans="1:12" customFormat="1" x14ac:dyDescent="0.35">
      <c r="A84" s="84"/>
      <c r="B84" s="84"/>
      <c r="C84" s="84"/>
      <c r="D84" s="84"/>
      <c r="E84" s="84"/>
      <c r="F84" s="84"/>
      <c r="G84" s="84"/>
      <c r="H84" s="84"/>
      <c r="I84" s="11"/>
      <c r="J84" s="11"/>
      <c r="K84" s="11"/>
      <c r="L84" s="11"/>
    </row>
    <row r="85" spans="1:12" x14ac:dyDescent="0.35">
      <c r="A85" s="14" t="s">
        <v>39</v>
      </c>
      <c r="B85" s="14" t="s">
        <v>31</v>
      </c>
      <c r="C85" s="14" t="s">
        <v>30</v>
      </c>
      <c r="D85" s="14" t="s">
        <v>29</v>
      </c>
      <c r="E85" s="14" t="s">
        <v>38</v>
      </c>
      <c r="F85" s="14" t="s">
        <v>37</v>
      </c>
      <c r="G85" s="14" t="s">
        <v>36</v>
      </c>
      <c r="H85" s="14"/>
      <c r="I85" s="14"/>
      <c r="J85" s="14"/>
      <c r="K85" s="14"/>
      <c r="L85" s="14"/>
    </row>
    <row r="86" spans="1:12" s="15" customFormat="1" x14ac:dyDescent="0.35">
      <c r="A86" s="17"/>
      <c r="B86" s="17"/>
      <c r="C86" s="17"/>
      <c r="D86" s="83"/>
      <c r="E86" s="83"/>
      <c r="F86" s="83"/>
      <c r="G86" s="83"/>
      <c r="H86" s="11"/>
      <c r="I86" s="11"/>
      <c r="J86" s="11"/>
      <c r="K86" s="11"/>
      <c r="L86" s="11"/>
    </row>
    <row r="87" spans="1:12" s="15" customFormat="1" x14ac:dyDescent="0.35">
      <c r="A87" s="17"/>
      <c r="B87" s="17"/>
      <c r="C87" s="17"/>
      <c r="D87" s="83"/>
      <c r="E87" s="83"/>
      <c r="F87" s="83"/>
      <c r="G87" s="83"/>
      <c r="H87" s="11"/>
      <c r="I87" s="11"/>
      <c r="J87" s="11"/>
      <c r="K87" s="11"/>
      <c r="L87" s="11"/>
    </row>
    <row r="88" spans="1:12" s="15" customFormat="1" x14ac:dyDescent="0.35">
      <c r="A88" s="17"/>
      <c r="B88" s="17"/>
      <c r="C88" s="17"/>
      <c r="D88" s="83"/>
      <c r="E88" s="83"/>
      <c r="F88" s="83"/>
      <c r="G88" s="83"/>
      <c r="H88" s="11"/>
      <c r="I88" s="11"/>
      <c r="J88" s="11"/>
      <c r="K88" s="11"/>
      <c r="L88" s="11"/>
    </row>
    <row r="89" spans="1:12" s="15" customFormat="1" x14ac:dyDescent="0.35">
      <c r="A89" s="17"/>
      <c r="B89" s="17"/>
      <c r="C89" s="17"/>
      <c r="D89" s="83"/>
      <c r="E89" s="83"/>
      <c r="F89" s="83"/>
      <c r="G89" s="83"/>
      <c r="H89" s="11"/>
      <c r="I89" s="11"/>
      <c r="J89" s="11"/>
      <c r="K89" s="11"/>
      <c r="L89" s="11"/>
    </row>
    <row r="90" spans="1:12" s="15" customFormat="1" x14ac:dyDescent="0.35">
      <c r="A90" s="17"/>
      <c r="B90" s="17"/>
      <c r="C90" s="17"/>
      <c r="D90" s="83"/>
      <c r="E90" s="83"/>
      <c r="F90" s="83"/>
      <c r="G90" s="83"/>
      <c r="H90" s="11"/>
      <c r="I90" s="11"/>
      <c r="J90" s="11"/>
      <c r="K90" s="11"/>
      <c r="L90" s="11"/>
    </row>
    <row r="91" spans="1:12" x14ac:dyDescent="0.35">
      <c r="A91" s="14" t="s">
        <v>35</v>
      </c>
      <c r="B91" s="14" t="s">
        <v>31</v>
      </c>
      <c r="C91" s="14" t="s">
        <v>33</v>
      </c>
      <c r="D91" s="14" t="s">
        <v>29</v>
      </c>
      <c r="E91" s="14"/>
      <c r="F91" s="14"/>
      <c r="G91" s="14"/>
      <c r="H91" s="14"/>
      <c r="I91" s="14"/>
      <c r="J91" s="14"/>
      <c r="K91" s="14"/>
      <c r="L91" s="14"/>
    </row>
    <row r="92" spans="1:12" s="15" customFormat="1" x14ac:dyDescent="0.35">
      <c r="A92" s="17"/>
      <c r="B92" s="17"/>
      <c r="C92" s="17"/>
      <c r="D92" s="83"/>
      <c r="E92" s="16"/>
      <c r="F92" s="16"/>
      <c r="G92" s="16"/>
      <c r="H92" s="16"/>
      <c r="I92" s="11"/>
      <c r="J92" s="11"/>
      <c r="K92" s="11"/>
      <c r="L92" s="11"/>
    </row>
    <row r="93" spans="1:12" s="15" customFormat="1" x14ac:dyDescent="0.35">
      <c r="A93" s="17"/>
      <c r="B93" s="17"/>
      <c r="C93" s="17"/>
      <c r="D93" s="83"/>
      <c r="E93" s="16"/>
      <c r="F93" s="16"/>
      <c r="G93" s="16"/>
      <c r="H93" s="16"/>
      <c r="I93" s="11"/>
      <c r="J93" s="11"/>
      <c r="K93" s="11"/>
      <c r="L93" s="11"/>
    </row>
    <row r="94" spans="1:12" s="15" customFormat="1" x14ac:dyDescent="0.35">
      <c r="A94" s="17"/>
      <c r="B94" s="17"/>
      <c r="C94" s="17"/>
      <c r="D94" s="83"/>
      <c r="E94" s="16"/>
      <c r="F94" s="16"/>
      <c r="G94" s="16"/>
      <c r="H94" s="16"/>
      <c r="I94" s="11"/>
      <c r="J94" s="11"/>
      <c r="K94" s="11"/>
      <c r="L94" s="11"/>
    </row>
    <row r="95" spans="1:12" s="15" customFormat="1" x14ac:dyDescent="0.35">
      <c r="A95" s="17"/>
      <c r="B95" s="17"/>
      <c r="C95" s="17"/>
      <c r="D95" s="83"/>
      <c r="E95" s="16"/>
      <c r="F95" s="16"/>
      <c r="G95" s="16"/>
      <c r="H95" s="16"/>
      <c r="I95" s="11"/>
      <c r="J95" s="11"/>
      <c r="K95" s="11"/>
      <c r="L95" s="11"/>
    </row>
    <row r="96" spans="1:12" s="15" customFormat="1" x14ac:dyDescent="0.35">
      <c r="A96" s="17"/>
      <c r="B96" s="17"/>
      <c r="C96" s="17"/>
      <c r="D96" s="83"/>
      <c r="E96" s="16"/>
      <c r="F96" s="16"/>
      <c r="G96" s="16"/>
      <c r="H96" s="16"/>
      <c r="I96" s="11"/>
      <c r="J96" s="11"/>
      <c r="K96" s="11"/>
      <c r="L96" s="11"/>
    </row>
    <row r="97" spans="1:12" x14ac:dyDescent="0.35">
      <c r="A97" s="14" t="s">
        <v>34</v>
      </c>
      <c r="B97" s="14" t="s">
        <v>31</v>
      </c>
      <c r="C97" s="14" t="s">
        <v>33</v>
      </c>
      <c r="D97" s="14" t="s">
        <v>29</v>
      </c>
      <c r="E97" s="14"/>
      <c r="F97" s="14"/>
      <c r="G97" s="14"/>
      <c r="H97" s="14"/>
      <c r="I97" s="14"/>
      <c r="J97" s="14"/>
      <c r="K97" s="14"/>
      <c r="L97" s="14"/>
    </row>
    <row r="98" spans="1:12" s="15" customFormat="1" x14ac:dyDescent="0.35">
      <c r="A98" s="17"/>
      <c r="B98" s="17"/>
      <c r="C98" s="17"/>
      <c r="D98" s="83"/>
      <c r="E98" s="16"/>
      <c r="F98" s="16"/>
      <c r="G98" s="16"/>
      <c r="H98" s="16"/>
      <c r="I98" s="11"/>
      <c r="J98" s="11"/>
      <c r="K98" s="11"/>
      <c r="L98" s="11"/>
    </row>
    <row r="99" spans="1:12" s="15" customFormat="1" x14ac:dyDescent="0.35">
      <c r="A99" s="17"/>
      <c r="B99" s="17"/>
      <c r="C99" s="17"/>
      <c r="D99" s="83"/>
      <c r="E99" s="16"/>
      <c r="F99" s="16"/>
      <c r="G99" s="16"/>
      <c r="H99" s="16"/>
      <c r="I99" s="11"/>
      <c r="J99" s="11"/>
      <c r="K99" s="11"/>
      <c r="L99" s="11"/>
    </row>
    <row r="100" spans="1:12" s="15" customFormat="1" x14ac:dyDescent="0.35">
      <c r="A100" s="17"/>
      <c r="B100" s="17"/>
      <c r="C100" s="17"/>
      <c r="D100" s="83"/>
      <c r="E100" s="16"/>
      <c r="F100" s="16"/>
      <c r="G100" s="16"/>
      <c r="H100" s="16"/>
      <c r="I100" s="11"/>
      <c r="J100" s="11"/>
      <c r="K100" s="11"/>
      <c r="L100" s="11"/>
    </row>
    <row r="101" spans="1:12" s="15" customFormat="1" x14ac:dyDescent="0.35">
      <c r="A101" s="17"/>
      <c r="B101" s="17"/>
      <c r="C101" s="17"/>
      <c r="D101" s="83"/>
      <c r="E101" s="16"/>
      <c r="F101" s="16"/>
      <c r="G101" s="16"/>
      <c r="H101" s="16"/>
      <c r="I101" s="11"/>
      <c r="J101" s="11"/>
      <c r="K101" s="11"/>
      <c r="L101" s="11"/>
    </row>
    <row r="102" spans="1:12" s="15" customFormat="1" x14ac:dyDescent="0.35">
      <c r="A102" s="17"/>
      <c r="B102" s="17"/>
      <c r="C102" s="17"/>
      <c r="D102" s="83"/>
      <c r="E102" s="16"/>
      <c r="F102" s="16"/>
      <c r="G102" s="16"/>
      <c r="H102" s="16"/>
      <c r="I102" s="11"/>
      <c r="J102" s="11"/>
      <c r="K102" s="11"/>
      <c r="L102" s="11"/>
    </row>
    <row r="103" spans="1:12" x14ac:dyDescent="0.35">
      <c r="A103" s="14" t="s">
        <v>32</v>
      </c>
      <c r="B103" s="14" t="s">
        <v>31</v>
      </c>
      <c r="C103" s="14" t="s">
        <v>30</v>
      </c>
      <c r="D103" s="14" t="s">
        <v>29</v>
      </c>
      <c r="E103" s="14" t="s">
        <v>28</v>
      </c>
      <c r="F103" s="14"/>
      <c r="G103" s="14"/>
      <c r="H103" s="14"/>
      <c r="I103" s="14"/>
      <c r="J103" s="14"/>
      <c r="K103" s="14"/>
      <c r="L103" s="14"/>
    </row>
    <row r="104" spans="1:12" s="15" customFormat="1" x14ac:dyDescent="0.35">
      <c r="A104" s="17"/>
      <c r="B104" s="17"/>
      <c r="C104" s="17"/>
      <c r="D104" s="83"/>
      <c r="E104" s="83"/>
      <c r="F104" s="16"/>
      <c r="G104" s="16"/>
      <c r="H104" s="16"/>
      <c r="I104" s="11"/>
      <c r="J104" s="11"/>
      <c r="K104" s="11"/>
      <c r="L104" s="11"/>
    </row>
    <row r="105" spans="1:12" s="15" customFormat="1" x14ac:dyDescent="0.35">
      <c r="A105" s="17"/>
      <c r="B105" s="17"/>
      <c r="C105" s="17"/>
      <c r="D105" s="83"/>
      <c r="E105" s="83"/>
      <c r="F105" s="16"/>
      <c r="G105" s="16"/>
      <c r="H105" s="16"/>
      <c r="I105" s="11"/>
      <c r="J105" s="11"/>
      <c r="K105" s="11"/>
      <c r="L105" s="11"/>
    </row>
    <row r="106" spans="1:12" s="15" customFormat="1" x14ac:dyDescent="0.35">
      <c r="A106" s="17"/>
      <c r="B106" s="17"/>
      <c r="C106" s="17"/>
      <c r="D106" s="83"/>
      <c r="E106" s="83"/>
      <c r="F106" s="16"/>
      <c r="G106" s="16"/>
      <c r="H106" s="16"/>
      <c r="I106" s="11"/>
      <c r="J106" s="11"/>
      <c r="K106" s="11"/>
      <c r="L106" s="11"/>
    </row>
    <row r="107" spans="1:12" s="15" customFormat="1" x14ac:dyDescent="0.35">
      <c r="A107" s="17"/>
      <c r="B107" s="17"/>
      <c r="C107" s="17"/>
      <c r="D107" s="83"/>
      <c r="E107" s="83"/>
      <c r="F107" s="16"/>
      <c r="G107" s="16"/>
      <c r="H107" s="16"/>
      <c r="I107" s="11"/>
      <c r="J107" s="11"/>
      <c r="K107" s="11"/>
      <c r="L107" s="11"/>
    </row>
    <row r="108" spans="1:12" s="15" customFormat="1" x14ac:dyDescent="0.35">
      <c r="A108" s="17"/>
      <c r="B108" s="17"/>
      <c r="C108" s="17"/>
      <c r="D108" s="83"/>
      <c r="E108" s="83"/>
      <c r="F108" s="16"/>
      <c r="G108" s="16"/>
      <c r="H108" s="16"/>
      <c r="I108" s="11"/>
      <c r="J108" s="11"/>
      <c r="K108" s="11"/>
      <c r="L108" s="11"/>
    </row>
    <row r="109" spans="1:12" x14ac:dyDescent="0.35">
      <c r="A109" s="14" t="s">
        <v>27</v>
      </c>
      <c r="B109" s="14" t="s">
        <v>26</v>
      </c>
      <c r="C109" s="14"/>
      <c r="D109" s="14"/>
      <c r="E109" s="14"/>
      <c r="F109" s="14"/>
      <c r="G109" s="14"/>
      <c r="H109" s="14"/>
      <c r="I109" s="14"/>
      <c r="J109" s="14"/>
      <c r="K109" s="14"/>
      <c r="L109" s="14"/>
    </row>
    <row r="110" spans="1:12" x14ac:dyDescent="0.35">
      <c r="A110" s="13" t="s">
        <v>25</v>
      </c>
      <c r="B110" s="13" t="s">
        <v>24</v>
      </c>
      <c r="C110" s="12"/>
      <c r="D110" s="11"/>
      <c r="E110" s="11"/>
      <c r="F110" s="11"/>
      <c r="G110" s="11"/>
      <c r="H110" s="11"/>
      <c r="I110" s="11"/>
      <c r="J110" s="11"/>
      <c r="K110" s="11"/>
      <c r="L110" s="11"/>
    </row>
    <row r="111" spans="1:12" x14ac:dyDescent="0.35">
      <c r="A111" s="14" t="s">
        <v>23</v>
      </c>
      <c r="B111" s="14"/>
      <c r="C111" s="14"/>
      <c r="D111" s="14"/>
      <c r="E111" s="14"/>
      <c r="F111" s="14"/>
      <c r="G111" s="14"/>
      <c r="H111" s="14"/>
      <c r="I111" s="14"/>
      <c r="J111" s="14"/>
      <c r="K111" s="14"/>
      <c r="L111" s="14"/>
    </row>
    <row r="112" spans="1:12" x14ac:dyDescent="0.35">
      <c r="A112" s="13" t="s">
        <v>21</v>
      </c>
      <c r="B112" s="12"/>
      <c r="C112" s="12"/>
      <c r="D112" s="11"/>
      <c r="E112" s="11"/>
      <c r="F112" s="11"/>
      <c r="G112" s="11"/>
      <c r="H112" s="11"/>
      <c r="I112" s="11"/>
      <c r="J112" s="11"/>
      <c r="K112" s="11"/>
      <c r="L112" s="11"/>
    </row>
    <row r="113" spans="1:12" x14ac:dyDescent="0.35">
      <c r="A113" s="14" t="s">
        <v>22</v>
      </c>
      <c r="B113" s="14"/>
      <c r="C113" s="14"/>
      <c r="D113" s="14"/>
      <c r="E113" s="14"/>
      <c r="F113" s="14"/>
      <c r="G113" s="14"/>
      <c r="H113" s="14"/>
      <c r="I113" s="14"/>
      <c r="J113" s="14"/>
      <c r="K113" s="14"/>
      <c r="L113" s="14"/>
    </row>
    <row r="114" spans="1:12" x14ac:dyDescent="0.35">
      <c r="A114" s="13" t="s">
        <v>21</v>
      </c>
      <c r="B114" s="12"/>
      <c r="C114" s="12"/>
      <c r="D114" s="11"/>
      <c r="E114" s="11"/>
      <c r="F114" s="11"/>
      <c r="G114" s="11"/>
      <c r="H114" s="11"/>
      <c r="I114" s="11"/>
      <c r="J114" s="11"/>
      <c r="K114" s="11"/>
      <c r="L114"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65</v>
      </c>
      <c r="E2" s="7" t="s">
        <v>217</v>
      </c>
    </row>
    <row r="3" spans="2:5" x14ac:dyDescent="0.35">
      <c r="B3" t="s">
        <v>15</v>
      </c>
      <c r="C3" t="s">
        <v>16</v>
      </c>
      <c r="D3" t="s">
        <v>66</v>
      </c>
      <c r="E3" t="s">
        <v>16</v>
      </c>
    </row>
    <row r="4" spans="2:5" x14ac:dyDescent="0.35">
      <c r="B4" t="s">
        <v>17</v>
      </c>
      <c r="C4" t="s">
        <v>20</v>
      </c>
      <c r="D4" t="s">
        <v>104</v>
      </c>
      <c r="E4" t="s">
        <v>20</v>
      </c>
    </row>
    <row r="5" spans="2:5" x14ac:dyDescent="0.35">
      <c r="C5" t="s">
        <v>101</v>
      </c>
      <c r="D5" t="s">
        <v>103</v>
      </c>
      <c r="E5" t="s">
        <v>101</v>
      </c>
    </row>
    <row r="6" spans="2:5" x14ac:dyDescent="0.35">
      <c r="C6" t="s">
        <v>102</v>
      </c>
      <c r="E6" t="s">
        <v>102</v>
      </c>
    </row>
    <row r="7" spans="2:5" x14ac:dyDescent="0.35">
      <c r="C7" t="s">
        <v>100</v>
      </c>
      <c r="E7" t="s">
        <v>100</v>
      </c>
    </row>
    <row r="8" spans="2:5" x14ac:dyDescent="0.35">
      <c r="C8" t="s">
        <v>60</v>
      </c>
      <c r="E8" t="s">
        <v>60</v>
      </c>
    </row>
    <row r="9" spans="2:5" x14ac:dyDescent="0.35">
      <c r="C9" t="s">
        <v>117</v>
      </c>
      <c r="E9" t="s">
        <v>117</v>
      </c>
    </row>
    <row r="10" spans="2:5" x14ac:dyDescent="0.35">
      <c r="C10" t="s">
        <v>61</v>
      </c>
      <c r="E10" t="s">
        <v>216</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111</v>
      </c>
      <c r="B1" s="50" t="s">
        <v>112</v>
      </c>
      <c r="C1" s="48" t="s">
        <v>113</v>
      </c>
      <c r="D1" s="48" t="s">
        <v>115</v>
      </c>
    </row>
    <row r="2" spans="1:4" x14ac:dyDescent="0.35">
      <c r="A2" t="s">
        <v>109</v>
      </c>
      <c r="B2" s="49">
        <v>42691</v>
      </c>
      <c r="C2" t="s">
        <v>114</v>
      </c>
      <c r="D2" t="s">
        <v>116</v>
      </c>
    </row>
    <row r="3" spans="1:4" ht="29" x14ac:dyDescent="0.35">
      <c r="A3" t="s">
        <v>110</v>
      </c>
      <c r="B3" s="49">
        <v>42692</v>
      </c>
      <c r="C3" t="s">
        <v>114</v>
      </c>
      <c r="D3" s="7" t="s">
        <v>118</v>
      </c>
    </row>
    <row r="4" spans="1:4" x14ac:dyDescent="0.35">
      <c r="A4" t="s">
        <v>119</v>
      </c>
      <c r="B4" s="49">
        <v>42711</v>
      </c>
      <c r="C4" t="s">
        <v>114</v>
      </c>
      <c r="D4" t="s">
        <v>120</v>
      </c>
    </row>
    <row r="5" spans="1:4" ht="58" x14ac:dyDescent="0.35">
      <c r="A5" t="s">
        <v>121</v>
      </c>
      <c r="B5" s="49">
        <v>42760</v>
      </c>
      <c r="C5" t="s">
        <v>114</v>
      </c>
      <c r="D5" s="7" t="s">
        <v>125</v>
      </c>
    </row>
    <row r="6" spans="1:4" ht="87" x14ac:dyDescent="0.35">
      <c r="A6" t="s">
        <v>127</v>
      </c>
      <c r="B6" s="49">
        <v>42927</v>
      </c>
      <c r="C6" t="s">
        <v>114</v>
      </c>
      <c r="D6" s="7" t="s">
        <v>132</v>
      </c>
    </row>
    <row r="7" spans="1:4" ht="101.5" x14ac:dyDescent="0.35">
      <c r="A7" t="s">
        <v>133</v>
      </c>
      <c r="B7" s="49">
        <v>42936</v>
      </c>
      <c r="C7" t="s">
        <v>114</v>
      </c>
      <c r="D7" s="7" t="s">
        <v>137</v>
      </c>
    </row>
    <row r="8" spans="1:4" x14ac:dyDescent="0.35">
      <c r="A8" t="s">
        <v>138</v>
      </c>
      <c r="B8" s="49">
        <v>43076</v>
      </c>
      <c r="C8" t="s">
        <v>114</v>
      </c>
      <c r="D8" t="s">
        <v>140</v>
      </c>
    </row>
    <row r="9" spans="1:4" ht="29" x14ac:dyDescent="0.35">
      <c r="A9" t="s">
        <v>142</v>
      </c>
      <c r="B9" s="49">
        <v>43117</v>
      </c>
      <c r="C9" t="s">
        <v>114</v>
      </c>
      <c r="D9" s="7" t="s">
        <v>143</v>
      </c>
    </row>
    <row r="10" spans="1:4" ht="58" x14ac:dyDescent="0.35">
      <c r="A10" t="s">
        <v>144</v>
      </c>
      <c r="B10" s="49">
        <v>43348</v>
      </c>
      <c r="C10" t="s">
        <v>114</v>
      </c>
      <c r="D10" s="7" t="s">
        <v>151</v>
      </c>
    </row>
    <row r="11" spans="1:4" ht="72.5" x14ac:dyDescent="0.35">
      <c r="A11" t="s">
        <v>152</v>
      </c>
      <c r="B11" s="49">
        <v>43409</v>
      </c>
      <c r="C11" t="s">
        <v>114</v>
      </c>
      <c r="D11" s="7" t="s">
        <v>162</v>
      </c>
    </row>
    <row r="12" spans="1:4" x14ac:dyDescent="0.35">
      <c r="A12" t="s">
        <v>163</v>
      </c>
      <c r="B12" s="49">
        <v>43669</v>
      </c>
      <c r="C12" t="s">
        <v>114</v>
      </c>
      <c r="D12" s="7" t="s">
        <v>165</v>
      </c>
    </row>
    <row r="13" spans="1:4" ht="72.5" x14ac:dyDescent="0.35">
      <c r="A13" t="s">
        <v>166</v>
      </c>
      <c r="B13" s="49">
        <v>43846</v>
      </c>
      <c r="C13" t="s">
        <v>114</v>
      </c>
      <c r="D13" s="7" t="s">
        <v>183</v>
      </c>
    </row>
    <row r="14" spans="1:4" ht="116" x14ac:dyDescent="0.35">
      <c r="A14" t="s">
        <v>209</v>
      </c>
      <c r="B14" s="49">
        <v>43991</v>
      </c>
      <c r="C14" t="s">
        <v>114</v>
      </c>
      <c r="D14" s="7" t="s">
        <v>214</v>
      </c>
    </row>
    <row r="15" spans="1:4" ht="174" x14ac:dyDescent="0.35">
      <c r="A15" t="s">
        <v>219</v>
      </c>
      <c r="B15" s="49">
        <v>45296</v>
      </c>
      <c r="C15" t="s">
        <v>114</v>
      </c>
      <c r="D15" s="7" t="s">
        <v>242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2024-10-15T13:52:34Z</dcterms:modified>
</cp:coreProperties>
</file>