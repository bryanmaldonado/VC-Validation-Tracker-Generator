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D22C7ACD-39CE-4DB7-854D-913D56805C4F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<sst xmlns="http://schemas.openxmlformats.org/spreadsheetml/2006/main" count="57" uniqueCount="45">
  <si>
    <t>LB Name</t>
  </si>
  <si>
    <t>LB Unique ID</t>
  </si>
  <si>
    <t>LB Type</t>
  </si>
  <si>
    <t>PLC Type</t>
  </si>
  <si>
    <t>Template File:</t>
  </si>
  <si>
    <t>Header Timestamp:</t>
  </si>
  <si>
    <t>v1.07.01</t>
  </si>
  <si>
    <t>OPERATOR_BOX</t>
  </si>
  <si>
    <t>SxxOIBz</t>
  </si>
  <si>
    <t>CLX</t>
  </si>
  <si>
    <t>PLC Zone</t>
  </si>
  <si>
    <t>OPC Server</t>
  </si>
  <si>
    <t>AB_RACKx_SLOTa</t>
  </si>
  <si>
    <t>System:Node</t>
  </si>
  <si>
    <t>1st:126</t>
  </si>
  <si>
    <t>SwitchName:Port#</t>
  </si>
  <si>
    <t>SxxESWy:17</t>
  </si>
  <si>
    <t>DC Source:Port</t>
  </si>
  <si>
    <t>Sxx_SyyPSz:DC</t>
  </si>
  <si>
    <t>Remote Reset</t>
  </si>
  <si>
    <t>YXX-YXX Zone Reset</t>
  </si>
  <si>
    <t>LtScrn2 Installed?</t>
  </si>
  <si>
    <t>N</t>
  </si>
  <si>
    <t>SftyMat1 Installed?</t>
  </si>
  <si>
    <t>LdAsst1 Installed?</t>
  </si>
  <si>
    <t>LdAsst2 Installed?</t>
  </si>
  <si>
    <t>Shot Clock Installed?</t>
  </si>
  <si>
    <t>SftyMat2 Installed?</t>
  </si>
  <si>
    <t>Operator 1</t>
  </si>
  <si>
    <t>OPERATOR_Sx1</t>
  </si>
  <si>
    <t>*Operator 2</t>
  </si>
  <si>
    <t>OPERATOR_Sx2</t>
  </si>
  <si>
    <t>*Operator 2 Clear To Enter Signal</t>
  </si>
  <si>
    <t>PLC:Sxx_SyyPSBy:5:O.Data.5</t>
  </si>
  <si>
    <t>*Operator 2 Do Not Enter Signal</t>
  </si>
  <si>
    <t>PLC:Sxx_SyyPSBy:5:O.Data.4</t>
  </si>
  <si>
    <t>*Operator 2 Part In Position Signal</t>
  </si>
  <si>
    <t>PLC:Sxx_SyyPSBy:5:O.Data.0</t>
  </si>
  <si>
    <t>C:\Users\BryanJoseMaldonadoGa\source\repos\VC Validation Tracker Generator\assets\Signal Template - STELLANTIS - EIP - Common - Panels - OIB - Operator Interface Box - v00.00.xlsm</t>
  </si>
  <si>
    <t>S11OIB1</t>
  </si>
  <si>
    <t>Glx</t>
  </si>
  <si>
    <t>S11ESW1:17</t>
  </si>
  <si>
    <t>S11_S31PS1:DC</t>
  </si>
  <si>
    <t>S11-S13 Zone Reset</t>
  </si>
  <si>
    <t>OPERATOR_S111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</si>
</sst>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24"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P34" sqref="P34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10" width="17.1796875" customWidth="1"/>
    <col min="11" max="11" width="20.26953125" customWidth="1"/>
    <col min="12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38</v>
      </c>
    </row>
    <row r="3" spans="2:22" x14ac:dyDescent="0.35">
      <c r="F3" t="s">
        <v>5</v>
      </c>
      <c r="G3" s="22">
        <v>45580.477303240739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System:Node</v>
      </c>
      <c r="I9" s="16" t="str">
        <f>$B$16</f>
        <v>SwitchName:Port#</v>
      </c>
      <c r="J9" s="16" t="str">
        <f>$B$17</f>
        <v>DC Source:Port</v>
      </c>
      <c r="K9" s="16" t="str">
        <f>$B$18</f>
        <v>Remote Reset</v>
      </c>
      <c r="L9" s="16" t="str">
        <f>$B$19</f>
        <v>LtScrn2 Installed?</v>
      </c>
      <c r="M9" s="16" t="str">
        <f>$B$20</f>
        <v>SftyMat1 Installed?</v>
      </c>
      <c r="N9" s="16" t="str">
        <f>$B$21</f>
        <v>LdAsst1 Installed?</v>
      </c>
      <c r="O9" s="16" t="str">
        <f>$B$22</f>
        <v>LdAsst2 Installed?</v>
      </c>
      <c r="P9" s="16" t="str">
        <f>$B$23</f>
        <v>Shot Clock Installed?</v>
      </c>
      <c r="Q9" s="16" t="str">
        <f>$B$24</f>
        <v>SftyMat2 Installed?</v>
      </c>
      <c r="R9" s="16" t="str">
        <f>$B$25</f>
        <v>Operator 1</v>
      </c>
      <c r="S9" s="16" t="str">
        <f>$B$26</f>
        <v>*Operator 2</v>
      </c>
      <c r="T9" s="16" t="str">
        <f>$B$27</f>
        <v>*Operator 2 Clear To Enter Signal</v>
      </c>
      <c r="U9" s="16" t="str">
        <f>$B$28</f>
        <v>*Operator 2 Do Not Enter Signal</v>
      </c>
      <c r="V9" s="16" t="str">
        <f>$B$29</f>
        <v>*Operator 2 Part In Position Signal</v>
      </c>
    </row>
    <row r="10" spans="2:22" x14ac:dyDescent="0.35">
      <c r="B10" s="2" t="s">
        <v>1</v>
      </c>
      <c r="C10" s="4"/>
      <c r="D10" s="7" t="s">
        <v>8</v>
      </c>
      <c r="F10" s="7" t="s">
        <v>39</v>
      </c>
      <c r="G10" s="8" t="s">
        <v>40</v>
      </c>
      <c r="H10" s="7" t="s">
        <v>14</v>
      </c>
      <c r="I10" s="7" t="s">
        <v>41</v>
      </c>
      <c r="J10" s="7" t="s">
        <v>42</v>
      </c>
      <c r="K10" s="7" t="s">
        <v>43</v>
      </c>
      <c r="L10" s="8" t="s">
        <v>22</v>
      </c>
      <c r="M10" s="8" t="s">
        <v>22</v>
      </c>
      <c r="N10" s="8" t="s">
        <v>22</v>
      </c>
      <c r="O10" s="8" t="s">
        <v>22</v>
      </c>
      <c r="P10" s="8" t="s">
        <v>22</v>
      </c>
      <c r="Q10" s="8" t="s">
        <v>22</v>
      </c>
      <c r="R10" s="7" t="s">
        <v>44</v>
      </c>
      <c r="S10" s="8"/>
      <c r="T10" s="8"/>
      <c r="U10" s="8"/>
      <c r="V10" s="9"/>
    </row>
    <row r="11" spans="2:22" x14ac:dyDescent="0.35">
      <c r="B11" s="2" t="s">
        <v>0</v>
      </c>
      <c r="C11" s="4"/>
      <c r="D11" s="3" t="str">
        <f>$D$9&amp;"_"&amp;SUBSTITUTE($D$10,":","_")</f>
        <v>OPERATOR_BOX_SxxOIBz</v>
      </c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14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15</v>
      </c>
      <c r="C16" s="4"/>
      <c r="D16" s="7" t="s">
        <v>16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17</v>
      </c>
      <c r="C17" s="4"/>
      <c r="D17" s="7" t="s">
        <v>18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19</v>
      </c>
      <c r="C18" s="4"/>
      <c r="D18" s="7" t="s">
        <v>20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21</v>
      </c>
      <c r="C19" s="4"/>
      <c r="D19" s="7" t="s">
        <v>22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23</v>
      </c>
      <c r="C20" s="4"/>
      <c r="D20" s="7" t="s">
        <v>22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24</v>
      </c>
      <c r="C21" s="4"/>
      <c r="D21" s="7" t="s">
        <v>22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25</v>
      </c>
      <c r="C22" s="4"/>
      <c r="D22" s="7" t="s">
        <v>22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26</v>
      </c>
      <c r="C23" s="4"/>
      <c r="D23" s="7" t="s">
        <v>22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27</v>
      </c>
      <c r="C24" s="4"/>
      <c r="D24" s="7" t="s">
        <v>22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28</v>
      </c>
      <c r="C25" s="4"/>
      <c r="D25" s="7" t="s">
        <v>29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30</v>
      </c>
      <c r="C26" s="4"/>
      <c r="D26" s="7" t="s">
        <v>31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32</v>
      </c>
      <c r="C27" s="4"/>
      <c r="D27" s="7" t="s">
        <v>33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34</v>
      </c>
      <c r="C28" s="4"/>
      <c r="D28" s="7" t="s">
        <v>35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36</v>
      </c>
      <c r="C29" s="27"/>
      <c r="D29" s="19" t="s">
        <v>37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23" priority="33" stopIfTrue="1" operator="containsText" text="Placeholder">
      <formula>NOT(ISERROR(SEARCH("Placeholder",E18)))</formula>
    </cfRule>
  </conditionalFormatting>
  <conditionalFormatting sqref="G10:G10006">
    <cfRule type="expression" dxfId="22" priority="7">
      <formula>OR($F10="",$D$14="&lt;Placeholder&gt;")</formula>
    </cfRule>
  </conditionalFormatting>
  <conditionalFormatting sqref="H11:H10006">
    <cfRule type="expression" dxfId="21" priority="8">
      <formula>OR($F11="",$D$15="&lt;Placeholder&gt;")</formula>
    </cfRule>
  </conditionalFormatting>
  <conditionalFormatting sqref="I11:I10006">
    <cfRule type="expression" dxfId="20" priority="9">
      <formula>OR($F11="",$D$16="&lt;Placeholder&gt;")</formula>
    </cfRule>
  </conditionalFormatting>
  <conditionalFormatting sqref="J11:J10006">
    <cfRule type="expression" dxfId="19" priority="10">
      <formula>OR($F11="",$D$17="&lt;Placeholder&gt;")</formula>
    </cfRule>
  </conditionalFormatting>
  <conditionalFormatting sqref="K11:K10006">
    <cfRule type="expression" dxfId="18" priority="11">
      <formula>OR($F11="",$D$18="&lt;Placeholder&gt;")</formula>
    </cfRule>
  </conditionalFormatting>
  <conditionalFormatting sqref="L10:L10006">
    <cfRule type="expression" dxfId="17" priority="15">
      <formula>OR($F10="",$D$19="&lt;Placeholder&gt;")</formula>
    </cfRule>
  </conditionalFormatting>
  <conditionalFormatting sqref="M11:M10006">
    <cfRule type="expression" dxfId="16" priority="16">
      <formula>OR($F11="",$D$20="&lt;Placeholder&gt;")</formula>
    </cfRule>
  </conditionalFormatting>
  <conditionalFormatting sqref="N11:N10006">
    <cfRule type="expression" dxfId="15" priority="17">
      <formula>OR($F11="",$D$21="&lt;Placeholder&gt;")</formula>
    </cfRule>
  </conditionalFormatting>
  <conditionalFormatting sqref="O11:O10006">
    <cfRule type="expression" dxfId="14" priority="18">
      <formula>OR($F11="",$D$22="&lt;Placeholder&gt;")</formula>
    </cfRule>
  </conditionalFormatting>
  <conditionalFormatting sqref="P11:P10006">
    <cfRule type="expression" dxfId="13" priority="19">
      <formula>OR($F11="",$D$23="&lt;Placeholder&gt;")</formula>
    </cfRule>
  </conditionalFormatting>
  <conditionalFormatting sqref="Q11:Q10006">
    <cfRule type="expression" dxfId="12" priority="22">
      <formula>OR($F11="",$D$24="&lt;Placeholder&gt;")</formula>
    </cfRule>
  </conditionalFormatting>
  <conditionalFormatting sqref="D14:D29">
    <cfRule type="containsText" dxfId="11" priority="12" stopIfTrue="1" operator="containsText" text="Placeholder">
      <formula>NOT(ISERROR(SEARCH("Placeholder",D14)))</formula>
    </cfRule>
  </conditionalFormatting>
  <conditionalFormatting sqref="V10:V10006">
    <cfRule type="expression" dxfId="10" priority="27">
      <formula>OR($F10="",$D$29="&lt;Placeholder&gt;")</formula>
    </cfRule>
  </conditionalFormatting>
  <conditionalFormatting sqref="S10:S10006">
    <cfRule type="expression" dxfId="9" priority="24">
      <formula>OR($F10="",$D$26="&lt;Placeholder&gt;")</formula>
    </cfRule>
  </conditionalFormatting>
  <conditionalFormatting sqref="T10:T10006">
    <cfRule type="expression" dxfId="8" priority="25">
      <formula>OR($F10="",$D$27="&lt;Placeholder&gt;")</formula>
    </cfRule>
  </conditionalFormatting>
  <conditionalFormatting sqref="U10:U10006">
    <cfRule type="expression" dxfId="7" priority="26">
      <formula>OR($F10="",$D$28="&lt;Placeholder&gt;")</formula>
    </cfRule>
  </conditionalFormatting>
  <conditionalFormatting sqref="R11:R10006">
    <cfRule type="expression" dxfId="6" priority="23">
      <formula>OR($F11="",$D$25="&lt;Placeholder&gt;")</formula>
    </cfRule>
  </conditionalFormatting>
  <conditionalFormatting sqref="H10">
    <cfRule type="containsText" dxfId="5" priority="6" stopIfTrue="1" operator="containsText" text="Placeholder">
      <formula>NOT(ISERROR(SEARCH("Placeholder",H10)))</formula>
    </cfRule>
  </conditionalFormatting>
  <conditionalFormatting sqref="I10">
    <cfRule type="containsText" dxfId="4" priority="5" stopIfTrue="1" operator="containsText" text="Placeholder">
      <formula>NOT(ISERROR(SEARCH("Placeholder",I10)))</formula>
    </cfRule>
  </conditionalFormatting>
  <conditionalFormatting sqref="J10">
    <cfRule type="containsText" dxfId="3" priority="4" stopIfTrue="1" operator="containsText" text="Placeholder">
      <formula>NOT(ISERROR(SEARCH("Placeholder",J10)))</formula>
    </cfRule>
  </conditionalFormatting>
  <conditionalFormatting sqref="K10">
    <cfRule type="containsText" dxfId="2" priority="3" stopIfTrue="1" operator="containsText" text="Placeholder">
      <formula>NOT(ISERROR(SEARCH("Placeholder",K10)))</formula>
    </cfRule>
  </conditionalFormatting>
  <conditionalFormatting sqref="M10:Q10">
    <cfRule type="expression" dxfId="1" priority="2">
      <formula>OR($F10="",$D$19="&lt;Placeholder&gt;")</formula>
    </cfRule>
  </conditionalFormatting>
  <conditionalFormatting sqref="R10">
    <cfRule type="containsText" dxfId="0" priority="1" stopIfTrue="1" operator="containsText" text="Placeholder">
      <formula>NOT(ISERROR(SEARCH("Placeholder",R10)))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2024-10-15T16:57:23Z</dcterms:modified>
</cp:coreProperties>
</file>