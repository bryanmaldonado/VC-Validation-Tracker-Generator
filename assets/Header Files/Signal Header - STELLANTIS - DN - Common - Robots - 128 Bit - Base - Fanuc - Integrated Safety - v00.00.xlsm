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74A7B965-772E-4B77-B7A4-3ED3B3E3E9FA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<sst xmlns="http://schemas.openxmlformats.org/spreadsheetml/2006/main" count="49" uniqueCount="46">
  <si>
    <t>LB Name</t>
  </si>
  <si>
    <t>LB Unique ID</t>
  </si>
  <si>
    <t>LB Type</t>
  </si>
  <si>
    <t>PLC Type</t>
  </si>
  <si>
    <t>Template File:</t>
  </si>
  <si>
    <t>Header Timestamp:</t>
  </si>
  <si>
    <t>v1.07.01</t>
  </si>
  <si>
    <t>FANUC</t>
  </si>
  <si>
    <t>SxxRyy</t>
  </si>
  <si>
    <t>CLX</t>
  </si>
  <si>
    <t>PLC Zone</t>
  </si>
  <si>
    <t>OPC Server</t>
  </si>
  <si>
    <t>AB_RACKx_SLOTa</t>
  </si>
  <si>
    <t>PLC Robot Name</t>
  </si>
  <si>
    <t>Dnet Network</t>
  </si>
  <si>
    <t>Safety Node [*Mapped DINT]</t>
  </si>
  <si>
    <t>56[114]</t>
  </si>
  <si>
    <t>Standard Node [*Mapped DINT]</t>
  </si>
  <si>
    <t>51[82]</t>
  </si>
  <si>
    <t>PDP:480V CB</t>
  </si>
  <si>
    <t>DPyy:Cbaaaaaaa</t>
  </si>
  <si>
    <t>24VDC Source</t>
  </si>
  <si>
    <t>PSyy:AUX1</t>
  </si>
  <si>
    <t>*Process 1</t>
  </si>
  <si>
    <t>Proc1Name</t>
  </si>
  <si>
    <t>*Process 2</t>
  </si>
  <si>
    <t>Proc2Name</t>
  </si>
  <si>
    <t>*Rbt Type [MH;TC;RACK]</t>
  </si>
  <si>
    <t>MH;TC;RACK;SHUTTLE;TT;FIXT;VIS;PALLET</t>
  </si>
  <si>
    <t>*Parts</t>
  </si>
  <si>
    <t>[1]PART1x[2]PART2xx[3]PART3xxx[4]PART4xxxx[6]PART6xxxxxx[7]PART7xxxxxxx[8]PART8[9]PART9[10]PART10[11]PART11[12]PART12abcdefg</t>
  </si>
  <si>
    <t>*2nd Home Pose</t>
  </si>
  <si>
    <t>start2</t>
  </si>
  <si>
    <t>*DCS</t>
  </si>
  <si>
    <t>Y/N</t>
  </si>
  <si>
    <t>*TC # of tools (1-7)</t>
  </si>
  <si>
    <t>&lt;Config15&gt;</t>
  </si>
  <si>
    <t>&lt;Placeholder&gt;</t>
  </si>
  <si>
    <t>&lt;Config16&gt;</t>
  </si>
  <si>
    <t>C:\Users\BryanJoseMaldonadoGa\source\repos\VC Validation Tracker Generator\assets\Signal Template - STELLANTIS - DN - Common - Robots - 128 Bit - Base - Fanuc - Integrated Safety - v00.00.xlsm</t>
  </si>
  <si>
    <t>S09R03</t>
  </si>
  <si>
    <t>Glx</t>
  </si>
  <si>
    <t>DP01:CB203</t>
  </si>
  <si>
    <t>PS01:AUX1</t>
  </si>
  <si>
    <t>MH</t>
  </si>
  <si>
    <t>MH;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</si>
</sst>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33" sqref="K33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9.26953125" customWidth="1"/>
    <col min="11" max="11" width="30.08984375" customWidth="1"/>
    <col min="12" max="15" width="17.1796875" customWidth="1"/>
    <col min="16" max="16" width="25" customWidth="1"/>
    <col min="1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39</v>
      </c>
    </row>
    <row r="3" spans="2:22" x14ac:dyDescent="0.35">
      <c r="F3" t="s">
        <v>5</v>
      </c>
      <c r="G3" s="22">
        <v>45580.411932870367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Dnet Network</v>
      </c>
      <c r="J9" s="16" t="str">
        <f>$B$17</f>
        <v>Safety Node [*Mapped DINT]</v>
      </c>
      <c r="K9" s="16" t="str">
        <f>$B$18</f>
        <v>Standard Node [*Mapped DINT]</v>
      </c>
      <c r="L9" s="16" t="str">
        <f>$B$19</f>
        <v>PDP:480V CB</v>
      </c>
      <c r="M9" s="16" t="str">
        <f>$B$20</f>
        <v>24VDC Source</v>
      </c>
      <c r="N9" s="16" t="str">
        <f>$B$21</f>
        <v>*Process 1</v>
      </c>
      <c r="O9" s="16" t="str">
        <f>$B$22</f>
        <v>*Process 2</v>
      </c>
      <c r="P9" s="16" t="str">
        <f>$B$23</f>
        <v>*Rbt Type [MH;TC;RACK]</v>
      </c>
      <c r="Q9" s="16" t="str">
        <f>$B$24</f>
        <v>*Parts</v>
      </c>
      <c r="R9" s="16" t="str">
        <f>$B$25</f>
        <v>*2nd Home Pose</v>
      </c>
      <c r="S9" s="16" t="str">
        <f>$B$26</f>
        <v>*DCS</v>
      </c>
      <c r="T9" s="16" t="str">
        <f>$B$27</f>
        <v>*TC # of tools (1-7)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40</v>
      </c>
      <c r="G10" s="8" t="s">
        <v>41</v>
      </c>
      <c r="H10" s="8" t="s">
        <v>40</v>
      </c>
      <c r="I10" s="8">
        <v>201</v>
      </c>
      <c r="J10" s="7">
        <v>56</v>
      </c>
      <c r="K10" s="7">
        <v>51</v>
      </c>
      <c r="L10" s="7" t="s">
        <v>42</v>
      </c>
      <c r="M10" s="7" t="s">
        <v>43</v>
      </c>
      <c r="N10" s="8" t="s">
        <v>44</v>
      </c>
      <c r="O10" s="8"/>
      <c r="P10" s="8" t="s">
        <v>45</v>
      </c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$D$9&amp;"_"&amp;SUBSTITUTE(SUBSTITUTE($D$10,"|","_"),":","_")</f>
        <v>FANUC_SxxRyy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>
        <v>201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15</v>
      </c>
      <c r="C17" s="4"/>
      <c r="D17" s="7" t="s">
        <v>16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24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26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27</v>
      </c>
      <c r="C23" s="4"/>
      <c r="D23" s="7" t="s">
        <v>28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29</v>
      </c>
      <c r="C24" s="4"/>
      <c r="D24" s="7" t="s">
        <v>30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31</v>
      </c>
      <c r="C25" s="4"/>
      <c r="D25" s="7" t="s">
        <v>32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33</v>
      </c>
      <c r="C26" s="4"/>
      <c r="D26" s="7" t="s">
        <v>34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35</v>
      </c>
      <c r="C27" s="4"/>
      <c r="D27" s="7">
        <v>7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36</v>
      </c>
      <c r="C28" s="4"/>
      <c r="D28" s="7" t="s">
        <v>37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38</v>
      </c>
      <c r="C29" s="27"/>
      <c r="D29" s="19" t="s">
        <v>37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0:G10006">
    <cfRule type="expression" dxfId="20" priority="5">
      <formula>OR($F10="",$D$14="&lt;Placeholder&gt;")</formula>
    </cfRule>
  </conditionalFormatting>
  <conditionalFormatting sqref="H10:H10006">
    <cfRule type="expression" dxfId="19" priority="6">
      <formula>OR($F10="",$D$15="&lt;Placeholder&gt;")</formula>
    </cfRule>
  </conditionalFormatting>
  <conditionalFormatting sqref="I10:I10006">
    <cfRule type="expression" dxfId="18" priority="7">
      <formula>OR($F10="",$D$16="&lt;Placeholder&gt;")</formula>
    </cfRule>
  </conditionalFormatting>
  <conditionalFormatting sqref="J11:J10006">
    <cfRule type="expression" dxfId="17" priority="8">
      <formula>OR($F11="",$D$17="&lt;Placeholder&gt;")</formula>
    </cfRule>
  </conditionalFormatting>
  <conditionalFormatting sqref="K11:K10006">
    <cfRule type="expression" dxfId="16" priority="9">
      <formula>OR($F11="",$D$18="&lt;Placeholder&gt;")</formula>
    </cfRule>
  </conditionalFormatting>
  <conditionalFormatting sqref="L11:L10006">
    <cfRule type="expression" dxfId="15" priority="13">
      <formula>OR($F11="",$D$19="&lt;Placeholder&gt;")</formula>
    </cfRule>
  </conditionalFormatting>
  <conditionalFormatting sqref="M11:M10006">
    <cfRule type="expression" dxfId="14" priority="14">
      <formula>OR($F11="",$D$20="&lt;Placeholder&gt;")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J10">
    <cfRule type="containsText" dxfId="3" priority="4" stopIfTrue="1" operator="containsText" text="Placeholder">
      <formula>NOT(ISERROR(SEARCH("Placeholder",J10)))</formula>
    </cfRule>
  </conditionalFormatting>
  <conditionalFormatting sqref="K10">
    <cfRule type="containsText" dxfId="2" priority="3" stopIfTrue="1" operator="containsText" text="Placeholder">
      <formula>NOT(ISERROR(SEARCH("Placeholder",K10)))</formula>
    </cfRule>
  </conditionalFormatting>
  <conditionalFormatting sqref="L10">
    <cfRule type="containsText" dxfId="1" priority="2" stopIfTrue="1" operator="containsText" text="Placeholder">
      <formula>NOT(ISERROR(SEARCH("Placeholder",L10)))</formula>
    </cfRule>
  </conditionalFormatting>
  <conditionalFormatting sqref="M10">
    <cfRule type="containsText" dxfId="0" priority="1" stopIfTrue="1" operator="containsText" text="Placeholder">
      <formula>NOT(ISERROR(SEARCH("Placeholder",M10)))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2024-10-15T14:59:48Z</dcterms:modified>
</cp:coreProperties>
</file>