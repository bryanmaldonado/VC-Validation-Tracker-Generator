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89FCECBE-0222-4A5D-B0BE-BCF2721702CD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<sst xmlns="http://schemas.openxmlformats.org/spreadsheetml/2006/main" count="69" uniqueCount="42">
  <si>
    <t>LB Name</t>
  </si>
  <si>
    <t>LB Unique ID</t>
  </si>
  <si>
    <t>LB Type</t>
  </si>
  <si>
    <t>PLC Type</t>
  </si>
  <si>
    <t>Template File:</t>
  </si>
  <si>
    <t>Header Timestamp:</t>
  </si>
  <si>
    <t>v1.07.01</t>
  </si>
  <si>
    <t>ROBOT</t>
  </si>
  <si>
    <t>SxxRyy</t>
  </si>
  <si>
    <t>CLX</t>
  </si>
  <si>
    <t>PLC Zone</t>
  </si>
  <si>
    <t>OPC Server</t>
  </si>
  <si>
    <t>AB_RACKx_SLOTa</t>
  </si>
  <si>
    <t>PLC Robot Name</t>
  </si>
  <si>
    <t>Robot Type</t>
  </si>
  <si>
    <t>Comau</t>
  </si>
  <si>
    <t>Robot Apps</t>
  </si>
  <si>
    <t>MH;TC;PALLET;HEM;SPOT1;SPOT2;DISP1;DISP2;STUD;SHUTTLE;TURNTABLE;FIXT1;FIXT2</t>
  </si>
  <si>
    <t>&lt;Config05&gt;</t>
  </si>
  <si>
    <t>&lt;Placeholder&gt;</t>
  </si>
  <si>
    <t>&lt;Config06&gt;</t>
  </si>
  <si>
    <t>&lt;Config07&gt;</t>
  </si>
  <si>
    <t>&lt;Config08&gt;</t>
  </si>
  <si>
    <t>&lt;Config09&gt;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</si>
  <si>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</si>
  <si>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</si>
  <si>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</si>
  <si>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</si>
  <si>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</si>
  <si>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</si>
  <si>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</si>
  <si>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D:\VC\S04_DASH_ASSY\Generators\Signal Template - STELLANTIS - EIP - Common - Robots - 288 Bit - Common - Application Errors - v00.00.xlsm</t>
  </si>
  <si>
    <t>S04R01</t>
  </si>
  <si>
    <t>Glx</t>
  </si>
  <si>
    <t>Fanuc</t>
  </si>
  <si>
    <t>SPOT1</t>
  </si>
  <si>
    <t>S04R02</t>
  </si>
  <si>
    <t>MH;SPOT1</t>
  </si>
  <si>
    <t>S04R03</t>
  </si>
  <si>
    <t>MH;DISP1</t>
  </si>
  <si>
    <t>S06R01</t>
  </si>
  <si>
    <t>S06R02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</si>
</sst>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49" fontId="0" fillId="0" borderId="1" xfId="0" applyNumberFormat="1" applyBorder="1"/>
    <xf numFmtId="49" fontId="0" fillId="0" borderId="6" xfId="0" applyNumberFormat="1" applyBorder="1"/>
    <xf numFmtId="49" fontId="0" fillId="0" borderId="2" xfId="0" applyNumberFormat="1" applyBorder="1"/>
    <xf numFmtId="49" fontId="0" fillId="0" borderId="4" xfId="0" applyNumberFormat="1" applyBorder="1"/>
  </cellXfs>
  <cellStyles count="1">
    <cellStyle name="Normal" xfId="0" builtinId="0"/>
  </cellStyles>
  <dxfs count="22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I20" sqref="I20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31</v>
      </c>
    </row>
    <row r="3" spans="2:22" x14ac:dyDescent="0.35">
      <c r="F3" t="s">
        <v>5</v>
      </c>
      <c r="G3" s="22">
        <v>45569.639317129629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PLC Robot Name</v>
      </c>
      <c r="I9" s="16" t="str">
        <f>$B$16</f>
        <v>Robot Type</v>
      </c>
      <c r="J9" s="16" t="str">
        <f>$B$17</f>
        <v>Robot Apps</v>
      </c>
      <c r="K9" s="16" t="str">
        <f>$B$18</f>
        <v>&lt;Config05&gt;</v>
      </c>
      <c r="L9" s="16" t="str">
        <f>$B$19</f>
        <v>&lt;Config06&gt;</v>
      </c>
      <c r="M9" s="16" t="str">
        <f>$B$20</f>
        <v>&lt;Config07&gt;</v>
      </c>
      <c r="N9" s="16" t="str">
        <f>$B$21</f>
        <v>&lt;Config08&gt;</v>
      </c>
      <c r="O9" s="16" t="str">
        <f>$B$22</f>
        <v>&lt;Config09&gt;</v>
      </c>
      <c r="P9" s="16" t="str">
        <f>$B$23</f>
        <v>&lt;Config10&gt;</v>
      </c>
      <c r="Q9" s="16" t="str">
        <f>$B$24</f>
        <v>&lt;Config11&gt;</v>
      </c>
      <c r="R9" s="16" t="str">
        <f>$B$25</f>
        <v>&lt;Config12&gt;</v>
      </c>
      <c r="S9" s="16" t="str">
        <f>$B$26</f>
        <v>&lt;Config13&gt;</v>
      </c>
      <c r="T9" s="16" t="str">
        <f>$B$27</f>
        <v>&lt;Config14&gt;</v>
      </c>
      <c r="U9" s="16" t="str">
        <f>$B$28</f>
        <v>&lt;Config15&gt;</v>
      </c>
      <c r="V9" s="16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29" t="s">
        <v>32</v>
      </c>
      <c r="G10" s="30" t="s">
        <v>33</v>
      </c>
      <c r="H10" s="30" t="s">
        <v>32</v>
      </c>
      <c r="I10" s="30" t="s">
        <v>34</v>
      </c>
      <c r="J10" s="30" t="s">
        <v>35</v>
      </c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9"/>
    </row>
    <row r="11" spans="2:22" x14ac:dyDescent="0.35">
      <c r="B11" s="2" t="s">
        <v>0</v>
      </c>
      <c r="C11" s="4"/>
      <c r="D11" s="3" t="str">
        <f>$D$9&amp;"_"&amp;SUBSTITUTE(SUBSTITUTE($D$10,"|","_"),":","_")&amp;"_APP_ERROR"</f>
        <v>ROBOT_SxxRyy_APP_ERROR</v>
      </c>
      <c r="F11" s="31" t="s">
        <v>36</v>
      </c>
      <c r="G11" s="32" t="s">
        <v>33</v>
      </c>
      <c r="H11" s="32" t="s">
        <v>36</v>
      </c>
      <c r="I11" s="32" t="s">
        <v>34</v>
      </c>
      <c r="J11" s="32" t="s">
        <v>37</v>
      </c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2"/>
    </row>
    <row r="12" spans="2:22" x14ac:dyDescent="0.35">
      <c r="B12" s="2" t="s">
        <v>3</v>
      </c>
      <c r="C12" s="4"/>
      <c r="D12" s="3" t="s">
        <v>9</v>
      </c>
      <c r="F12" s="31" t="s">
        <v>38</v>
      </c>
      <c r="G12" s="32" t="s">
        <v>33</v>
      </c>
      <c r="H12" s="32" t="s">
        <v>38</v>
      </c>
      <c r="I12" s="32" t="s">
        <v>34</v>
      </c>
      <c r="J12" s="32" t="s">
        <v>39</v>
      </c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2"/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31" t="s">
        <v>40</v>
      </c>
      <c r="G13" s="32" t="s">
        <v>33</v>
      </c>
      <c r="H13" s="32" t="s">
        <v>40</v>
      </c>
      <c r="I13" s="32" t="s">
        <v>34</v>
      </c>
      <c r="J13" s="32" t="s">
        <v>37</v>
      </c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2"/>
    </row>
    <row r="14" spans="2:22" x14ac:dyDescent="0.35">
      <c r="B14" s="6" t="s">
        <v>11</v>
      </c>
      <c r="C14" s="4"/>
      <c r="D14" s="7" t="s">
        <v>12</v>
      </c>
      <c r="F14" s="31" t="s">
        <v>41</v>
      </c>
      <c r="G14" s="32" t="s">
        <v>33</v>
      </c>
      <c r="H14" s="32" t="s">
        <v>41</v>
      </c>
      <c r="I14" s="32" t="s">
        <v>34</v>
      </c>
      <c r="J14" s="32" t="s">
        <v>35</v>
      </c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8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14</v>
      </c>
      <c r="C16" s="4"/>
      <c r="D16" s="7" t="s">
        <v>15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16</v>
      </c>
      <c r="C17" s="4"/>
      <c r="D17" s="7" t="s">
        <v>17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18</v>
      </c>
      <c r="C18" s="4"/>
      <c r="D18" s="7" t="s">
        <v>19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20</v>
      </c>
      <c r="C19" s="4"/>
      <c r="D19" s="7" t="s">
        <v>19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21</v>
      </c>
      <c r="C20" s="4"/>
      <c r="D20" s="7" t="s">
        <v>19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22</v>
      </c>
      <c r="C21" s="4"/>
      <c r="D21" s="7" t="s">
        <v>19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23</v>
      </c>
      <c r="C22" s="4"/>
      <c r="D22" s="7" t="s">
        <v>19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24</v>
      </c>
      <c r="C23" s="4"/>
      <c r="D23" s="7" t="s">
        <v>19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25</v>
      </c>
      <c r="C24" s="4"/>
      <c r="D24" s="7" t="s">
        <v>19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26</v>
      </c>
      <c r="C25" s="4"/>
      <c r="D25" s="7" t="s">
        <v>19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27</v>
      </c>
      <c r="C26" s="4"/>
      <c r="D26" s="7" t="s">
        <v>19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28</v>
      </c>
      <c r="C27" s="4"/>
      <c r="D27" s="7" t="s">
        <v>19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29</v>
      </c>
      <c r="C28" s="4"/>
      <c r="D28" s="7" t="s">
        <v>19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30</v>
      </c>
      <c r="C29" s="27"/>
      <c r="D29" s="19" t="s">
        <v>19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conditionalFormatting sqref="E18">
    <cfRule type="containsText" dxfId="21" priority="31" stopIfTrue="1" operator="containsText" text="Placeholder">
      <formula>NOT(ISERROR(SEARCH("Placeholder",E18)))</formula>
    </cfRule>
  </conditionalFormatting>
  <conditionalFormatting sqref="G15:G10006">
    <cfRule type="expression" dxfId="20" priority="5">
      <formula>OR($F15="",$D$14="&lt;Placeholder&gt;")</formula>
    </cfRule>
  </conditionalFormatting>
  <conditionalFormatting sqref="H15:H10006">
    <cfRule type="expression" dxfId="19" priority="6">
      <formula>OR($F15="",$D$15="&lt;Placeholder&gt;")</formula>
    </cfRule>
  </conditionalFormatting>
  <conditionalFormatting sqref="I15:I10006">
    <cfRule type="expression" dxfId="18" priority="7">
      <formula>OR($F15="",$D$16="&lt;Placeholder&gt;")</formula>
    </cfRule>
  </conditionalFormatting>
  <conditionalFormatting sqref="J15:J10006">
    <cfRule type="expression" dxfId="17" priority="8">
      <formula>OR($F15="",$D$17="&lt;Placeholder&gt;")</formula>
    </cfRule>
  </conditionalFormatting>
  <conditionalFormatting sqref="K10:K10006">
    <cfRule type="expression" dxfId="16" priority="9">
      <formula>OR($F10="",$D$18="&lt;Placeholder&gt;")</formula>
    </cfRule>
  </conditionalFormatting>
  <conditionalFormatting sqref="L10:L10006">
    <cfRule type="expression" dxfId="15" priority="13">
      <formula>OR($F10="",$D$19="&lt;Placeholder&gt;")</formula>
    </cfRule>
  </conditionalFormatting>
  <conditionalFormatting sqref="M10:M10006">
    <cfRule type="expression" dxfId="14" priority="14">
      <formula>OR($F10="",$D$20="&lt;Placeholder&gt;")</formula>
    </cfRule>
  </conditionalFormatting>
  <conditionalFormatting sqref="N10:N10006">
    <cfRule type="expression" dxfId="13" priority="15">
      <formula>OR($F10="",$D$21="&lt;Placeholder&gt;")</formula>
    </cfRule>
  </conditionalFormatting>
  <conditionalFormatting sqref="O10:O10006">
    <cfRule type="expression" dxfId="12" priority="16">
      <formula>OR($F10="",$D$22="&lt;Placeholder&gt;")</formula>
    </cfRule>
  </conditionalFormatting>
  <conditionalFormatting sqref="P10:P10006">
    <cfRule type="expression" dxfId="11" priority="17">
      <formula>OR($F10="",$D$23="&lt;Placeholder&gt;")</formula>
    </cfRule>
  </conditionalFormatting>
  <conditionalFormatting sqref="Q10:Q10006">
    <cfRule type="expression" dxfId="10" priority="20">
      <formula>OR($F10="",$D$24="&lt;Placeholder&gt;")</formula>
    </cfRule>
  </conditionalFormatting>
  <conditionalFormatting sqref="D14:D29">
    <cfRule type="containsText" dxfId="9" priority="10" stopIfTrue="1" operator="containsText" text="Placeholder">
      <formula>NOT(ISERROR(SEARCH("Placeholder",D14)))</formula>
    </cfRule>
  </conditionalFormatting>
  <conditionalFormatting sqref="V10:V10006">
    <cfRule type="expression" dxfId="8" priority="25">
      <formula>OR($F10="",$D$29="&lt;Placeholder&gt;")</formula>
    </cfRule>
  </conditionalFormatting>
  <conditionalFormatting sqref="S10:S10006">
    <cfRule type="expression" dxfId="7" priority="22">
      <formula>OR($F10="",$D$26="&lt;Placeholder&gt;")</formula>
    </cfRule>
  </conditionalFormatting>
  <conditionalFormatting sqref="T10:T10006">
    <cfRule type="expression" dxfId="6" priority="23">
      <formula>OR($F10="",$D$27="&lt;Placeholder&gt;")</formula>
    </cfRule>
  </conditionalFormatting>
  <conditionalFormatting sqref="U10:U10006">
    <cfRule type="expression" dxfId="5" priority="24">
      <formula>OR($F10="",$D$28="&lt;Placeholder&gt;")</formula>
    </cfRule>
  </conditionalFormatting>
  <conditionalFormatting sqref="R10:R10006">
    <cfRule type="expression" dxfId="4" priority="21">
      <formula>OR($F10="",$D$25="&lt;Placeholder&gt;")</formula>
    </cfRule>
  </conditionalFormatting>
  <conditionalFormatting sqref="I10:I14">
    <cfRule type="expression" dxfId="3" priority="3">
      <formula>OR($F10="",$D$16="&lt;Placeholder&gt;")</formula>
    </cfRule>
  </conditionalFormatting>
  <conditionalFormatting sqref="J10:J14">
    <cfRule type="expression" dxfId="2" priority="4">
      <formula>OR($F10="",$D$17="&lt;Placeholder&gt;")</formula>
    </cfRule>
  </conditionalFormatting>
  <conditionalFormatting sqref="G10:G14">
    <cfRule type="expression" dxfId="1" priority="2">
      <formula>OR($F10="",$D$14="&lt;Placeholder&gt;")</formula>
    </cfRule>
  </conditionalFormatting>
  <conditionalFormatting sqref="H10:H14">
    <cfRule type="expression" dxfId="0" priority="1">
      <formula>OR($F10="",$D$15="&lt;Placeholder&gt;")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Gilberto Sanchez Garcia</cp:lastModifiedBy>
  <dcterms:created xsi:type="dcterms:W3CDTF">2016-01-22T19:11:18Z</dcterms:created>
  <dcterms:modified xsi:type="dcterms:W3CDTF">2024-10-14T16:18:35Z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