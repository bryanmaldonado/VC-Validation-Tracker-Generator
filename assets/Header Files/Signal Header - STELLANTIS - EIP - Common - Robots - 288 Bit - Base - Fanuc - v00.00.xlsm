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A120F856-5F5F-445C-8C39-E053604A1CB8}" xr6:coauthVersionLast="47" xr6:coauthVersionMax="47" xr10:uidLastSave="{00000000-0000-0000-0000-000000000000}"/>
  <bookViews>
    <workbookView xWindow="2710" yWindow="2840" windowWidth="28800" windowHeight="1537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1" l="1"/>
  <c r="D13" i="1"/>
  <c r="D11" i="1"/>
  <c r="V9" i="1"/>
  <c r="U9" i="1"/>
  <c r="T9" i="1"/>
  <c r="S9" i="1"/>
  <c r="R9" i="1"/>
  <c r="Q9" i="1"/>
  <c r="P9" i="1"/>
  <c r="O9" i="1"/>
  <c r="N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<sst xmlns="http://schemas.openxmlformats.org/spreadsheetml/2006/main" count="72" uniqueCount="51">
  <si>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</si>
  <si>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</si>
  <si>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</si>
  <si>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</si>
  <si>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</si>
  <si>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</si>
  <si>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</si>
  <si>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</si>
  <si>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</si>
  <si>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</si>
  <si>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</si>
  <si>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</si>
  <si>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</si>
  <si>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</si>
  <si>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Sys:Std Node|Sys:Sfty Node</t>
  </si>
  <si>
    <t>1st:81|1st:181</t>
  </si>
  <si>
    <t>SwitchName:Port#</t>
  </si>
  <si>
    <t>SxxESWy:17</t>
  </si>
  <si>
    <t>PDP:480V CB</t>
  </si>
  <si>
    <t>Sxx_SyyPDPz:CB0201</t>
  </si>
  <si>
    <t>Air Source</t>
  </si>
  <si>
    <t>Sxx_Syy:MAIN_AIR</t>
  </si>
  <si>
    <t>&lt;Config07&gt;</t>
  </si>
  <si>
    <t>&lt;Placeholder&gt;</t>
  </si>
  <si>
    <t>&lt;Config08&gt;</t>
  </si>
  <si>
    <t>&lt;Config09&gt;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</si>
  <si>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</si>
  <si>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</si>
  <si>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</si>
  <si>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</si>
  <si>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</si>
  <si>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</si>
  <si>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</si>
  <si>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C:\simulation\fca\S13_UPPER_FRAME_FINALASSY\Generators\Signal Template - STELLANTIS - EIP - Common - Robots - 288 Bit - Base - Fanuc - v00.00.xlsm</t>
  </si>
  <si>
    <t>S11R01</t>
  </si>
  <si>
    <t>S11R04</t>
  </si>
  <si>
    <t>S12R03</t>
  </si>
  <si>
    <t>S13R01</t>
  </si>
  <si>
    <t>Glx</t>
  </si>
  <si>
    <t>1st:81|1st:182</t>
  </si>
  <si>
    <t>1st:81|1st:183</t>
  </si>
  <si>
    <t>1st:81|1st:184</t>
  </si>
  <si>
    <t>S11_S13PDP1:CB0201</t>
  </si>
  <si>
    <t>S11_S13PDP1:CB0202</t>
  </si>
  <si>
    <t>S11_S13PDP1:CB0203</t>
  </si>
  <si>
    <t>S11_S13PDP1:CB0204</t>
  </si>
  <si>
    <t>S11_S13:MAIN_AIR</t>
  </si>
  <si>
    <t>S11ESW1:17</t>
  </si>
  <si>
    <t>S11ESW1:18</t>
  </si>
  <si>
    <t>S11ESW1:19</t>
  </si>
  <si>
    <t>S11ESW1:20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</si>
</sst>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N31" sqref="N31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8" width="17.1796875" customWidth="1"/>
    <col min="9" max="9" width="26.36328125" customWidth="1"/>
    <col min="10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3">
        <v>45567.618009259262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PLC Robot Name</v>
      </c>
      <c r="I9" s="17" t="str">
        <f>$B$16</f>
        <v>Sys:Std Node|Sys:Sfty Node</v>
      </c>
      <c r="J9" s="17" t="str">
        <f>$B$17</f>
        <v>SwitchName:Port#</v>
      </c>
      <c r="K9" s="17" t="str">
        <f>$B$18</f>
        <v>PDP:480V CB</v>
      </c>
      <c r="L9" s="17" t="str">
        <f>$B$19</f>
        <v>Air Source</v>
      </c>
      <c r="M9" s="17" t="str">
        <f>$B$20</f>
        <v>&lt;Config07&gt;</v>
      </c>
      <c r="N9" s="17" t="str">
        <f>$B$21</f>
        <v>&lt;Config08&gt;</v>
      </c>
      <c r="O9" s="17" t="str">
        <f>$B$22</f>
        <v>&lt;Config09&gt;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34</v>
      </c>
      <c r="G10" s="9" t="s">
        <v>38</v>
      </c>
      <c r="H10" s="9" t="s">
        <v>34</v>
      </c>
      <c r="I10" s="7" t="s">
        <v>15</v>
      </c>
      <c r="J10" s="7" t="s">
        <v>47</v>
      </c>
      <c r="K10" s="7" t="s">
        <v>42</v>
      </c>
      <c r="L10" s="7" t="s">
        <v>46</v>
      </c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ht="15" thickBot="1" x14ac:dyDescent="0.4">
      <c r="B11" s="2" t="s">
        <v>0</v>
      </c>
      <c r="C11" s="4"/>
      <c r="D11" s="3" t="str">
        <f>$D$9&amp;"_"&amp;SUBSTITUTE(SUBSTITUTE($D$10,"|","_"),":","_")&amp;"_FANUC"</f>
        <v>ROBOT_SxxRyy_FANUC</v>
      </c>
      <c r="F11" s="11" t="s">
        <v>35</v>
      </c>
      <c r="G11" s="9" t="s">
        <v>38</v>
      </c>
      <c r="H11" s="12" t="s">
        <v>35</v>
      </c>
      <c r="I11" s="7" t="s">
        <v>39</v>
      </c>
      <c r="J11" s="7" t="s">
        <v>48</v>
      </c>
      <c r="K11" s="7" t="s">
        <v>43</v>
      </c>
      <c r="L11" s="7" t="s">
        <v>46</v>
      </c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ht="15" thickBot="1" x14ac:dyDescent="0.4">
      <c r="B12" s="2" t="s">
        <v>3</v>
      </c>
      <c r="C12" s="4"/>
      <c r="D12" s="3" t="s">
        <v>9</v>
      </c>
      <c r="F12" s="11" t="s">
        <v>36</v>
      </c>
      <c r="G12" s="9" t="s">
        <v>38</v>
      </c>
      <c r="H12" s="12" t="s">
        <v>36</v>
      </c>
      <c r="I12" s="7" t="s">
        <v>40</v>
      </c>
      <c r="J12" s="7" t="s">
        <v>49</v>
      </c>
      <c r="K12" s="7" t="s">
        <v>44</v>
      </c>
      <c r="L12" s="7" t="s">
        <v>46</v>
      </c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 t="s">
        <v>37</v>
      </c>
      <c r="G13" s="9" t="s">
        <v>38</v>
      </c>
      <c r="H13" s="12" t="s">
        <v>37</v>
      </c>
      <c r="I13" s="7" t="s">
        <v>41</v>
      </c>
      <c r="J13" s="7" t="s">
        <v>50</v>
      </c>
      <c r="K13" s="7" t="s">
        <v>45</v>
      </c>
      <c r="L13" s="7" t="s">
        <v>46</v>
      </c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8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14</v>
      </c>
      <c r="C16" s="4"/>
      <c r="D16" s="7" t="s">
        <v>15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16</v>
      </c>
      <c r="C17" s="4"/>
      <c r="D17" s="7" t="s">
        <v>17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18</v>
      </c>
      <c r="C18" s="4"/>
      <c r="D18" s="7" t="s">
        <v>19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20</v>
      </c>
      <c r="C19" s="4"/>
      <c r="D19" s="7" t="s">
        <v>21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22</v>
      </c>
      <c r="C20" s="4"/>
      <c r="D20" s="7" t="s">
        <v>23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24</v>
      </c>
      <c r="C21" s="4"/>
      <c r="D21" s="7" t="s">
        <v>23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25</v>
      </c>
      <c r="C22" s="4"/>
      <c r="D22" s="7" t="s">
        <v>23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26</v>
      </c>
      <c r="C23" s="4"/>
      <c r="D23" s="7" t="s">
        <v>23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27</v>
      </c>
      <c r="C24" s="4"/>
      <c r="D24" s="7" t="s">
        <v>23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28</v>
      </c>
      <c r="C25" s="4"/>
      <c r="D25" s="7" t="s">
        <v>23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29</v>
      </c>
      <c r="C26" s="4"/>
      <c r="D26" s="7" t="s">
        <v>23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30</v>
      </c>
      <c r="C27" s="4"/>
      <c r="D27" s="7" t="s">
        <v>23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31</v>
      </c>
      <c r="C28" s="4"/>
      <c r="D28" s="7" t="s">
        <v>23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32</v>
      </c>
      <c r="C29" s="28"/>
      <c r="D29" s="20" t="s">
        <v>23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phoneticPr fontId="1" type="noConversion"/>
  <conditionalFormatting sqref="E18">
    <cfRule type="containsText" dxfId="21" priority="34" stopIfTrue="1" operator="containsText" text="Placeholder">
      <formula>NOT(ISERROR(SEARCH("Placeholder",E18)))</formula>
    </cfRule>
  </conditionalFormatting>
  <conditionalFormatting sqref="G10:G10006">
    <cfRule type="expression" dxfId="20" priority="8">
      <formula>OR($F10="",$D$14="&lt;Placeholder&gt;")</formula>
    </cfRule>
  </conditionalFormatting>
  <conditionalFormatting sqref="H10:H10006">
    <cfRule type="expression" dxfId="19" priority="9">
      <formula>OR($F10="",$D$15="&lt;Placeholder&gt;")</formula>
    </cfRule>
  </conditionalFormatting>
  <conditionalFormatting sqref="I14:I10006">
    <cfRule type="expression" dxfId="18" priority="10">
      <formula>OR($F14="",$D$16="&lt;Placeholder&gt;")</formula>
    </cfRule>
  </conditionalFormatting>
  <conditionalFormatting sqref="J14:J10006">
    <cfRule type="expression" dxfId="17" priority="11">
      <formula>OR($F14="",$D$17="&lt;Placeholder&gt;")</formula>
    </cfRule>
  </conditionalFormatting>
  <conditionalFormatting sqref="K14:K10006">
    <cfRule type="expression" dxfId="16" priority="12">
      <formula>OR($F14="",$D$18="&lt;Placeholder&gt;")</formula>
    </cfRule>
  </conditionalFormatting>
  <conditionalFormatting sqref="L14:L10006">
    <cfRule type="expression" dxfId="15" priority="16">
      <formula>OR($F14="",$D$19="&lt;Placeholder&gt;")</formula>
    </cfRule>
  </conditionalFormatting>
  <conditionalFormatting sqref="M10:M10006">
    <cfRule type="expression" dxfId="14" priority="17">
      <formula>OR($F10="",$D$20="&lt;Placeholder&gt;")</formula>
    </cfRule>
  </conditionalFormatting>
  <conditionalFormatting sqref="N10:N10006">
    <cfRule type="expression" dxfId="13" priority="18">
      <formula>OR($F10="",$D$21="&lt;Placeholder&gt;")</formula>
    </cfRule>
  </conditionalFormatting>
  <conditionalFormatting sqref="O10:O10006">
    <cfRule type="expression" dxfId="12" priority="19">
      <formula>OR($F10="",$D$22="&lt;Placeholder&gt;")</formula>
    </cfRule>
  </conditionalFormatting>
  <conditionalFormatting sqref="P10:P10006">
    <cfRule type="expression" dxfId="11" priority="20">
      <formula>OR($F10="",$D$23="&lt;Placeholder&gt;")</formula>
    </cfRule>
  </conditionalFormatting>
  <conditionalFormatting sqref="Q10:Q10006">
    <cfRule type="expression" dxfId="10" priority="23">
      <formula>OR($F10="",$D$24="&lt;Placeholder&gt;")</formula>
    </cfRule>
  </conditionalFormatting>
  <conditionalFormatting sqref="D14:D29">
    <cfRule type="containsText" dxfId="9" priority="13" stopIfTrue="1" operator="containsText" text="Placeholder">
      <formula>NOT(ISERROR(SEARCH("Placeholder",D14)))</formula>
    </cfRule>
  </conditionalFormatting>
  <conditionalFormatting sqref="V10:V10006">
    <cfRule type="expression" dxfId="8" priority="28">
      <formula>OR($F10="",$D$29="&lt;Placeholder&gt;")</formula>
    </cfRule>
  </conditionalFormatting>
  <conditionalFormatting sqref="S10:S10006">
    <cfRule type="expression" dxfId="7" priority="25">
      <formula>OR($F10="",$D$26="&lt;Placeholder&gt;")</formula>
    </cfRule>
  </conditionalFormatting>
  <conditionalFormatting sqref="T10:T10006">
    <cfRule type="expression" dxfId="6" priority="26">
      <formula>OR($F10="",$D$27="&lt;Placeholder&gt;")</formula>
    </cfRule>
  </conditionalFormatting>
  <conditionalFormatting sqref="U10:U10006">
    <cfRule type="expression" dxfId="5" priority="27">
      <formula>OR($F10="",$D$28="&lt;Placeholder&gt;")</formula>
    </cfRule>
  </conditionalFormatting>
  <conditionalFormatting sqref="R10:R10006">
    <cfRule type="expression" dxfId="4" priority="24">
      <formula>OR($F10="",$D$25="&lt;Placeholder&gt;")</formula>
    </cfRule>
  </conditionalFormatting>
  <conditionalFormatting sqref="I10:I13">
    <cfRule type="containsText" dxfId="3" priority="7" stopIfTrue="1" operator="containsText" text="Placeholder">
      <formula>NOT(ISERROR(SEARCH("Placeholder",I10)))</formula>
    </cfRule>
  </conditionalFormatting>
  <conditionalFormatting sqref="J10:J13">
    <cfRule type="containsText" dxfId="2" priority="3" stopIfTrue="1" operator="containsText" text="Placeholder">
      <formula>NOT(ISERROR(SEARCH("Placeholder",J10)))</formula>
    </cfRule>
  </conditionalFormatting>
  <conditionalFormatting sqref="K10:K13">
    <cfRule type="containsText" dxfId="1" priority="2" stopIfTrue="1" operator="containsText" text="Placeholder">
      <formula>NOT(ISERROR(SEARCH("Placeholder",K10)))</formula>
    </cfRule>
  </conditionalFormatting>
  <conditionalFormatting sqref="L10:L13">
    <cfRule type="containsText" dxfId="0" priority="1" stopIfTrue="1" operator="containsText" text="Placeholder">
      <formula>NOT(ISERROR(SEARCH("Placeholder",L10)))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2024-10-11T17:12:46Z</dcterms:modified>
</cp:coreProperties>
</file>