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Header Files\"/>
    </mc:Choice>
  </mc:AlternateContent>
  <xr:revisionPtr revIDLastSave="0" documentId="13_ncr:1_{2790BA23-74F7-4064-874B-567817E7F48A}" xr6:coauthVersionLast="47" xr6:coauthVersionMax="47" xr10:uidLastSave="{00000000-0000-0000-0000-000000000000}"/>
  <bookViews>
    <workbookView xWindow="7950" yWindow="4080" windowWidth="28800" windowHeight="1537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10" l="1"/>
  <c r="BH21" i="2"/>
  <c r="BG23" i="2" l="1"/>
  <c r="BG22" i="2"/>
  <c r="BG21" i="2"/>
  <c r="I5"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38"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6" i="9"/>
  <c r="D27" i="9" l="1"/>
  <c r="C27" i="9"/>
  <c r="C7" i="9"/>
  <c r="C8" i="9" s="1"/>
  <c r="BS17" i="2"/>
  <c r="BS16" i="2"/>
  <c r="BS9" i="2"/>
  <c r="C26" i="9" l="1"/>
  <c r="D26" i="9" s="1"/>
  <c r="C25" i="9" l="1"/>
  <c r="D25" i="9" s="1"/>
  <c r="C24" i="9"/>
  <c r="D24" i="9" s="1"/>
  <c r="C23" i="9"/>
  <c r="D23" i="9" s="1"/>
  <c r="D22" i="9"/>
  <c r="C21" i="9"/>
  <c r="D21" i="9" s="1"/>
  <c r="BS15" i="2" l="1"/>
  <c r="BS14" i="2"/>
  <c r="CO25" i="2" l="1"/>
  <c r="BD20" i="2"/>
  <c r="E20" i="2" s="1"/>
  <c r="BD19" i="2"/>
  <c r="E19" i="2" s="1"/>
  <c r="BD29" i="2"/>
  <c r="B5" i="9"/>
  <c r="C5" i="9"/>
  <c r="G6" i="1"/>
  <c r="BD28" i="2"/>
  <c r="AY29" i="2"/>
  <c r="AX29" i="2"/>
  <c r="AW29" i="2"/>
  <c r="AV29" i="2"/>
  <c r="AU29" i="2"/>
  <c r="AT29" i="2"/>
  <c r="K29" i="2" s="1"/>
  <c r="AQ29" i="2"/>
  <c r="AP29" i="2"/>
  <c r="AO29" i="2"/>
  <c r="AN29" i="2"/>
  <c r="AM29" i="2"/>
  <c r="AL29" i="2"/>
  <c r="AK29" i="2"/>
  <c r="AJ29" i="2"/>
  <c r="AI29" i="2"/>
  <c r="AH29" i="2"/>
  <c r="AG29" i="2"/>
  <c r="AF29" i="2"/>
  <c r="AE29" i="2"/>
  <c r="AD29" i="2"/>
  <c r="AC29" i="2"/>
  <c r="AB29" i="2"/>
  <c r="AA29" i="2"/>
  <c r="Z29" i="2"/>
  <c r="V29" i="2"/>
  <c r="U29" i="2"/>
  <c r="T29" i="2"/>
  <c r="S29" i="2"/>
  <c r="R29" i="2"/>
  <c r="Q29" i="2"/>
  <c r="P29" i="2"/>
  <c r="O29" i="2"/>
  <c r="N29" i="2"/>
  <c r="M29" i="2"/>
  <c r="I29" i="2"/>
  <c r="H29" i="2"/>
  <c r="G29" i="2"/>
  <c r="F29" i="2"/>
  <c r="E29" i="2"/>
  <c r="D29" i="2"/>
  <c r="AY28" i="2"/>
  <c r="AX28" i="2"/>
  <c r="AW28" i="2"/>
  <c r="AV28" i="2"/>
  <c r="AU28" i="2"/>
  <c r="AT28" i="2"/>
  <c r="K28" i="2" s="1"/>
  <c r="AQ28" i="2"/>
  <c r="AP28" i="2"/>
  <c r="AO28" i="2"/>
  <c r="AN28" i="2"/>
  <c r="AM28" i="2"/>
  <c r="AL28" i="2"/>
  <c r="AK28" i="2"/>
  <c r="AJ28" i="2"/>
  <c r="AI28" i="2"/>
  <c r="AH28" i="2"/>
  <c r="AG28" i="2"/>
  <c r="AF28" i="2"/>
  <c r="AE28" i="2"/>
  <c r="AD28" i="2"/>
  <c r="AC28" i="2"/>
  <c r="AB28" i="2"/>
  <c r="AA28" i="2"/>
  <c r="Z28" i="2"/>
  <c r="V28" i="2"/>
  <c r="U28" i="2"/>
  <c r="T28" i="2"/>
  <c r="S28" i="2"/>
  <c r="R28" i="2"/>
  <c r="Q28" i="2"/>
  <c r="P28" i="2"/>
  <c r="O28" i="2"/>
  <c r="N28" i="2"/>
  <c r="M28" i="2"/>
  <c r="I28" i="2"/>
  <c r="H28" i="2"/>
  <c r="G28" i="2"/>
  <c r="F28" i="2"/>
  <c r="E28" i="2"/>
  <c r="D28" i="2"/>
  <c r="AY20" i="2"/>
  <c r="AX20" i="2"/>
  <c r="AW20" i="2"/>
  <c r="AV20" i="2"/>
  <c r="AU20" i="2"/>
  <c r="AT20" i="2"/>
  <c r="K20" i="2" s="1"/>
  <c r="AQ20" i="2"/>
  <c r="AP20" i="2"/>
  <c r="AN20" i="2"/>
  <c r="AM20" i="2"/>
  <c r="AL20" i="2"/>
  <c r="AK20" i="2"/>
  <c r="AJ20" i="2"/>
  <c r="AI20" i="2"/>
  <c r="AH20" i="2"/>
  <c r="AG20" i="2"/>
  <c r="AF20" i="2"/>
  <c r="AE20" i="2"/>
  <c r="AD20" i="2"/>
  <c r="AC20" i="2"/>
  <c r="AB20" i="2"/>
  <c r="AA20" i="2"/>
  <c r="Z20" i="2"/>
  <c r="V20" i="2"/>
  <c r="U20" i="2"/>
  <c r="T20" i="2"/>
  <c r="S20" i="2"/>
  <c r="R20" i="2"/>
  <c r="Q20" i="2"/>
  <c r="P20" i="2"/>
  <c r="O20" i="2"/>
  <c r="N20" i="2"/>
  <c r="M20" i="2"/>
  <c r="I20" i="2"/>
  <c r="H20" i="2"/>
  <c r="G20" i="2"/>
  <c r="F20" i="2"/>
  <c r="D20" i="2"/>
  <c r="AY19" i="2"/>
  <c r="AX19" i="2"/>
  <c r="AW19" i="2"/>
  <c r="AV19" i="2"/>
  <c r="AU19" i="2"/>
  <c r="AT19" i="2"/>
  <c r="K19" i="2" s="1"/>
  <c r="AQ19" i="2"/>
  <c r="AP19" i="2"/>
  <c r="AN19" i="2"/>
  <c r="AM19" i="2"/>
  <c r="AL19" i="2"/>
  <c r="AK19" i="2"/>
  <c r="AJ19" i="2"/>
  <c r="AI19" i="2"/>
  <c r="AH19" i="2"/>
  <c r="AG19" i="2"/>
  <c r="AF19" i="2"/>
  <c r="AE19" i="2"/>
  <c r="AD19" i="2"/>
  <c r="AC19" i="2"/>
  <c r="AB19" i="2"/>
  <c r="AA19" i="2"/>
  <c r="Z19" i="2"/>
  <c r="V19" i="2"/>
  <c r="U19" i="2"/>
  <c r="T19" i="2"/>
  <c r="S19" i="2"/>
  <c r="R19" i="2"/>
  <c r="Q19" i="2"/>
  <c r="P19" i="2"/>
  <c r="O19" i="2"/>
  <c r="N19" i="2"/>
  <c r="M19" i="2"/>
  <c r="I19" i="2"/>
  <c r="H19" i="2"/>
  <c r="G19" i="2"/>
  <c r="F19" i="2"/>
  <c r="D19" i="2"/>
  <c r="BS20" i="2" l="1"/>
  <c r="AO20" i="2" s="1"/>
  <c r="BS19" i="2"/>
  <c r="AO19" i="2" s="1"/>
  <c r="CN22" i="2" l="1"/>
  <c r="AY22" i="2" s="1"/>
  <c r="H22" i="2" s="1"/>
  <c r="CJ22" i="2"/>
  <c r="AX22" i="2" s="1"/>
  <c r="E22" i="2" s="1"/>
  <c r="BD22" i="2"/>
  <c r="AU22" i="2"/>
  <c r="AT22" i="2"/>
  <c r="K22" i="2" s="1"/>
  <c r="AQ22" i="2"/>
  <c r="AP22" i="2"/>
  <c r="AO22" i="2"/>
  <c r="AN22" i="2"/>
  <c r="AM22" i="2"/>
  <c r="AL22" i="2"/>
  <c r="AK22" i="2"/>
  <c r="AJ22" i="2"/>
  <c r="AI22" i="2"/>
  <c r="AH22" i="2"/>
  <c r="AG22" i="2"/>
  <c r="AF22" i="2"/>
  <c r="AE22" i="2"/>
  <c r="AD22" i="2"/>
  <c r="AC22" i="2"/>
  <c r="AB22" i="2"/>
  <c r="AA22" i="2"/>
  <c r="Z22" i="2"/>
  <c r="V22" i="2"/>
  <c r="U22" i="2"/>
  <c r="T22" i="2"/>
  <c r="S22" i="2"/>
  <c r="R22" i="2"/>
  <c r="Q22" i="2"/>
  <c r="P22" i="2"/>
  <c r="O22" i="2"/>
  <c r="N22" i="2"/>
  <c r="M22" i="2"/>
  <c r="L22" i="2"/>
  <c r="I22" i="2"/>
  <c r="G22" i="2"/>
  <c r="F22" i="2"/>
  <c r="D22" i="2"/>
  <c r="BD17" i="2"/>
  <c r="BD16" i="2"/>
  <c r="BD18" i="2"/>
  <c r="CR25" i="2"/>
  <c r="CN25" i="2"/>
  <c r="CR24" i="2"/>
  <c r="CN24" i="2"/>
  <c r="CJ24" i="2" s="1"/>
  <c r="CK24" i="2"/>
  <c r="CN23" i="2"/>
  <c r="CJ23" i="2"/>
  <c r="CN21" i="2"/>
  <c r="CJ21" i="2"/>
  <c r="BT25" i="2"/>
  <c r="BD27" i="2"/>
  <c r="BD26" i="2"/>
  <c r="BD25" i="2"/>
  <c r="BD24" i="2"/>
  <c r="BD23" i="2"/>
  <c r="BD21" i="2"/>
  <c r="K6" i="1"/>
  <c r="D11" i="1"/>
  <c r="BD15" i="2" s="1"/>
  <c r="B28" i="2" l="1"/>
  <c r="B19" i="2"/>
  <c r="B20" i="2"/>
  <c r="B29" i="2"/>
  <c r="L29" i="2"/>
  <c r="L20" i="2"/>
  <c r="L28" i="2"/>
  <c r="L19" i="2"/>
  <c r="B22" i="2"/>
  <c r="BD14" i="2"/>
  <c r="AV22" i="2"/>
  <c r="AW22" i="2" s="1"/>
  <c r="CJ25" i="2"/>
  <c r="CK25" i="2"/>
  <c r="AY18" i="2"/>
  <c r="H18" i="2" s="1"/>
  <c r="B17" i="2"/>
  <c r="AX15" i="2"/>
  <c r="E15" i="2" s="1"/>
  <c r="I18" i="2"/>
  <c r="I16" i="2"/>
  <c r="AX18" i="2"/>
  <c r="E18" i="2" s="1"/>
  <c r="AU18" i="2"/>
  <c r="AT18" i="2"/>
  <c r="K18" i="2" s="1"/>
  <c r="AQ18" i="2"/>
  <c r="AP18" i="2"/>
  <c r="AO18" i="2"/>
  <c r="AN18" i="2"/>
  <c r="AM18" i="2"/>
  <c r="AL18" i="2"/>
  <c r="AK18" i="2"/>
  <c r="AJ18" i="2"/>
  <c r="AI18" i="2"/>
  <c r="AH18" i="2"/>
  <c r="AG18" i="2"/>
  <c r="AF18" i="2"/>
  <c r="AE18" i="2"/>
  <c r="AD18" i="2"/>
  <c r="AC18" i="2"/>
  <c r="AB18" i="2"/>
  <c r="AA18" i="2"/>
  <c r="Z18" i="2"/>
  <c r="V18" i="2"/>
  <c r="U18" i="2"/>
  <c r="T18" i="2"/>
  <c r="S18" i="2"/>
  <c r="R18" i="2"/>
  <c r="Q18" i="2"/>
  <c r="P18" i="2"/>
  <c r="O18" i="2"/>
  <c r="N18" i="2"/>
  <c r="M18" i="2"/>
  <c r="L18" i="2"/>
  <c r="G18" i="2"/>
  <c r="F18" i="2"/>
  <c r="D18" i="2"/>
  <c r="B18" i="2"/>
  <c r="AY17" i="2"/>
  <c r="H17" i="2" s="1"/>
  <c r="AX17" i="2"/>
  <c r="E17" i="2" s="1"/>
  <c r="AU17" i="2"/>
  <c r="AT17" i="2"/>
  <c r="K17" i="2" s="1"/>
  <c r="AQ17" i="2"/>
  <c r="AP17" i="2"/>
  <c r="AO17" i="2"/>
  <c r="AN17" i="2"/>
  <c r="AM17" i="2"/>
  <c r="AL17" i="2"/>
  <c r="AK17" i="2"/>
  <c r="AJ17" i="2"/>
  <c r="AI17" i="2"/>
  <c r="AH17" i="2"/>
  <c r="AG17" i="2"/>
  <c r="AF17" i="2"/>
  <c r="AE17" i="2"/>
  <c r="AD17" i="2"/>
  <c r="AC17" i="2"/>
  <c r="AB17" i="2"/>
  <c r="AA17" i="2"/>
  <c r="Z17" i="2"/>
  <c r="V17" i="2"/>
  <c r="U17" i="2"/>
  <c r="T17" i="2"/>
  <c r="S17" i="2"/>
  <c r="R17" i="2"/>
  <c r="Q17" i="2"/>
  <c r="P17" i="2"/>
  <c r="O17" i="2"/>
  <c r="N17" i="2"/>
  <c r="M17" i="2"/>
  <c r="L17" i="2"/>
  <c r="I17" i="2"/>
  <c r="G17" i="2"/>
  <c r="F17" i="2"/>
  <c r="D17" i="2"/>
  <c r="AY16" i="2"/>
  <c r="AU16" i="2"/>
  <c r="AT16" i="2"/>
  <c r="K16" i="2" s="1"/>
  <c r="AQ16" i="2"/>
  <c r="AP16" i="2"/>
  <c r="AO16" i="2"/>
  <c r="AN16" i="2"/>
  <c r="AM16" i="2"/>
  <c r="AL16" i="2"/>
  <c r="AK16" i="2"/>
  <c r="AJ16" i="2"/>
  <c r="AI16" i="2"/>
  <c r="AH16" i="2"/>
  <c r="AG16" i="2"/>
  <c r="AF16" i="2"/>
  <c r="AE16" i="2"/>
  <c r="AD16" i="2"/>
  <c r="AC16" i="2"/>
  <c r="AB16" i="2"/>
  <c r="AA16" i="2"/>
  <c r="Z16" i="2"/>
  <c r="V16" i="2"/>
  <c r="U16" i="2"/>
  <c r="T16" i="2"/>
  <c r="S16" i="2"/>
  <c r="R16" i="2"/>
  <c r="Q16" i="2"/>
  <c r="P16" i="2"/>
  <c r="O16" i="2"/>
  <c r="N16" i="2"/>
  <c r="M16" i="2"/>
  <c r="L16" i="2"/>
  <c r="G16" i="2"/>
  <c r="F16" i="2"/>
  <c r="D16" i="2"/>
  <c r="B16" i="2"/>
  <c r="AU15" i="2"/>
  <c r="AT15" i="2"/>
  <c r="K15" i="2" s="1"/>
  <c r="AQ15" i="2"/>
  <c r="AP15" i="2"/>
  <c r="AO15" i="2"/>
  <c r="AN15" i="2"/>
  <c r="AM15" i="2"/>
  <c r="AL15" i="2"/>
  <c r="AK15" i="2"/>
  <c r="AJ15" i="2"/>
  <c r="AI15" i="2"/>
  <c r="AH15" i="2"/>
  <c r="AG15" i="2"/>
  <c r="AF15" i="2"/>
  <c r="AE15" i="2"/>
  <c r="AD15" i="2"/>
  <c r="AC15" i="2"/>
  <c r="AB15" i="2"/>
  <c r="AA15" i="2"/>
  <c r="Z15" i="2"/>
  <c r="V15" i="2"/>
  <c r="U15" i="2"/>
  <c r="T15" i="2"/>
  <c r="S15" i="2"/>
  <c r="R15" i="2"/>
  <c r="Q15" i="2"/>
  <c r="P15" i="2"/>
  <c r="O15" i="2"/>
  <c r="N15" i="2"/>
  <c r="M15" i="2"/>
  <c r="L15" i="2"/>
  <c r="I15" i="2"/>
  <c r="G15" i="2"/>
  <c r="F15" i="2"/>
  <c r="D15" i="2"/>
  <c r="B15" i="2"/>
  <c r="AV16" i="2" l="1"/>
  <c r="AW16" i="2" s="1"/>
  <c r="AX16" i="2"/>
  <c r="E16" i="2" s="1"/>
  <c r="AV17" i="2"/>
  <c r="AW17" i="2" s="1"/>
  <c r="AY15" i="2"/>
  <c r="H15" i="2" s="1"/>
  <c r="H16" i="2"/>
  <c r="AV15" i="2"/>
  <c r="AW15" i="2" s="1"/>
  <c r="AV18" i="2"/>
  <c r="AW18" i="2" s="1"/>
  <c r="AY21" i="2" l="1"/>
  <c r="H21" i="2" s="1"/>
  <c r="I21" i="2"/>
  <c r="AU21" i="2"/>
  <c r="AT21" i="2"/>
  <c r="K21" i="2" s="1"/>
  <c r="AQ21" i="2"/>
  <c r="AP21" i="2"/>
  <c r="AO21" i="2"/>
  <c r="AN21" i="2"/>
  <c r="AM21" i="2"/>
  <c r="AL21" i="2"/>
  <c r="AK21" i="2"/>
  <c r="AJ21" i="2"/>
  <c r="AI21" i="2"/>
  <c r="AH21" i="2"/>
  <c r="AG21" i="2"/>
  <c r="AF21" i="2"/>
  <c r="AE21" i="2"/>
  <c r="AD21" i="2"/>
  <c r="AC21" i="2"/>
  <c r="AB21" i="2"/>
  <c r="AA21" i="2"/>
  <c r="Z21" i="2"/>
  <c r="V21" i="2"/>
  <c r="U21" i="2"/>
  <c r="T21" i="2"/>
  <c r="S21" i="2"/>
  <c r="R21" i="2"/>
  <c r="Q21" i="2"/>
  <c r="P21" i="2"/>
  <c r="O21" i="2"/>
  <c r="N21" i="2"/>
  <c r="M21" i="2"/>
  <c r="G21" i="2"/>
  <c r="F21" i="2"/>
  <c r="D21" i="2"/>
  <c r="AX21" i="2" l="1"/>
  <c r="E21" i="2" s="1"/>
  <c r="AV21" i="2"/>
  <c r="AW21" i="2" s="1"/>
  <c r="B21" i="2"/>
  <c r="L21" i="2" l="1"/>
  <c r="AY23" i="2"/>
  <c r="H23" i="2" s="1"/>
  <c r="AX23" i="2"/>
  <c r="E23" i="2" s="1"/>
  <c r="AU23" i="2"/>
  <c r="AT23" i="2"/>
  <c r="K23" i="2" s="1"/>
  <c r="AQ23" i="2"/>
  <c r="AP23" i="2"/>
  <c r="AO23" i="2"/>
  <c r="AN23" i="2"/>
  <c r="AM23" i="2"/>
  <c r="AL23" i="2"/>
  <c r="AK23" i="2"/>
  <c r="AJ23" i="2"/>
  <c r="AI23" i="2"/>
  <c r="AH23" i="2"/>
  <c r="AG23" i="2"/>
  <c r="AF23" i="2"/>
  <c r="AE23" i="2"/>
  <c r="AD23" i="2"/>
  <c r="AC23" i="2"/>
  <c r="AB23" i="2"/>
  <c r="AA23" i="2"/>
  <c r="Z23" i="2"/>
  <c r="V23" i="2"/>
  <c r="U23" i="2"/>
  <c r="T23" i="2"/>
  <c r="S23" i="2"/>
  <c r="R23" i="2"/>
  <c r="Q23" i="2"/>
  <c r="P23" i="2"/>
  <c r="O23" i="2"/>
  <c r="N23" i="2"/>
  <c r="M23" i="2"/>
  <c r="L23" i="2"/>
  <c r="I23" i="2"/>
  <c r="G23" i="2"/>
  <c r="F23" i="2"/>
  <c r="D23" i="2"/>
  <c r="B23" i="2"/>
  <c r="AV23" i="2" l="1"/>
  <c r="AW23" i="2" s="1"/>
  <c r="V27" i="2" l="1"/>
  <c r="U27" i="2"/>
  <c r="V26" i="2"/>
  <c r="U26" i="2"/>
  <c r="V25" i="2"/>
  <c r="U25" i="2"/>
  <c r="V24" i="2"/>
  <c r="U24" i="2"/>
  <c r="V14" i="2"/>
  <c r="U14" i="2"/>
  <c r="T27" i="2"/>
  <c r="T26" i="2"/>
  <c r="T25" i="2"/>
  <c r="T24" i="2"/>
  <c r="T14" i="2"/>
  <c r="S27" i="2"/>
  <c r="S26" i="2"/>
  <c r="S25" i="2"/>
  <c r="S24" i="2"/>
  <c r="S14" i="2"/>
  <c r="R27" i="2"/>
  <c r="R26" i="2"/>
  <c r="R25" i="2"/>
  <c r="R24" i="2"/>
  <c r="R14" i="2"/>
  <c r="Z27" i="2" l="1"/>
  <c r="Z26" i="2"/>
  <c r="Z25" i="2"/>
  <c r="Z24" i="2"/>
  <c r="Z14" i="2"/>
  <c r="Q27" i="2" l="1"/>
  <c r="Q26" i="2"/>
  <c r="Q25" i="2"/>
  <c r="Q24" i="2"/>
  <c r="AA27" i="2" l="1"/>
  <c r="AA26" i="2"/>
  <c r="AA25" i="2"/>
  <c r="AA24" i="2"/>
  <c r="AA14" i="2"/>
  <c r="AY12" i="2" l="1"/>
  <c r="L27" i="2" l="1"/>
  <c r="L26" i="2"/>
  <c r="L25" i="2"/>
  <c r="L24" i="2"/>
  <c r="L14" i="2"/>
  <c r="Q14" i="2" s="1"/>
  <c r="M27" i="2"/>
  <c r="AF27" i="2"/>
  <c r="AF26" i="2"/>
  <c r="AF25" i="2"/>
  <c r="AF24" i="2"/>
  <c r="AF14" i="2"/>
  <c r="AM27" i="2"/>
  <c r="AL27" i="2"/>
  <c r="AK27" i="2"/>
  <c r="AJ27" i="2"/>
  <c r="AI27" i="2"/>
  <c r="AH27" i="2"/>
  <c r="AG27" i="2"/>
  <c r="AE27" i="2"/>
  <c r="AD27" i="2"/>
  <c r="AM26" i="2"/>
  <c r="AL26" i="2"/>
  <c r="AK26" i="2"/>
  <c r="AJ26" i="2"/>
  <c r="AI26" i="2"/>
  <c r="AH26" i="2"/>
  <c r="AG26" i="2"/>
  <c r="AE26" i="2"/>
  <c r="AD26" i="2"/>
  <c r="AM25" i="2"/>
  <c r="AL25" i="2"/>
  <c r="AK25" i="2"/>
  <c r="AJ25" i="2"/>
  <c r="AI25" i="2"/>
  <c r="AH25" i="2"/>
  <c r="AG25" i="2"/>
  <c r="AE25" i="2"/>
  <c r="AD25" i="2"/>
  <c r="AM24" i="2"/>
  <c r="AL24" i="2"/>
  <c r="AK24" i="2"/>
  <c r="AJ24" i="2"/>
  <c r="AI24" i="2"/>
  <c r="AH24" i="2"/>
  <c r="AG24" i="2"/>
  <c r="AE24" i="2"/>
  <c r="AD24" i="2"/>
  <c r="AM14" i="2"/>
  <c r="AL14" i="2"/>
  <c r="AK14" i="2"/>
  <c r="AJ14" i="2"/>
  <c r="AI14" i="2"/>
  <c r="AH14" i="2"/>
  <c r="AG14" i="2"/>
  <c r="AE14" i="2"/>
  <c r="AD14" i="2"/>
  <c r="M14" i="2" l="1"/>
  <c r="M24" i="2"/>
  <c r="M25" i="2"/>
  <c r="M26" i="2"/>
  <c r="AB27" i="2"/>
  <c r="AB26" i="2"/>
  <c r="AB25" i="2"/>
  <c r="AB24" i="2"/>
  <c r="AB14" i="2"/>
  <c r="AT27" i="2" l="1"/>
  <c r="G27" i="2"/>
  <c r="AT26" i="2"/>
  <c r="G26" i="2"/>
  <c r="AT25" i="2"/>
  <c r="G25" i="2"/>
  <c r="AT24" i="2"/>
  <c r="G24" i="2"/>
  <c r="AT14" i="2"/>
  <c r="G14" i="2"/>
  <c r="B27" i="2"/>
  <c r="B26" i="2"/>
  <c r="N27" i="2"/>
  <c r="N26" i="2"/>
  <c r="N25" i="2"/>
  <c r="N24" i="2"/>
  <c r="N14" i="2"/>
  <c r="AC27" i="2" l="1"/>
  <c r="AC26" i="2"/>
  <c r="AC25" i="2"/>
  <c r="AC24" i="2"/>
  <c r="AC14" i="2"/>
  <c r="B25" i="2" l="1"/>
  <c r="B24" i="2"/>
  <c r="B14" i="2"/>
  <c r="D13" i="1"/>
  <c r="O27" i="2" l="1"/>
  <c r="O26" i="2"/>
  <c r="O25" i="2"/>
  <c r="O24" i="2"/>
  <c r="O14" i="2"/>
  <c r="P27" i="2" l="1"/>
  <c r="P26" i="2"/>
  <c r="P25" i="2"/>
  <c r="P24" i="2"/>
  <c r="P14" i="2"/>
  <c r="AN27" i="2" l="1"/>
  <c r="AN26" i="2"/>
  <c r="AN25" i="2"/>
  <c r="AN24" i="2"/>
  <c r="AN14" i="2"/>
  <c r="AO14" i="2" l="1"/>
  <c r="AO27" i="2" l="1"/>
  <c r="AO26" i="2"/>
  <c r="AO25" i="2"/>
  <c r="AO24" i="2"/>
  <c r="V9" i="1"/>
  <c r="U9" i="1"/>
  <c r="T9" i="1"/>
  <c r="S9" i="1"/>
  <c r="AP27" i="2" l="1"/>
  <c r="I27" i="2"/>
  <c r="F27" i="2"/>
  <c r="D27" i="2"/>
  <c r="AP26" i="2"/>
  <c r="I26" i="2"/>
  <c r="F26" i="2"/>
  <c r="D26" i="2"/>
  <c r="AP25" i="2"/>
  <c r="I25" i="2"/>
  <c r="F25" i="2"/>
  <c r="D25" i="2"/>
  <c r="AP24" i="2"/>
  <c r="I24" i="2"/>
  <c r="F24" i="2"/>
  <c r="D24" i="2"/>
  <c r="AP14" i="2"/>
  <c r="I14" i="2"/>
  <c r="F14" i="2"/>
  <c r="D14" i="2"/>
  <c r="G2" i="1" l="1"/>
  <c r="G4" i="1" s="1"/>
  <c r="H4" i="1" s="1"/>
  <c r="R9" i="1" l="1"/>
  <c r="Q9" i="1"/>
  <c r="P9" i="1"/>
  <c r="O9" i="1"/>
  <c r="N9" i="1"/>
  <c r="K24" i="2" l="1"/>
  <c r="K25" i="2"/>
  <c r="K26" i="2"/>
  <c r="K27" i="2"/>
  <c r="K14" i="2"/>
  <c r="AU24" i="2"/>
  <c r="AU25" i="2"/>
  <c r="AU26" i="2"/>
  <c r="AU27" i="2"/>
  <c r="AU14" i="2"/>
  <c r="AV24" i="2" l="1"/>
  <c r="AW24" i="2" s="1"/>
  <c r="AV25" i="2"/>
  <c r="AW25" i="2" s="1"/>
  <c r="AV26" i="2"/>
  <c r="AW26" i="2" s="1"/>
  <c r="AV27" i="2"/>
  <c r="AW27" i="2" s="1"/>
  <c r="AX24" i="2" l="1"/>
  <c r="E24" i="2" s="1"/>
  <c r="AX25" i="2"/>
  <c r="E25" i="2" s="1"/>
  <c r="AX26" i="2"/>
  <c r="E26" i="2" s="1"/>
  <c r="AX27" i="2"/>
  <c r="E27" i="2" s="1"/>
  <c r="AX14" i="2"/>
  <c r="E14" i="2" s="1"/>
  <c r="M9" i="1"/>
  <c r="L9" i="1"/>
  <c r="AQ24" i="2"/>
  <c r="AQ25" i="2"/>
  <c r="AQ26" i="2"/>
  <c r="AQ27" i="2"/>
  <c r="AQ14" i="2"/>
  <c r="AY24" i="2"/>
  <c r="H24" i="2" s="1"/>
  <c r="AY25" i="2"/>
  <c r="H25" i="2" s="1"/>
  <c r="AY26" i="2"/>
  <c r="H26" i="2" s="1"/>
  <c r="AY27" i="2"/>
  <c r="H27" i="2" s="1"/>
  <c r="AY14" i="2"/>
  <c r="H14" i="2" s="1"/>
  <c r="K9" i="1"/>
  <c r="J9" i="1"/>
  <c r="I9" i="1"/>
  <c r="H9" i="1"/>
  <c r="G9" i="1"/>
  <c r="F9" i="1"/>
  <c r="AV14" i="2" l="1"/>
  <c r="AW14" i="2" l="1"/>
</calcChain>
</file>

<file path=xl/sharedStrings.xml><?xml version="1.0" encoding="utf-8"?>
<sst xmlns="http://schemas.openxmlformats.org/spreadsheetml/2006/main" count="706" uniqueCount="485">
  <si>
    <t>ResourceName</t>
  </si>
  <si>
    <t>CategoryNameProvider</t>
  </si>
  <si>
    <t>PinName</t>
  </si>
  <si>
    <t>SignalWireName</t>
  </si>
  <si>
    <t>SignalType</t>
  </si>
  <si>
    <t>Address</t>
  </si>
  <si>
    <t>Comment</t>
  </si>
  <si>
    <t>External Connection</t>
  </si>
  <si>
    <t>PLC Resource</t>
  </si>
  <si>
    <t>Name</t>
  </si>
  <si>
    <t>Data Type</t>
  </si>
  <si>
    <t>Description</t>
  </si>
  <si>
    <t>BOOL</t>
  </si>
  <si>
    <t>Data[1].0</t>
  </si>
  <si>
    <t>Connection</t>
  </si>
  <si>
    <t>Entry/Exit</t>
  </si>
  <si>
    <t>ENTRY</t>
  </si>
  <si>
    <t>PLC</t>
  </si>
  <si>
    <t>EXIT</t>
  </si>
  <si>
    <t>LB Name</t>
  </si>
  <si>
    <t xml:space="preserve"> </t>
  </si>
  <si>
    <t>Data[2].1</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</si>
  <si>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</si>
  <si>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</si>
  <si>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</si>
  <si>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</si>
  <si>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</si>
  <si>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</si>
  <si>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</si>
  <si>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</si>
  <si>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</si>
  <si>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</si>
  <si>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</si>
  <si>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</si>
  <si>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</si>
  <si>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</si>
  <si>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</si>
  <si>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</si>
  <si>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</si>
  <si>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</si>
  <si>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</si>
  <si>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</si>
  <si>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</si>
  <si>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</si>
  <si>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</si>
  <si>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</si>
  <si>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</si>
  <si>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</si>
  <si>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</si>
  <si>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</si>
  <si>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</si>
  <si>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</si>
  <si>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</si>
  <si>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</si>
  <si>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</si>
  <si>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</si>
  <si>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</si>
  <si>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</si>
  <si>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</si>
  <si>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</si>
  <si>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</si>
  <si>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</si>
  <si>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</si>
  <si>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</si>
  <si>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</si>
  <si>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</si>
  <si>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</si>
  <si>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</si>
  <si>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</si>
  <si>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</si>
  <si>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</si>
  <si>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</si>
  <si>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</si>
  <si>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</si>
  <si>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</si>
  <si>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</si>
  <si>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</si>
  <si>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</si>
  <si>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</si>
  <si>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</si>
  <si>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</si>
  <si>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</si>
  <si>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</si>
  <si>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</si>
  <si>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</si>
  <si>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</si>
  <si>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</si>
  <si>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</si>
  <si>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</si>
  <si>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</si>
  <si>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</si>
  <si>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</si>
  <si>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</si>
  <si>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</si>
  <si>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</si>
  <si>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Address Byte</t>
  </si>
  <si>
    <t>Address Bit</t>
  </si>
  <si>
    <t>Symbol</t>
  </si>
  <si>
    <t>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</si>
  <si>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</si>
  <si>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</si>
  <si>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</si>
  <si>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</si>
  <si>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</si>
  <si>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</si>
  <si>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</si>
  <si>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</si>
  <si>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</si>
  <si>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</si>
  <si>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</si>
  <si>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</si>
  <si>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</si>
  <si>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</si>
  <si>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</si>
  <si>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</si>
  <si>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</si>
  <si>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</si>
  <si>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</si>
  <si>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</si>
  <si>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</si>
  <si>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</si>
  <si>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</si>
  <si>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</si>
  <si>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&lt;Config10&gt;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</si>
  <si>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</si>
  <si>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</si>
  <si>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</si>
  <si>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</si>
  <si>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</si>
  <si>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</si>
  <si>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</si>
  <si>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</si>
  <si>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</si>
  <si>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</si>
  <si>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</si>
  <si>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</si>
  <si>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</si>
  <si>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</si>
  <si>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</si>
  <si>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</si>
  <si>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</si>
  <si>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</si>
  <si>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</si>
  <si>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</si>
  <si>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</si>
  <si>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</si>
  <si>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</si>
  <si>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</si>
  <si>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</si>
  <si>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</si>
  <si>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</si>
  <si>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</si>
  <si>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</si>
  <si>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</si>
  <si>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</si>
  <si>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</si>
  <si>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</si>
  <si>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</si>
  <si>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</si>
  <si>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</si>
  <si>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</si>
  <si>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</si>
  <si>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</si>
  <si>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</si>
  <si>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</si>
  <si>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</si>
  <si>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</si>
  <si>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</si>
  <si>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</si>
  <si>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</si>
  <si>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</si>
  <si>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</si>
  <si>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</si>
  <si>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</si>
  <si>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</si>
  <si>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</si>
  <si>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</si>
  <si>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</si>
  <si>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</si>
  <si>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</si>
  <si>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</si>
  <si>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</si>
  <si>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</si>
  <si>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</si>
  <si>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</si>
  <si>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</si>
  <si>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</si>
  <si>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</si>
  <si>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</si>
  <si>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</si>
  <si>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</si>
  <si>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</si>
  <si>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</si>
  <si>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</si>
  <si>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</si>
  <si>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</si>
  <si>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</si>
  <si>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</si>
  <si>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</si>
  <si>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</si>
  <si>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</si>
  <si>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</si>
  <si>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</si>
  <si>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</si>
  <si>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</si>
  <si>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</si>
  <si>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</si>
  <si>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</si>
  <si>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</si>
  <si>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</si>
  <si>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</si>
  <si>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</si>
  <si>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</si>
  <si>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</si>
  <si>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</si>
  <si>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</si>
  <si>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</si>
  <si>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</si>
  <si>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</si>
  <si>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</si>
  <si>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</si>
  <si>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</si>
  <si>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</si>
  <si>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</si>
  <si>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</si>
  <si>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</si>
  <si>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</si>
  <si>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</si>
  <si>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</si>
  <si>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</si>
  <si>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</si>
  <si>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</si>
  <si>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</si>
  <si>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</si>
  <si>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</si>
  <si>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</si>
  <si>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</si>
  <si>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</si>
  <si>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</si>
  <si>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</si>
  <si>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</si>
  <si>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</si>
  <si>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</si>
  <si>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&lt;Config7&gt;</t>
  </si>
  <si>
    <t>&lt;Config8&gt;</t>
  </si>
  <si>
    <t>&lt;Config9&gt;</t>
  </si>
  <si>
    <t>AB_RACKx_SLOTa</t>
  </si>
  <si>
    <t>STELLANTIS\Common\ToolPrototype\Devices</t>
  </si>
  <si>
    <t>b17</t>
  </si>
  <si>
    <t>(16384 * ModuleOK) + ( 20480 * (NOT ModuleOK))</t>
  </si>
  <si>
    <t>ModuleOK</t>
  </si>
  <si>
    <t>b08</t>
  </si>
  <si>
    <t>VALVE_MANIFOLD</t>
  </si>
  <si>
    <t>UnplugPower</t>
  </si>
  <si>
    <t>From_SIM_InputPwrOk</t>
  </si>
  <si>
    <t>From_SIM_OutputPwrOk</t>
  </si>
  <si>
    <t>To_SIM_OutputPwrOk</t>
  </si>
  <si>
    <t>To_SIM_CommOk</t>
  </si>
  <si>
    <t>From_KEY_UnplugPower</t>
  </si>
  <si>
    <t>AuxPwrOk</t>
  </si>
  <si>
    <t>System:Node</t>
  </si>
  <si>
    <t>Switch:Port OR Upstream Device</t>
  </si>
  <si>
    <t>SxxESWy:17</t>
  </si>
  <si>
    <t>Sxx_SyyPSBz:AUX1</t>
  </si>
  <si>
    <t>UnplugEnet</t>
  </si>
  <si>
    <t>From_SIM_CommOk</t>
  </si>
  <si>
    <t>EntryStatus</t>
  </si>
  <si>
    <t>SwitchPort</t>
  </si>
  <si>
    <t>From_KEY_UnplugEnet</t>
  </si>
  <si>
    <t>To_PLC_EntryStatus</t>
  </si>
  <si>
    <t>To_PLC_SwitchPort</t>
  </si>
  <si>
    <t>4th:126</t>
  </si>
  <si>
    <t>(NOT From_KEY_UnplugPower) AND (NOT From_KEY_UnplugEnet) AND From_SIM_InputPwrOk AND From_SIM_CommOk</t>
  </si>
  <si>
    <t>STELLANTIS_EIP</t>
  </si>
  <si>
    <t>STELLANTIS_EIP_VALVE_MANIFOLD_ENET_SxxFyyVMz.v00</t>
  </si>
  <si>
    <t>AuxPowerOff</t>
  </si>
  <si>
    <t>Power Supply for Output Device Outside Specification</t>
  </si>
  <si>
    <t>ModuleError1</t>
  </si>
  <si>
    <t>Error Module 1</t>
  </si>
  <si>
    <t>To_PLC_AuxPowerOff</t>
  </si>
  <si>
    <t>To_PLC_ModuleError1</t>
  </si>
  <si>
    <t>(NOT From_KEY_UnplugPower) AND From_SIM_OutputPwrOk AND ModuleOK</t>
  </si>
  <si>
    <t>Aux Pwr Source:Port</t>
  </si>
  <si>
    <t>ModuleError0</t>
  </si>
  <si>
    <t>Data[2].0</t>
  </si>
  <si>
    <t>Error Module 0</t>
  </si>
  <si>
    <t>b16</t>
  </si>
  <si>
    <t>Air Source</t>
  </si>
  <si>
    <t>SxxFyy:FIXTURE_AIR</t>
  </si>
  <si>
    <t>From_SIM_AirOn</t>
  </si>
  <si>
    <t>To_SIM_AirOn</t>
  </si>
  <si>
    <t>SxxFyyVMz</t>
  </si>
  <si>
    <t>From_SIM_AirRangeOk</t>
  </si>
  <si>
    <t>To_SIM_AirRangeOk</t>
  </si>
  <si>
    <t>To_PLC_ModuleError0</t>
  </si>
  <si>
    <t>Validation Tracker Prep</t>
  </si>
  <si>
    <t>COMPONENT</t>
  </si>
  <si>
    <t>TYPE</t>
  </si>
  <si>
    <t>NAME</t>
  </si>
  <si>
    <t>ENET_NODE</t>
  </si>
  <si>
    <t>ENET_PORT</t>
  </si>
  <si>
    <t>Valve Manifold</t>
  </si>
  <si>
    <t>OUTPUT_PWR_SOURCE</t>
  </si>
  <si>
    <t>3</t>
  </si>
  <si>
    <t>Number Input Modules</t>
  </si>
  <si>
    <t># Input Modules</t>
  </si>
  <si>
    <t>Input Data Bytes</t>
  </si>
  <si>
    <t>INPUT_DATA_BYTES</t>
  </si>
  <si>
    <t>Valid Signals</t>
  </si>
  <si>
    <t>O.Data[0].0</t>
  </si>
  <si>
    <t>O.Data[0].1</t>
  </si>
  <si>
    <t>O.Data[0].2</t>
  </si>
  <si>
    <t>O.Data[0].3</t>
  </si>
  <si>
    <t>O.Data[0].4</t>
  </si>
  <si>
    <t>O.Data[0].5</t>
  </si>
  <si>
    <t>O.Data[0].6</t>
  </si>
  <si>
    <t>O.Data[0].7</t>
  </si>
  <si>
    <t>O.Data[1].0</t>
  </si>
  <si>
    <t>O.Data[1].1</t>
  </si>
  <si>
    <t>O.Data[1].2</t>
  </si>
  <si>
    <t>O.Data[1].3</t>
  </si>
  <si>
    <t>O.Data[1].4</t>
  </si>
  <si>
    <t>O.Data[1].5</t>
  </si>
  <si>
    <t>O.Data[1].6</t>
  </si>
  <si>
    <t>O.Data[1].7</t>
  </si>
  <si>
    <t>O.Data[2].0</t>
  </si>
  <si>
    <t>O.Data[2].1</t>
  </si>
  <si>
    <t>O.Data[2].2</t>
  </si>
  <si>
    <t>O.Data[2].3</t>
  </si>
  <si>
    <t>O.Data[2].4</t>
  </si>
  <si>
    <t>O.Data[2].5</t>
  </si>
  <si>
    <t>O.Data[2].6</t>
  </si>
  <si>
    <t>O.Data[2].7</t>
  </si>
  <si>
    <t>O.Data[3].0</t>
  </si>
  <si>
    <t>O.Data[3].1</t>
  </si>
  <si>
    <t>O.Data[3].2</t>
  </si>
  <si>
    <t>O.Data[3].3</t>
  </si>
  <si>
    <t>O.Data[3].4</t>
  </si>
  <si>
    <t>O.Data[3].5</t>
  </si>
  <si>
    <t>O.Data[3].6</t>
  </si>
  <si>
    <t>O.Data[3].7</t>
  </si>
  <si>
    <t>I.Data[4].0</t>
  </si>
  <si>
    <t>I.Data[4].1</t>
  </si>
  <si>
    <t>I.Data[4].2</t>
  </si>
  <si>
    <t>I.Data[4].3</t>
  </si>
  <si>
    <t>I.Data[4].4</t>
  </si>
  <si>
    <t>I.Data[4].5</t>
  </si>
  <si>
    <t>I.Data[4].6</t>
  </si>
  <si>
    <t>I.Data[4].7</t>
  </si>
  <si>
    <t>I.Data[5].0</t>
  </si>
  <si>
    <t>I.Data[5].1</t>
  </si>
  <si>
    <t>I.Data[5].2</t>
  </si>
  <si>
    <t>I.Data[5].3</t>
  </si>
  <si>
    <t>I.Data[5].4</t>
  </si>
  <si>
    <t>I.Data[5].5</t>
  </si>
  <si>
    <t>I.Data[5].6</t>
  </si>
  <si>
    <t>I.Data[5].7</t>
  </si>
  <si>
    <t>I.Data[6].0</t>
  </si>
  <si>
    <t>I.Data[6].1</t>
  </si>
  <si>
    <t>I.Data[6].2</t>
  </si>
  <si>
    <t>I.Data[6].3</t>
  </si>
  <si>
    <t>I.Data[6].4</t>
  </si>
  <si>
    <t>I.Data[6].5</t>
  </si>
  <si>
    <t>I.Data[6].6</t>
  </si>
  <si>
    <t>I.Data[6].7</t>
  </si>
  <si>
    <t>I.Data[7].0</t>
  </si>
  <si>
    <t>I.Data[7].1</t>
  </si>
  <si>
    <t>I.Data[7].2</t>
  </si>
  <si>
    <t>I.Data[7].3</t>
  </si>
  <si>
    <t>I.Data[7].4</t>
  </si>
  <si>
    <t>I.Data[7].5</t>
  </si>
  <si>
    <t>I.Data[7].6</t>
  </si>
  <si>
    <t>I.Data[7].7</t>
  </si>
  <si>
    <t>I.Data[8].0</t>
  </si>
  <si>
    <t>I.Data[8].1</t>
  </si>
  <si>
    <t>I.Data[8].2</t>
  </si>
  <si>
    <t>I.Data[8].3</t>
  </si>
  <si>
    <t>I.Data[8].4</t>
  </si>
  <si>
    <t>I.Data[8].5</t>
  </si>
  <si>
    <t>I.Data[8].6</t>
  </si>
  <si>
    <t>I.Data[8].7</t>
  </si>
  <si>
    <t>I.Data[9].0</t>
  </si>
  <si>
    <t>I.Data[9].1</t>
  </si>
  <si>
    <t>I.Data[9].2</t>
  </si>
  <si>
    <t>I.Data[9].3</t>
  </si>
  <si>
    <t>I.Data[9].4</t>
  </si>
  <si>
    <t>I.Data[9].5</t>
  </si>
  <si>
    <t>I.Data[9].6</t>
  </si>
  <si>
    <t>I.Data[9].7</t>
  </si>
  <si>
    <t>I.Data[10].0</t>
  </si>
  <si>
    <t>I.Data[10].1</t>
  </si>
  <si>
    <t>I.Data[10].2</t>
  </si>
  <si>
    <t>I.Data[10].3</t>
  </si>
  <si>
    <t>I.Data[10].4</t>
  </si>
  <si>
    <t>I.Data[10].5</t>
  </si>
  <si>
    <t>I.Data[10].6</t>
  </si>
  <si>
    <t>I.Data[10].7</t>
  </si>
  <si>
    <t>I.Data[11].0</t>
  </si>
  <si>
    <t>I.Data[11].1</t>
  </si>
  <si>
    <t>I.Data[11].2</t>
  </si>
  <si>
    <t>I.Data[11].3</t>
  </si>
  <si>
    <t>I.Data[11].4</t>
  </si>
  <si>
    <t>I.Data[11].5</t>
  </si>
  <si>
    <t>I.Data[11].6</t>
  </si>
  <si>
    <t>I.Data[11].7</t>
  </si>
  <si>
    <t>I.Data[12].0</t>
  </si>
  <si>
    <t>I.Data[12].1</t>
  </si>
  <si>
    <t>I.Data[12].2</t>
  </si>
  <si>
    <t>I.Data[12].3</t>
  </si>
  <si>
    <t>I.Data[12].4</t>
  </si>
  <si>
    <t>I.Data[12].5</t>
  </si>
  <si>
    <t>I.Data[12].6</t>
  </si>
  <si>
    <t>I.Data[12].7</t>
  </si>
  <si>
    <t>I.Data[13].0</t>
  </si>
  <si>
    <t>I.Data[13].1</t>
  </si>
  <si>
    <t>I.Data[13].2</t>
  </si>
  <si>
    <t>I.Data[13].3</t>
  </si>
  <si>
    <t>I.Data[13].4</t>
  </si>
  <si>
    <t>I.Data[13].5</t>
  </si>
  <si>
    <t>I.Data[13].6</t>
  </si>
  <si>
    <t>I.Data[13].7</t>
  </si>
  <si>
    <t>I.Data[14].0</t>
  </si>
  <si>
    <t>I.Data[14].1</t>
  </si>
  <si>
    <t>I.Data[14].2</t>
  </si>
  <si>
    <t>I.Data[14].3</t>
  </si>
  <si>
    <t>I.Data[14].4</t>
  </si>
  <si>
    <t>I.Data[14].5</t>
  </si>
  <si>
    <t>I.Data[14].6</t>
  </si>
  <si>
    <t>I.Data[14].7</t>
  </si>
  <si>
    <t>I.Data[15].0</t>
  </si>
  <si>
    <t>I.Data[15].1</t>
  </si>
  <si>
    <t>I.Data[15].2</t>
  </si>
  <si>
    <t>I.Data[15].3</t>
  </si>
  <si>
    <t>I.Data[15].4</t>
  </si>
  <si>
    <t>I.Data[15].5</t>
  </si>
  <si>
    <t>I.Data[15].6</t>
  </si>
  <si>
    <t>I.Data[15].7</t>
  </si>
  <si>
    <t>I.Data[16].0</t>
  </si>
  <si>
    <t>I.Data[16].1</t>
  </si>
  <si>
    <t>I.Data[16].2</t>
  </si>
  <si>
    <t>I.Data[16].3</t>
  </si>
  <si>
    <t>I.Data[16].4</t>
  </si>
  <si>
    <t>I.Data[16].5</t>
  </si>
  <si>
    <t>I.Data[16].6</t>
  </si>
  <si>
    <t>I.Data[16].7</t>
  </si>
  <si>
    <t>I.Data[17].0</t>
  </si>
  <si>
    <t>I.Data[17].1</t>
  </si>
  <si>
    <t>I.Data[17].2</t>
  </si>
  <si>
    <t>I.Data[17].3</t>
  </si>
  <si>
    <t>I.Data[17].4</t>
  </si>
  <si>
    <t>I.Data[17].5</t>
  </si>
  <si>
    <t>I.Data[17].6</t>
  </si>
  <si>
    <t>I.Data[17].7</t>
  </si>
  <si>
    <t>I.Data[18].0</t>
  </si>
  <si>
    <t>I.Data[18].1</t>
  </si>
  <si>
    <t>I.Data[18].2</t>
  </si>
  <si>
    <t>I.Data[18].3</t>
  </si>
  <si>
    <t>I.Data[18].4</t>
  </si>
  <si>
    <t>I.Data[18].5</t>
  </si>
  <si>
    <t>I.Data[18].6</t>
  </si>
  <si>
    <t>I.Data[18].7</t>
  </si>
  <si>
    <t>I.Data[19].0</t>
  </si>
  <si>
    <t>I.Data[19].1</t>
  </si>
  <si>
    <t>I.Data[19].2</t>
  </si>
  <si>
    <t>I.Data[19].3</t>
  </si>
  <si>
    <t>I.Data[19].4</t>
  </si>
  <si>
    <t>I.Data[19].5</t>
  </si>
  <si>
    <t>I.Data[19].6</t>
  </si>
  <si>
    <t>I.Data[19].7</t>
  </si>
  <si>
    <t>I.Data[20].0</t>
  </si>
  <si>
    <t>I.Data[20].1</t>
  </si>
  <si>
    <t>I.Data[20].2</t>
  </si>
  <si>
    <t>I.Data[20].3</t>
  </si>
  <si>
    <t>I.Data[20].4</t>
  </si>
  <si>
    <t>I.Data[20].5</t>
  </si>
  <si>
    <t>I.Data[20].6</t>
  </si>
  <si>
    <t>I.Data[20].7</t>
  </si>
  <si>
    <t>I.Data[21].0</t>
  </si>
  <si>
    <t>I.Data[21].1</t>
  </si>
  <si>
    <t>I.Data[21].2</t>
  </si>
  <si>
    <t>I.Data[21].3</t>
  </si>
  <si>
    <t>I.Data[21].4</t>
  </si>
  <si>
    <t>I.Data[21].5</t>
  </si>
  <si>
    <t>I.Data[21].6</t>
  </si>
  <si>
    <t>I.Data[21].7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</si>
</sst>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6"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8">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1" borderId="0" xfId="0" applyFill="1"/>
    <xf numFmtId="0" fontId="0" fillId="22" borderId="0" xfId="0" applyFill="1"/>
    <xf numFmtId="0" fontId="0" fillId="23" borderId="0" xfId="0" applyFill="1"/>
    <xf numFmtId="0" fontId="0" fillId="12" borderId="0" xfId="0" applyFill="1"/>
  </cellXfs>
  <cellStyles count="1">
    <cellStyle name="Normal" xfId="0" builtinId="0"/>
  </cellStyles>
  <dxfs count="54">
    <dxf>
      <border>
        <top style="thin">
          <color auto="1"/>
        </top>
        <vertical/>
        <horizontal/>
      </border>
    </dxf>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F10" sqref="F10"/>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186</v>
      </c>
      <c r="G2" s="54" t="str">
        <f ca="1">SUBSTITUTE( LEFT(CELL("filename",A1),FIND("]",CELL("filename",A1))-1),"[","")</f>
        <v>C:\Users\BryanJoseMaldonadoGa\source\repos\VC Validation Tracker Generator\assets\Header Files\Signal Template - STELLANTIS - EIP - Common - Devices - SMC - Valve Manifold - Enet - v00.00.xlsm</v>
      </c>
      <c r="H2" s="54"/>
      <c r="I2" s="54"/>
      <c r="J2" s="54"/>
      <c r="K2" s="54"/>
      <c r="L2" s="54"/>
      <c r="M2" s="54"/>
      <c r="N2" s="54"/>
      <c r="O2" s="54"/>
      <c r="P2" s="54"/>
      <c r="Q2" s="54"/>
      <c r="R2" s="54"/>
      <c r="S2" s="54"/>
      <c r="T2" s="54"/>
      <c r="U2" s="54"/>
      <c r="V2" s="54"/>
    </row>
    <row r="3" spans="2:22" x14ac:dyDescent="0.35">
      <c r="F3" s="23" t="s">
        <v>185</v>
      </c>
      <c r="G3" s="55">
        <v>45580.356400462966</v>
      </c>
      <c r="H3" s="54"/>
      <c r="I3" s="54"/>
      <c r="J3" s="54"/>
      <c r="K3" s="54"/>
      <c r="L3" s="54"/>
      <c r="M3" s="54"/>
      <c r="N3" s="54"/>
      <c r="O3" s="54"/>
      <c r="P3" s="54"/>
      <c r="Q3" s="54"/>
      <c r="R3" s="54"/>
      <c r="S3" s="54"/>
      <c r="T3" s="54"/>
      <c r="U3" s="54"/>
      <c r="V3" s="54"/>
    </row>
    <row r="4" spans="2:22" x14ac:dyDescent="0.35">
      <c r="F4" s="23" t="s">
        <v>213</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127</v>
      </c>
      <c r="G5" s="53" t="s">
        <v>273</v>
      </c>
      <c r="H5" s="53"/>
      <c r="I5" s="53"/>
      <c r="J5" s="23" t="s">
        <v>128</v>
      </c>
      <c r="K5" s="54" t="s">
        <v>274</v>
      </c>
      <c r="L5" s="54"/>
      <c r="M5" s="54"/>
      <c r="N5" s="54"/>
      <c r="O5" s="54"/>
      <c r="P5" s="54"/>
      <c r="Q5" s="54"/>
      <c r="R5" s="54"/>
      <c r="S5" s="54"/>
      <c r="T5" s="54"/>
      <c r="U5" s="54"/>
      <c r="V5" s="54"/>
    </row>
    <row r="6" spans="2:22" x14ac:dyDescent="0.35">
      <c r="F6" s="23" t="s">
        <v>209</v>
      </c>
      <c r="G6" s="53" t="str">
        <f>"TOOLING\"&amp;LEFT($D$10,FIND("VM",$D$10)-1)</f>
        <v>TOOLING\SxxFyy</v>
      </c>
      <c r="H6" s="53"/>
      <c r="I6" s="53"/>
      <c r="J6" s="23" t="s">
        <v>183</v>
      </c>
      <c r="K6" s="53" t="str">
        <f>$G$5&amp;"_"&amp;$D$9&amp;"_ENET_"&amp;SUBSTITUTE($D$10,":","")&amp;".v00"</f>
        <v>STELLANTIS_EIP_VALVE_MANIFOLD_ENET_SxxFyyVMz.v00</v>
      </c>
      <c r="L6" s="53"/>
      <c r="M6" s="53"/>
      <c r="N6" s="53"/>
      <c r="O6" s="53"/>
      <c r="P6" s="53"/>
      <c r="Q6" s="53"/>
      <c r="R6" s="53"/>
      <c r="S6" s="53"/>
      <c r="T6" s="53"/>
      <c r="U6" s="53"/>
      <c r="V6" s="53"/>
    </row>
    <row r="7" spans="2:22" ht="15" thickBot="1" x14ac:dyDescent="0.4">
      <c r="F7" s="23" t="s">
        <v>208</v>
      </c>
      <c r="G7" s="53" t="s">
        <v>247</v>
      </c>
      <c r="H7" s="53"/>
      <c r="I7" s="53"/>
      <c r="J7" s="23" t="s">
        <v>184</v>
      </c>
      <c r="K7" s="53" t="s">
        <v>180</v>
      </c>
    </row>
    <row r="8" spans="2:22" ht="15" thickBot="1" x14ac:dyDescent="0.4">
      <c r="B8" s="67" t="s">
        <v>217</v>
      </c>
      <c r="F8" s="51"/>
      <c r="G8" s="51"/>
      <c r="H8" s="51"/>
      <c r="I8" s="51"/>
      <c r="J8" s="51"/>
      <c r="K8" s="51"/>
      <c r="L8" s="51"/>
      <c r="M8" s="51"/>
      <c r="N8" s="51"/>
      <c r="O8" s="51"/>
      <c r="P8" s="51"/>
      <c r="Q8" s="51"/>
      <c r="R8" s="51"/>
      <c r="S8" s="51"/>
      <c r="T8" s="51"/>
      <c r="U8" s="51"/>
      <c r="V8" s="51"/>
    </row>
    <row r="9" spans="2:22" ht="15" thickBot="1" x14ac:dyDescent="0.4">
      <c r="B9" s="1" t="s">
        <v>61</v>
      </c>
      <c r="C9" s="69"/>
      <c r="D9" s="22" t="s">
        <v>252</v>
      </c>
      <c r="F9" s="21" t="str">
        <f>$B$10</f>
        <v>LB Unique ID</v>
      </c>
      <c r="G9" s="21" t="str">
        <f>$B$14</f>
        <v>OPC Server</v>
      </c>
      <c r="H9" s="21" t="str">
        <f>$B$15</f>
        <v>System:Node</v>
      </c>
      <c r="I9" s="21" t="str">
        <f>$B$16</f>
        <v>Switch:Port OR Upstream Device</v>
      </c>
      <c r="J9" s="21" t="str">
        <f>$B$17</f>
        <v>Aux Pwr Source:Port</v>
      </c>
      <c r="K9" s="21" t="str">
        <f>$B$18</f>
        <v>Air Source</v>
      </c>
      <c r="L9" s="21" t="str">
        <f>$B$19</f>
        <v># Input Modules</v>
      </c>
      <c r="M9" s="21" t="str">
        <f>$B$20</f>
        <v>&lt;Config7&gt;</v>
      </c>
      <c r="N9" s="21" t="str">
        <f>$B$21</f>
        <v>&lt;Config8&gt;</v>
      </c>
      <c r="O9" s="21" t="str">
        <f>$B$22</f>
        <v>&lt;Config9&gt;</v>
      </c>
      <c r="P9" s="21" t="str">
        <f>$B$23</f>
        <v>&lt;Config10&gt;</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60</v>
      </c>
      <c r="C10" s="5"/>
      <c r="D10" s="78" t="s">
        <v>291</v>
      </c>
      <c r="F10" s="70"/>
      <c r="G10" s="71"/>
      <c r="H10" s="71"/>
      <c r="I10" s="71"/>
      <c r="J10" s="71"/>
      <c r="K10" s="71"/>
      <c r="L10" s="71"/>
      <c r="M10" s="71"/>
      <c r="N10" s="71"/>
      <c r="O10" s="71"/>
      <c r="P10" s="71"/>
      <c r="Q10" s="71"/>
      <c r="R10" s="71"/>
      <c r="S10" s="71"/>
      <c r="T10" s="71"/>
      <c r="U10" s="71"/>
      <c r="V10" s="72"/>
    </row>
    <row r="11" spans="2:22" x14ac:dyDescent="0.35">
      <c r="B11" s="2" t="s">
        <v>19</v>
      </c>
      <c r="C11" s="5"/>
      <c r="D11" s="3" t="str">
        <f>$D$9&amp;"_"&amp;SUBSTITUTE($D$10,":","")</f>
        <v>VALVE_MANIFOLD_SxxFyyVMz</v>
      </c>
      <c r="F11" s="73"/>
      <c r="G11" s="18"/>
      <c r="H11" s="18"/>
      <c r="I11" s="18"/>
      <c r="J11" s="18"/>
      <c r="K11" s="18"/>
      <c r="L11" s="18"/>
      <c r="M11" s="18"/>
      <c r="N11" s="18"/>
      <c r="O11" s="18"/>
      <c r="P11" s="18"/>
      <c r="Q11" s="18"/>
      <c r="R11" s="18"/>
      <c r="S11" s="18"/>
      <c r="T11" s="18"/>
      <c r="U11" s="18"/>
      <c r="V11" s="74"/>
    </row>
    <row r="12" spans="2:22" x14ac:dyDescent="0.35">
      <c r="B12" s="2" t="s">
        <v>66</v>
      </c>
      <c r="C12" s="5"/>
      <c r="D12" s="3" t="s">
        <v>67</v>
      </c>
      <c r="F12" s="73"/>
      <c r="G12" s="18"/>
      <c r="H12" s="18"/>
      <c r="I12" s="18"/>
      <c r="J12" s="18"/>
      <c r="K12" s="18"/>
      <c r="L12" s="18"/>
      <c r="M12" s="18"/>
      <c r="N12" s="18"/>
      <c r="O12" s="18"/>
      <c r="P12" s="18"/>
      <c r="Q12" s="18"/>
      <c r="R12" s="18"/>
      <c r="S12" s="18"/>
      <c r="T12" s="18"/>
      <c r="U12" s="18"/>
      <c r="V12" s="74"/>
    </row>
    <row r="13" spans="2:22" x14ac:dyDescent="0.35">
      <c r="B13" s="58" t="s">
        <v>158</v>
      </c>
      <c r="C13" s="52"/>
      <c r="D13" s="59" t="str">
        <f ca="1">TRIM(RIGHT(SUBSTITUTE(LEFT(CELL("filename",A1),FIND("[",CELL("filename",A1))-2),"\",REPT(" ",LEN(LEFT(CELL("filename",A1),FIND("[",CELL("filename",A1))-2)))),LEN(LEFT(CELL("filename",A1),FIND("[",CELL("filename",A1))-2))))</f>
        <v>Header Files</v>
      </c>
      <c r="F13" s="73"/>
      <c r="G13" s="18"/>
      <c r="H13" s="18"/>
      <c r="I13" s="18"/>
      <c r="J13" s="18"/>
      <c r="K13" s="18"/>
      <c r="L13" s="18"/>
      <c r="M13" s="18"/>
      <c r="N13" s="18"/>
      <c r="O13" s="18"/>
      <c r="P13" s="18"/>
      <c r="Q13" s="18"/>
      <c r="R13" s="18"/>
      <c r="S13" s="18"/>
      <c r="T13" s="18"/>
      <c r="U13" s="18"/>
      <c r="V13" s="74"/>
    </row>
    <row r="14" spans="2:22" x14ac:dyDescent="0.35">
      <c r="B14" s="10" t="s">
        <v>242</v>
      </c>
      <c r="C14" s="5"/>
      <c r="D14" s="78" t="s">
        <v>246</v>
      </c>
      <c r="F14" s="73"/>
      <c r="G14" s="18"/>
      <c r="H14" s="18"/>
      <c r="I14" s="18"/>
      <c r="J14" s="18"/>
      <c r="K14" s="18"/>
      <c r="L14" s="18"/>
      <c r="M14" s="18"/>
      <c r="N14" s="18"/>
      <c r="O14" s="18"/>
      <c r="P14" s="18"/>
      <c r="Q14" s="18"/>
      <c r="R14" s="18"/>
      <c r="S14" s="18"/>
      <c r="T14" s="18"/>
      <c r="U14" s="18"/>
      <c r="V14" s="74"/>
    </row>
    <row r="15" spans="2:22" x14ac:dyDescent="0.35">
      <c r="B15" s="10" t="s">
        <v>260</v>
      </c>
      <c r="C15" s="5"/>
      <c r="D15" s="78" t="s">
        <v>271</v>
      </c>
      <c r="F15" s="73"/>
      <c r="G15" s="18"/>
      <c r="H15" s="18"/>
      <c r="I15" s="18"/>
      <c r="J15" s="18"/>
      <c r="K15" s="18"/>
      <c r="L15" s="18"/>
      <c r="M15" s="18"/>
      <c r="N15" s="18"/>
      <c r="O15" s="18"/>
      <c r="P15" s="18"/>
      <c r="Q15" s="18"/>
      <c r="R15" s="18"/>
      <c r="S15" s="18"/>
      <c r="T15" s="18"/>
      <c r="U15" s="18"/>
      <c r="V15" s="74"/>
    </row>
    <row r="16" spans="2:22" x14ac:dyDescent="0.35">
      <c r="B16" s="10" t="s">
        <v>261</v>
      </c>
      <c r="C16" s="5"/>
      <c r="D16" s="78" t="s">
        <v>262</v>
      </c>
      <c r="F16" s="73"/>
      <c r="G16" s="18"/>
      <c r="H16" s="18"/>
      <c r="I16" s="18"/>
      <c r="J16" s="18"/>
      <c r="K16" s="18"/>
      <c r="L16" s="18"/>
      <c r="M16" s="18"/>
      <c r="N16" s="18"/>
      <c r="O16" s="18"/>
      <c r="P16" s="18"/>
      <c r="Q16" s="18"/>
      <c r="R16" s="18"/>
      <c r="S16" s="18"/>
      <c r="T16" s="18"/>
      <c r="U16" s="18"/>
      <c r="V16" s="74"/>
    </row>
    <row r="17" spans="2:22" x14ac:dyDescent="0.35">
      <c r="B17" s="10" t="s">
        <v>282</v>
      </c>
      <c r="C17" s="5"/>
      <c r="D17" s="78" t="s">
        <v>263</v>
      </c>
      <c r="F17" s="73"/>
      <c r="G17" s="18"/>
      <c r="H17" s="18"/>
      <c r="I17" s="18"/>
      <c r="J17" s="18"/>
      <c r="K17" s="18"/>
      <c r="L17" s="18"/>
      <c r="M17" s="18"/>
      <c r="N17" s="18"/>
      <c r="O17" s="18"/>
      <c r="P17" s="18"/>
      <c r="Q17" s="18"/>
      <c r="R17" s="18"/>
      <c r="S17" s="18"/>
      <c r="T17" s="18"/>
      <c r="U17" s="18"/>
      <c r="V17" s="74"/>
    </row>
    <row r="18" spans="2:22" x14ac:dyDescent="0.35">
      <c r="B18" s="10" t="s">
        <v>287</v>
      </c>
      <c r="C18" s="5"/>
      <c r="D18" s="78" t="s">
        <v>288</v>
      </c>
      <c r="F18" s="73"/>
      <c r="G18" s="18"/>
      <c r="H18" s="18"/>
      <c r="I18" s="18"/>
      <c r="J18" s="18"/>
      <c r="K18" s="18"/>
      <c r="L18" s="18"/>
      <c r="M18" s="18"/>
      <c r="N18" s="18"/>
      <c r="O18" s="18"/>
      <c r="P18" s="18"/>
      <c r="Q18" s="18"/>
      <c r="R18" s="18"/>
      <c r="S18" s="18"/>
      <c r="T18" s="18"/>
      <c r="U18" s="18"/>
      <c r="V18" s="74"/>
    </row>
    <row r="19" spans="2:22" x14ac:dyDescent="0.35">
      <c r="B19" s="10" t="s">
        <v>305</v>
      </c>
      <c r="C19" s="5"/>
      <c r="D19" s="78" t="s">
        <v>303</v>
      </c>
      <c r="F19" s="73"/>
      <c r="G19" s="18"/>
      <c r="H19" s="18"/>
      <c r="I19" s="18"/>
      <c r="J19" s="18"/>
      <c r="K19" s="18"/>
      <c r="L19" s="18"/>
      <c r="M19" s="18"/>
      <c r="N19" s="18"/>
      <c r="O19" s="18"/>
      <c r="P19" s="18"/>
      <c r="Q19" s="18"/>
      <c r="R19" s="18"/>
      <c r="S19" s="18"/>
      <c r="T19" s="18"/>
      <c r="U19" s="18"/>
      <c r="V19" s="74"/>
    </row>
    <row r="20" spans="2:22" x14ac:dyDescent="0.35">
      <c r="B20" s="10" t="s">
        <v>243</v>
      </c>
      <c r="C20" s="5"/>
      <c r="D20" s="78" t="s">
        <v>241</v>
      </c>
      <c r="F20" s="73"/>
      <c r="G20" s="18"/>
      <c r="H20" s="18"/>
      <c r="I20" s="18"/>
      <c r="J20" s="18"/>
      <c r="K20" s="18"/>
      <c r="L20" s="18"/>
      <c r="M20" s="18"/>
      <c r="N20" s="18"/>
      <c r="O20" s="18"/>
      <c r="P20" s="18"/>
      <c r="Q20" s="18"/>
      <c r="R20" s="18"/>
      <c r="S20" s="18"/>
      <c r="T20" s="18"/>
      <c r="U20" s="18"/>
      <c r="V20" s="74"/>
    </row>
    <row r="21" spans="2:22" x14ac:dyDescent="0.35">
      <c r="B21" s="10" t="s">
        <v>244</v>
      </c>
      <c r="C21" s="5"/>
      <c r="D21" s="78" t="s">
        <v>241</v>
      </c>
      <c r="F21" s="73"/>
      <c r="G21" s="18"/>
      <c r="H21" s="18"/>
      <c r="I21" s="18"/>
      <c r="J21" s="18"/>
      <c r="K21" s="18"/>
      <c r="L21" s="18"/>
      <c r="M21" s="18"/>
      <c r="N21" s="18"/>
      <c r="O21" s="18"/>
      <c r="P21" s="18"/>
      <c r="Q21" s="18"/>
      <c r="R21" s="18"/>
      <c r="S21" s="18"/>
      <c r="T21" s="18"/>
      <c r="U21" s="18"/>
      <c r="V21" s="74"/>
    </row>
    <row r="22" spans="2:22" x14ac:dyDescent="0.35">
      <c r="B22" s="10" t="s">
        <v>245</v>
      </c>
      <c r="C22" s="5"/>
      <c r="D22" s="78" t="s">
        <v>241</v>
      </c>
      <c r="F22" s="73"/>
      <c r="G22" s="18"/>
      <c r="H22" s="18"/>
      <c r="I22" s="18"/>
      <c r="J22" s="18"/>
      <c r="K22" s="18"/>
      <c r="L22" s="18"/>
      <c r="M22" s="18"/>
      <c r="N22" s="18"/>
      <c r="O22" s="18"/>
      <c r="P22" s="18"/>
      <c r="Q22" s="18"/>
      <c r="R22" s="18"/>
      <c r="S22" s="18"/>
      <c r="T22" s="18"/>
      <c r="U22" s="18"/>
      <c r="V22" s="74"/>
    </row>
    <row r="23" spans="2:22" x14ac:dyDescent="0.35">
      <c r="B23" s="10" t="s">
        <v>123</v>
      </c>
      <c r="C23" s="5"/>
      <c r="D23" s="78" t="s">
        <v>241</v>
      </c>
      <c r="F23" s="73"/>
      <c r="G23" s="18"/>
      <c r="H23" s="18"/>
      <c r="I23" s="18"/>
      <c r="J23" s="18"/>
      <c r="K23" s="18"/>
      <c r="L23" s="18"/>
      <c r="M23" s="18"/>
      <c r="N23" s="18"/>
      <c r="O23" s="18"/>
      <c r="P23" s="18"/>
      <c r="Q23" s="18"/>
      <c r="R23" s="18"/>
      <c r="S23" s="18"/>
      <c r="T23" s="18"/>
      <c r="U23" s="18"/>
      <c r="V23" s="74"/>
    </row>
    <row r="24" spans="2:22" x14ac:dyDescent="0.35">
      <c r="B24" s="10" t="s">
        <v>122</v>
      </c>
      <c r="C24" s="5"/>
      <c r="D24" s="78" t="s">
        <v>241</v>
      </c>
      <c r="F24" s="73"/>
      <c r="G24" s="18"/>
      <c r="H24" s="18"/>
      <c r="I24" s="18"/>
      <c r="J24" s="18"/>
      <c r="K24" s="18"/>
      <c r="L24" s="18"/>
      <c r="M24" s="18"/>
      <c r="N24" s="18"/>
      <c r="O24" s="18"/>
      <c r="P24" s="18"/>
      <c r="Q24" s="18"/>
      <c r="R24" s="18"/>
      <c r="S24" s="18"/>
      <c r="T24" s="18"/>
      <c r="U24" s="18"/>
      <c r="V24" s="74"/>
    </row>
    <row r="25" spans="2:22" x14ac:dyDescent="0.35">
      <c r="B25" s="10" t="s">
        <v>121</v>
      </c>
      <c r="C25" s="5"/>
      <c r="D25" s="78" t="s">
        <v>241</v>
      </c>
      <c r="F25" s="73"/>
      <c r="G25" s="18"/>
      <c r="H25" s="18"/>
      <c r="I25" s="18"/>
      <c r="J25" s="18"/>
      <c r="K25" s="18"/>
      <c r="L25" s="18"/>
      <c r="M25" s="18"/>
      <c r="N25" s="18"/>
      <c r="O25" s="18"/>
      <c r="P25" s="18"/>
      <c r="Q25" s="18"/>
      <c r="R25" s="18"/>
      <c r="S25" s="18"/>
      <c r="T25" s="18"/>
      <c r="U25" s="18"/>
      <c r="V25" s="74"/>
    </row>
    <row r="26" spans="2:22" x14ac:dyDescent="0.35">
      <c r="B26" s="10" t="s">
        <v>144</v>
      </c>
      <c r="C26" s="5"/>
      <c r="D26" s="78" t="s">
        <v>241</v>
      </c>
      <c r="F26" s="73"/>
      <c r="G26" s="18"/>
      <c r="H26" s="18"/>
      <c r="I26" s="18"/>
      <c r="J26" s="18"/>
      <c r="K26" s="18"/>
      <c r="L26" s="18"/>
      <c r="M26" s="18"/>
      <c r="N26" s="18"/>
      <c r="O26" s="18"/>
      <c r="P26" s="18"/>
      <c r="Q26" s="18"/>
      <c r="R26" s="18"/>
      <c r="S26" s="18"/>
      <c r="T26" s="18"/>
      <c r="U26" s="18"/>
      <c r="V26" s="74"/>
    </row>
    <row r="27" spans="2:22" x14ac:dyDescent="0.35">
      <c r="B27" s="10" t="s">
        <v>145</v>
      </c>
      <c r="C27" s="5"/>
      <c r="D27" s="78" t="s">
        <v>241</v>
      </c>
      <c r="F27" s="73"/>
      <c r="G27" s="18"/>
      <c r="H27" s="18"/>
      <c r="I27" s="18"/>
      <c r="J27" s="18"/>
      <c r="K27" s="18"/>
      <c r="L27" s="18"/>
      <c r="M27" s="18"/>
      <c r="N27" s="18"/>
      <c r="O27" s="18"/>
      <c r="P27" s="18"/>
      <c r="Q27" s="18"/>
      <c r="R27" s="18"/>
      <c r="S27" s="18"/>
      <c r="T27" s="18"/>
      <c r="U27" s="18"/>
      <c r="V27" s="74"/>
    </row>
    <row r="28" spans="2:22" x14ac:dyDescent="0.35">
      <c r="B28" s="10" t="s">
        <v>146</v>
      </c>
      <c r="C28" s="5"/>
      <c r="D28" s="78" t="s">
        <v>241</v>
      </c>
      <c r="F28" s="73"/>
      <c r="G28" s="18"/>
      <c r="H28" s="18"/>
      <c r="I28" s="18"/>
      <c r="J28" s="18"/>
      <c r="K28" s="18"/>
      <c r="L28" s="18"/>
      <c r="M28" s="18"/>
      <c r="N28" s="18"/>
      <c r="O28" s="18"/>
      <c r="P28" s="18"/>
      <c r="Q28" s="18"/>
      <c r="R28" s="18"/>
      <c r="S28" s="18"/>
      <c r="T28" s="18"/>
      <c r="U28" s="18"/>
      <c r="V28" s="74"/>
    </row>
    <row r="29" spans="2:22" ht="15" thickBot="1" x14ac:dyDescent="0.4">
      <c r="B29" s="24" t="s">
        <v>147</v>
      </c>
      <c r="C29" s="6"/>
      <c r="D29" s="79" t="s">
        <v>241</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3" priority="42" stopIfTrue="1" operator="containsText" text="Placeholder">
      <formula>NOT(ISERROR(SEARCH("Placeholder",E18)))</formula>
    </cfRule>
  </conditionalFormatting>
  <conditionalFormatting sqref="G10:G10006">
    <cfRule type="expression" dxfId="52" priority="7">
      <formula>OR($F10="",$D$14="&lt;Placeholder&gt;")</formula>
    </cfRule>
  </conditionalFormatting>
  <conditionalFormatting sqref="H10:H10006">
    <cfRule type="expression" dxfId="51" priority="14">
      <formula>OR($F10="",$D$15="&lt;Placeholder&gt;")</formula>
    </cfRule>
  </conditionalFormatting>
  <conditionalFormatting sqref="I10:I10006">
    <cfRule type="expression" dxfId="50" priority="15">
      <formula>OR($F10="",$D$16="&lt;Placeholder&gt;")</formula>
    </cfRule>
  </conditionalFormatting>
  <conditionalFormatting sqref="J10:J10006">
    <cfRule type="expression" dxfId="49" priority="16">
      <formula>OR($F10="",$D$17="&lt;Placeholder&gt;")</formula>
    </cfRule>
  </conditionalFormatting>
  <conditionalFormatting sqref="K10:K10006">
    <cfRule type="expression" dxfId="48" priority="17">
      <formula>OR($F10="",$D$18="&lt;Placeholder&gt;")</formula>
    </cfRule>
  </conditionalFormatting>
  <conditionalFormatting sqref="L10:L10006">
    <cfRule type="expression" dxfId="47" priority="24">
      <formula>OR($F10="",$D$19="&lt;Placeholder&gt;")</formula>
    </cfRule>
  </conditionalFormatting>
  <conditionalFormatting sqref="M10:M10006">
    <cfRule type="expression" dxfId="46" priority="25">
      <formula>OR($F10="",$D$20="&lt;Placeholder&gt;")</formula>
    </cfRule>
  </conditionalFormatting>
  <conditionalFormatting sqref="N10:N10006">
    <cfRule type="expression" dxfId="45" priority="26">
      <formula>OR($F10="",$D$21="&lt;Placeholder&gt;")</formula>
    </cfRule>
  </conditionalFormatting>
  <conditionalFormatting sqref="O10:O10006">
    <cfRule type="expression" dxfId="44" priority="27">
      <formula>OR($F10="",$D$22="&lt;Placeholder&gt;")</formula>
    </cfRule>
  </conditionalFormatting>
  <conditionalFormatting sqref="P10:P10006">
    <cfRule type="expression" dxfId="43" priority="28">
      <formula>OR($F10="",$D$23="&lt;Placeholder&gt;")</formula>
    </cfRule>
  </conditionalFormatting>
  <conditionalFormatting sqref="Q10:Q10006">
    <cfRule type="expression" dxfId="42" priority="31">
      <formula>OR($F10="",$D$24="&lt;Placeholder&gt;")</formula>
    </cfRule>
  </conditionalFormatting>
  <conditionalFormatting sqref="K5:V5">
    <cfRule type="expression" dxfId="41" priority="22">
      <formula>$K$5&lt;&gt;$K$6</formula>
    </cfRule>
    <cfRule type="expression" dxfId="40" priority="23">
      <formula>$K$5=$K$6</formula>
    </cfRule>
  </conditionalFormatting>
  <conditionalFormatting sqref="G3:Q3">
    <cfRule type="expression" dxfId="39" priority="20">
      <formula>ISNUMBER($G$3)</formula>
    </cfRule>
    <cfRule type="expression" dxfId="38" priority="21">
      <formula>NOT(ISNUMBER($G$3))</formula>
    </cfRule>
  </conditionalFormatting>
  <conditionalFormatting sqref="V10:V10006">
    <cfRule type="expression" dxfId="37" priority="36">
      <formula>OR($F10="",$D$29="&lt;Placeholder&gt;")</formula>
    </cfRule>
  </conditionalFormatting>
  <conditionalFormatting sqref="S10:S10006">
    <cfRule type="expression" dxfId="36" priority="33">
      <formula>OR($F10="",$D$26="&lt;Placeholder&gt;")</formula>
    </cfRule>
  </conditionalFormatting>
  <conditionalFormatting sqref="T10:T10006">
    <cfRule type="expression" dxfId="35" priority="34">
      <formula>OR($F10="",$D$27="&lt;Placeholder&gt;")</formula>
    </cfRule>
  </conditionalFormatting>
  <conditionalFormatting sqref="U10:U10006">
    <cfRule type="expression" dxfId="34" priority="35">
      <formula>OR($F10="",$D$28="&lt;Placeholder&gt;")</formula>
    </cfRule>
  </conditionalFormatting>
  <conditionalFormatting sqref="S3:V3">
    <cfRule type="expression" dxfId="33" priority="10">
      <formula>ISNUMBER($G$3)</formula>
    </cfRule>
    <cfRule type="expression" dxfId="32" priority="11">
      <formula>NOT(ISNUMBER($G$3))</formula>
    </cfRule>
  </conditionalFormatting>
  <conditionalFormatting sqref="D14:D29">
    <cfRule type="containsText" dxfId="31" priority="8" stopIfTrue="1" operator="containsText" text="Placeholder">
      <formula>NOT(ISERROR(SEARCH("Placeholder",D14)))</formula>
    </cfRule>
  </conditionalFormatting>
  <conditionalFormatting sqref="R3">
    <cfRule type="expression" dxfId="30" priority="3">
      <formula>ISNUMBER($G$3)</formula>
    </cfRule>
    <cfRule type="expression" dxfId="29" priority="4">
      <formula>NOT(ISNUMBER($G$3))</formula>
    </cfRule>
  </conditionalFormatting>
  <conditionalFormatting sqref="R10:R10006">
    <cfRule type="expression" dxfId="28" priority="32">
      <formula>OR($F10="",$D$25="&lt;Placeholder&gt;")</formula>
    </cfRule>
  </conditionalFormatting>
  <conditionalFormatting sqref="G4">
    <cfRule type="expression" dxfId="27" priority="2">
      <formula>$G$4="*FIX FILENAME*"</formula>
    </cfRule>
  </conditionalFormatting>
  <conditionalFormatting sqref="H4">
    <cfRule type="expression" dxfId="26"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GenerateUpdateHeaderFile">
          <controlPr defaultSize="0" autoLine="0" r:id="rId5">
            <anchor moveWithCells="1">
              <from>
                <xdr:col>3</xdr:col>
                <xdr:colOff>127000</xdr:colOff>
                <xdr:row>1</xdr:row>
                <xdr:rowOff>38100</xdr:rowOff>
              </from>
              <to>
                <xdr:col>3</xdr:col>
                <xdr:colOff>1352550</xdr:colOff>
                <xdr:row>3</xdr:row>
                <xdr:rowOff>146050</xdr:rowOff>
              </to>
            </anchor>
          </controlPr>
        </control>
      </mc:Choice>
      <mc:Fallback>
        <control shapeId="1032" r:id="rId4" name="cmdGenerateUpdateHeaderFile"/>
      </mc:Fallback>
    </mc:AlternateContent>
    <mc:AlternateContent xmlns:mc="http://schemas.openxmlformats.org/markup-compatibility/2006">
      <mc:Choice Requires="x14">
        <control shapeId="1031" r:id="rId6" name="cmdImportOtherTemplate">
          <controlPr defaultSize="0" autoLine="0" r:id="rId7">
            <anchor moveWithCells="1">
              <from>
                <xdr:col>3</xdr:col>
                <xdr:colOff>127000</xdr:colOff>
                <xdr:row>4</xdr:row>
                <xdr:rowOff>50800</xdr:rowOff>
              </from>
              <to>
                <xdr:col>3</xdr:col>
                <xdr:colOff>1352550</xdr:colOff>
                <xdr:row>6</xdr:row>
                <xdr:rowOff>158750</xdr:rowOff>
              </to>
            </anchor>
          </controlPr>
        </control>
      </mc:Choice>
      <mc:Fallback>
        <control shapeId="1031" r:id="rId6" name="cmdImportOtherTemplate"/>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28" r:id="rId10" name="cmdGenerateSignalImportList">
          <controlPr defaultSize="0" autoLine="0" r:id="rId11">
            <anchor moveWithCells="1">
              <from>
                <xdr:col>1</xdr:col>
                <xdr:colOff>38100</xdr:colOff>
                <xdr:row>4</xdr:row>
                <xdr:rowOff>50800</xdr:rowOff>
              </from>
              <to>
                <xdr:col>1</xdr:col>
                <xdr:colOff>1263650</xdr:colOff>
                <xdr:row>6</xdr:row>
                <xdr:rowOff>158750</xdr:rowOff>
              </to>
            </anchor>
          </controlPr>
        </control>
      </mc:Choice>
      <mc:Fallback>
        <control shapeId="1028" r:id="rId10" name="cmdGenerateSignalImportList"/>
      </mc:Fallback>
    </mc:AlternateContent>
    <mc:AlternateContent xmlns:mc="http://schemas.openxmlformats.org/markup-compatibility/2006">
      <mc:Choice Requires="x14">
        <control shapeId="1033" r:id="rId12" name="cmdChangeConfigOrder">
          <controlPr defaultSize="0" autoLine="0" autoPict="0" r:id="rId13">
            <anchor moveWithCells="1">
              <from>
                <xdr:col>1</xdr:col>
                <xdr:colOff>469900</xdr:colOff>
                <xdr:row>30</xdr:row>
                <xdr:rowOff>38100</xdr:rowOff>
              </from>
              <to>
                <xdr:col>3</xdr:col>
                <xdr:colOff>869950</xdr:colOff>
                <xdr:row>32</xdr:row>
                <xdr:rowOff>50800</xdr:rowOff>
              </to>
            </anchor>
          </controlPr>
        </control>
      </mc:Choice>
      <mc:Fallback>
        <control shapeId="1033" r:id="rId12" name="cmdChangeConfigOrde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5:I181"/>
  <sheetViews>
    <sheetView workbookViewId="0"/>
  </sheetViews>
  <sheetFormatPr defaultRowHeight="14.5" x14ac:dyDescent="0.35"/>
  <cols>
    <col min="2" max="2" width="22" bestFit="1" customWidth="1"/>
    <col min="3" max="3" width="26.26953125" customWidth="1"/>
    <col min="6" max="6" width="9.1796875" customWidth="1"/>
    <col min="8" max="8" width="12.1796875" bestFit="1" customWidth="1"/>
    <col min="9" max="9" width="21.81640625" bestFit="1" customWidth="1"/>
  </cols>
  <sheetData>
    <row r="5" spans="2:9" x14ac:dyDescent="0.35">
      <c r="B5" s="84" t="str">
        <f>LEFT(Header_LB_Unique_ID,FIND("VM",Header_LB_Unique_ID)-1)</f>
        <v>SxxFyy</v>
      </c>
      <c r="C5" s="84" t="str">
        <f>RIGHT(Header_LB_Unique_ID,LEN(Header_LB_Unique_ID)-FIND("VM",Header_LB_Unique_ID)+1)</f>
        <v>VMz</v>
      </c>
      <c r="H5" s="86" t="s">
        <v>308</v>
      </c>
      <c r="I5" s="84" t="str">
        <f>_xlfn.TEXTJOIN("|",TRUE,I6:I181)</f>
        <v>SxxFyyVMz:O.Data[0].0|SxxFyyVMz:O.Data[0].1|SxxFyyVMz:O.Data[0].2|SxxFyyVMz:O.Data[0].3|SxxFyyVMz:O.Data[0].4|SxxFyyVMz:O.Data[0].5|SxxFyyVMz:O.Data[0].6|SxxFyyVMz:O.Data[0].7|SxxFyyVMz:O.Data[1].0|SxxFyyVMz:O.Data[1].1|SxxFyyVMz:O.Data[1].2|SxxFyyVMz:O.Data[1].3|SxxFyyVMz:O.Data[1].4|SxxFyyVMz:O.Data[1].5|SxxFyyVMz:O.Data[1].6|SxxFyyVMz:O.Data[1].7|SxxFyyVMz:O.Data[2].0|SxxFyyVMz:O.Data[2].1|SxxFyyVMz:O.Data[2].2|SxxFyyVMz:O.Data[2].3|SxxFyyVMz:O.Data[2].4|SxxFyyVMz:O.Data[2].5|SxxFyyVMz:O.Data[2].6|SxxFyyVMz:O.Data[2].7|SxxFyyVMz:O.Data[3].0|SxxFyyVMz:O.Data[3].1|SxxFyyVMz:O.Data[3].2|SxxFyyVMz:O.Data[3].3|SxxFyyVMz:O.Data[3].4|SxxFyyVMz:O.Data[3].5|SxxFyyVMz:O.Data[3].6|SxxFyyVMz:O.Data[3].7|SxxFyyVMz:I.Data[4].0|SxxFyyVMz:I.Data[4].1|SxxFyyVMz:I.Data[4].2|SxxFyyVMz:I.Data[4].3|SxxFyyVMz:I.Data[4].4|SxxFyyVMz:I.Data[4].5|SxxFyyVMz:I.Data[4].6|SxxFyyVMz:I.Data[4].7|SxxFyyVMz:I.Data[5].0|SxxFyyVMz:I.Data[5].1|SxxFyyVMz:I.Data[5].2|SxxFyyVMz:I.Data[5].3|SxxFyyVMz:I.Data[5].4|SxxFyyVMz:I.Data[5].5|SxxFyyVMz:I.Data[5].6|SxxFyyVMz:I.Data[5].7|SxxFyyVMz:I.Data[6].0|SxxFyyVMz:I.Data[6].1|SxxFyyVMz:I.Data[6].2|SxxFyyVMz:I.Data[6].3|SxxFyyVMz:I.Data[6].4|SxxFyyVMz:I.Data[6].5|SxxFyyVMz:I.Data[6].6|SxxFyyVMz:I.Data[6].7|SxxFyyVMz:I.Data[7].0|SxxFyyVMz:I.Data[7].1|SxxFyyVMz:I.Data[7].2|SxxFyyVMz:I.Data[7].3|SxxFyyVMz:I.Data[7].4|SxxFyyVMz:I.Data[7].5|SxxFyyVMz:I.Data[7].6|SxxFyyVMz:I.Data[7].7|SxxFyyVMz:I.Data[8].0|SxxFyyVMz:I.Data[8].1|SxxFyyVMz:I.Data[8].2|SxxFyyVMz:I.Data[8].3|SxxFyyVMz:I.Data[8].4|SxxFyyVMz:I.Data[8].5|SxxFyyVMz:I.Data[8].6|SxxFyyVMz:I.Data[8].7|SxxFyyVMz:I.Data[9].0|SxxFyyVMz:I.Data[9].1|SxxFyyVMz:I.Data[9].2|SxxFyyVMz:I.Data[9].3|SxxFyyVMz:I.Data[9].4|SxxFyyVMz:I.Data[9].5|SxxFyyVMz:I.Data[9].6|SxxFyyVMz:I.Data[9].7</v>
      </c>
    </row>
    <row r="6" spans="2:9" x14ac:dyDescent="0.35">
      <c r="G6" s="85"/>
      <c r="H6" s="87" t="s">
        <v>309</v>
      </c>
      <c r="I6" s="84" t="str">
        <f t="shared" ref="I6:I37" si="0">SUBSTITUTE(Header_LB_Unique_ID,":","")&amp;":"&amp;H6</f>
        <v>SxxFyyVMz:O.Data[0].0</v>
      </c>
    </row>
    <row r="7" spans="2:9" x14ac:dyDescent="0.35">
      <c r="B7" s="86" t="s">
        <v>304</v>
      </c>
      <c r="C7" s="84">
        <f>VALUE(Header_Config06)</f>
        <v>3</v>
      </c>
      <c r="G7" s="85"/>
      <c r="H7" s="87" t="s">
        <v>310</v>
      </c>
      <c r="I7" s="84" t="str">
        <f t="shared" si="0"/>
        <v>SxxFyyVMz:O.Data[0].1</v>
      </c>
    </row>
    <row r="8" spans="2:9" x14ac:dyDescent="0.35">
      <c r="B8" s="86" t="s">
        <v>306</v>
      </c>
      <c r="C8" s="84">
        <f>4+C7*2</f>
        <v>10</v>
      </c>
      <c r="G8" s="85"/>
      <c r="H8" s="87" t="s">
        <v>311</v>
      </c>
      <c r="I8" s="84" t="str">
        <f t="shared" si="0"/>
        <v>SxxFyyVMz:O.Data[0].2</v>
      </c>
    </row>
    <row r="9" spans="2:9" x14ac:dyDescent="0.35">
      <c r="G9" s="85"/>
      <c r="H9" s="87" t="s">
        <v>312</v>
      </c>
      <c r="I9" s="84" t="str">
        <f t="shared" si="0"/>
        <v>SxxFyyVMz:O.Data[0].3</v>
      </c>
    </row>
    <row r="10" spans="2:9" x14ac:dyDescent="0.35">
      <c r="G10" s="85"/>
      <c r="H10" s="87" t="s">
        <v>313</v>
      </c>
      <c r="I10" s="84" t="str">
        <f t="shared" si="0"/>
        <v>SxxFyyVMz:O.Data[0].4</v>
      </c>
    </row>
    <row r="11" spans="2:9" x14ac:dyDescent="0.35">
      <c r="G11" s="85"/>
      <c r="H11" s="87" t="s">
        <v>314</v>
      </c>
      <c r="I11" s="84" t="str">
        <f t="shared" si="0"/>
        <v>SxxFyyVMz:O.Data[0].5</v>
      </c>
    </row>
    <row r="12" spans="2:9" x14ac:dyDescent="0.35">
      <c r="G12" s="85"/>
      <c r="H12" s="87" t="s">
        <v>315</v>
      </c>
      <c r="I12" s="84" t="str">
        <f t="shared" si="0"/>
        <v>SxxFyyVMz:O.Data[0].6</v>
      </c>
    </row>
    <row r="13" spans="2:9" x14ac:dyDescent="0.35">
      <c r="G13" s="85"/>
      <c r="H13" s="87" t="s">
        <v>316</v>
      </c>
      <c r="I13" s="84" t="str">
        <f t="shared" si="0"/>
        <v>SxxFyyVMz:O.Data[0].7</v>
      </c>
    </row>
    <row r="14" spans="2:9" x14ac:dyDescent="0.35">
      <c r="G14" s="85"/>
      <c r="H14" s="87" t="s">
        <v>317</v>
      </c>
      <c r="I14" s="84" t="str">
        <f t="shared" si="0"/>
        <v>SxxFyyVMz:O.Data[1].0</v>
      </c>
    </row>
    <row r="15" spans="2:9" x14ac:dyDescent="0.35">
      <c r="G15" s="85"/>
      <c r="H15" s="87" t="s">
        <v>318</v>
      </c>
      <c r="I15" s="84" t="str">
        <f t="shared" si="0"/>
        <v>SxxFyyVMz:O.Data[1].1</v>
      </c>
    </row>
    <row r="16" spans="2:9" x14ac:dyDescent="0.35">
      <c r="G16" s="85"/>
      <c r="H16" s="87" t="s">
        <v>319</v>
      </c>
      <c r="I16" s="84" t="str">
        <f t="shared" si="0"/>
        <v>SxxFyyVMz:O.Data[1].2</v>
      </c>
    </row>
    <row r="17" spans="2:9" x14ac:dyDescent="0.35">
      <c r="G17" s="85"/>
      <c r="H17" s="87" t="s">
        <v>320</v>
      </c>
      <c r="I17" s="84" t="str">
        <f t="shared" si="0"/>
        <v>SxxFyyVMz:O.Data[1].3</v>
      </c>
    </row>
    <row r="18" spans="2:9" x14ac:dyDescent="0.35">
      <c r="G18" s="85"/>
      <c r="H18" s="87" t="s">
        <v>321</v>
      </c>
      <c r="I18" s="84" t="str">
        <f t="shared" si="0"/>
        <v>SxxFyyVMz:O.Data[1].4</v>
      </c>
    </row>
    <row r="19" spans="2:9" x14ac:dyDescent="0.35">
      <c r="G19" s="85"/>
      <c r="H19" s="87" t="s">
        <v>322</v>
      </c>
      <c r="I19" s="84" t="str">
        <f t="shared" si="0"/>
        <v>SxxFyyVMz:O.Data[1].5</v>
      </c>
    </row>
    <row r="20" spans="2:9" x14ac:dyDescent="0.35">
      <c r="B20" s="85" t="s">
        <v>295</v>
      </c>
      <c r="G20" s="85"/>
      <c r="H20" s="87" t="s">
        <v>323</v>
      </c>
      <c r="I20" s="84" t="str">
        <f t="shared" si="0"/>
        <v>SxxFyyVMz:O.Data[1].6</v>
      </c>
    </row>
    <row r="21" spans="2:9" x14ac:dyDescent="0.35">
      <c r="B21" s="86" t="s">
        <v>296</v>
      </c>
      <c r="C21" s="84" t="str">
        <f>LEFT(Header_COJT_Full_Name,SEARCH(".v",Header_COJT_Full_Name)-1)</f>
        <v>STELLANTIS_EIP_VALVE_MANIFOLD_ENET_SxxFyyVMz</v>
      </c>
      <c r="D21" s="84" t="str">
        <f>"&lt;"&amp;LOWER(B21)&amp;"&gt;"&amp;IF(ISERROR(C21),"***ERROR***",IF(C21="","***BLANK***",C21))&amp;"&lt;/"&amp;LOWER(B21)&amp;"&gt;"</f>
        <v>&lt;component&gt;STELLANTIS_EIP_VALVE_MANIFOLD_ENET_SxxFyyVMz&lt;/component&gt;</v>
      </c>
      <c r="G21" s="85"/>
      <c r="H21" s="87" t="s">
        <v>324</v>
      </c>
      <c r="I21" s="84" t="str">
        <f t="shared" si="0"/>
        <v>SxxFyyVMz:O.Data[1].7</v>
      </c>
    </row>
    <row r="22" spans="2:9" x14ac:dyDescent="0.35">
      <c r="B22" s="86" t="s">
        <v>297</v>
      </c>
      <c r="C22" s="84" t="s">
        <v>301</v>
      </c>
      <c r="D22" s="84" t="str">
        <f t="shared" ref="D22:D25" si="1">"&lt;"&amp;LOWER(B22)&amp;"&gt;"&amp;IF(ISERROR(C22),"***ERROR***",IF(C22="","***BLANK***",C22))&amp;"&lt;/"&amp;LOWER(B22)&amp;"&gt;"</f>
        <v>&lt;type&gt;Valve Manifold&lt;/type&gt;</v>
      </c>
      <c r="G22" s="85"/>
      <c r="H22" s="87" t="s">
        <v>325</v>
      </c>
      <c r="I22" s="84" t="str">
        <f t="shared" si="0"/>
        <v>SxxFyyVMz:O.Data[2].0</v>
      </c>
    </row>
    <row r="23" spans="2:9" x14ac:dyDescent="0.35">
      <c r="B23" s="86" t="s">
        <v>298</v>
      </c>
      <c r="C23" s="84" t="str">
        <f>Header_LB_Unique_ID</f>
        <v>SxxFyyVMz</v>
      </c>
      <c r="D23" s="84" t="str">
        <f t="shared" si="1"/>
        <v>&lt;name&gt;SxxFyyVMz&lt;/name&gt;</v>
      </c>
      <c r="G23" s="85"/>
      <c r="H23" s="87" t="s">
        <v>326</v>
      </c>
      <c r="I23" s="84" t="str">
        <f t="shared" si="0"/>
        <v>SxxFyyVMz:O.Data[2].1</v>
      </c>
    </row>
    <row r="24" spans="2:9" x14ac:dyDescent="0.35">
      <c r="B24" s="86" t="s">
        <v>299</v>
      </c>
      <c r="C24" s="84" t="str">
        <f>IF(LEFT(Header_Config01,3)="OPC","_"&amp;Header_Config01&amp;"_","")&amp;"ENET_STAT_"&amp;LEFT(Header_Config02,FIND(":",Header_Config02)-1)&amp;"SYS_ID["&amp;MID(Header_Config02,FIND(":",Header_Config02)+1,3)&amp;"]"</f>
        <v>ENET_STAT_4thSYS_ID[126]</v>
      </c>
      <c r="D24" s="84" t="str">
        <f t="shared" si="1"/>
        <v>&lt;enet_node&gt;ENET_STAT_4thSYS_ID[126]&lt;/enet_node&gt;</v>
      </c>
      <c r="G24" s="85"/>
      <c r="H24" s="87" t="s">
        <v>327</v>
      </c>
      <c r="I24" s="84" t="str">
        <f t="shared" si="0"/>
        <v>SxxFyyVMz:O.Data[2].2</v>
      </c>
    </row>
    <row r="25" spans="2:9" x14ac:dyDescent="0.35">
      <c r="B25" s="86" t="s">
        <v>300</v>
      </c>
      <c r="C25" s="84" t="str">
        <f>Header_Config03</f>
        <v>SxxESWy:17</v>
      </c>
      <c r="D25" s="84" t="str">
        <f t="shared" si="1"/>
        <v>&lt;enet_port&gt;SxxESWy:17&lt;/enet_port&gt;</v>
      </c>
      <c r="G25" s="85"/>
      <c r="H25" s="87" t="s">
        <v>328</v>
      </c>
      <c r="I25" s="84" t="str">
        <f t="shared" si="0"/>
        <v>SxxFyyVMz:O.Data[2].3</v>
      </c>
    </row>
    <row r="26" spans="2:9" x14ac:dyDescent="0.35">
      <c r="B26" s="86" t="s">
        <v>302</v>
      </c>
      <c r="C26" s="84" t="str">
        <f>Header_Config04</f>
        <v>Sxx_SyyPSBz:AUX1</v>
      </c>
      <c r="D26" s="84" t="str">
        <f t="shared" ref="D26:D27" si="2">"&lt;"&amp;LOWER(B26)&amp;"&gt;"&amp;IF(ISERROR(C26),"***ERROR***",IF(C26="","***BLANK***",C26))&amp;"&lt;/"&amp;LOWER(B26)&amp;"&gt;"</f>
        <v>&lt;output_pwr_source&gt;Sxx_SyyPSBz:AUX1&lt;/output_pwr_source&gt;</v>
      </c>
      <c r="G26" s="85"/>
      <c r="H26" s="87" t="s">
        <v>329</v>
      </c>
      <c r="I26" s="84" t="str">
        <f t="shared" si="0"/>
        <v>SxxFyyVMz:O.Data[2].4</v>
      </c>
    </row>
    <row r="27" spans="2:9" x14ac:dyDescent="0.35">
      <c r="B27" s="86" t="s">
        <v>307</v>
      </c>
      <c r="C27" s="84">
        <f>4+$C$7*2</f>
        <v>10</v>
      </c>
      <c r="D27" s="84" t="str">
        <f t="shared" si="2"/>
        <v>&lt;input_data_bytes&gt;10&lt;/input_data_bytes&gt;</v>
      </c>
      <c r="G27" s="85"/>
      <c r="H27" s="87" t="s">
        <v>330</v>
      </c>
      <c r="I27" s="84" t="str">
        <f t="shared" si="0"/>
        <v>SxxFyyVMz:O.Data[2].5</v>
      </c>
    </row>
    <row r="28" spans="2:9" x14ac:dyDescent="0.35">
      <c r="G28" s="85"/>
      <c r="H28" s="87" t="s">
        <v>331</v>
      </c>
      <c r="I28" s="84" t="str">
        <f t="shared" si="0"/>
        <v>SxxFyyVMz:O.Data[2].6</v>
      </c>
    </row>
    <row r="29" spans="2:9" x14ac:dyDescent="0.35">
      <c r="G29" s="85"/>
      <c r="H29" s="87" t="s">
        <v>332</v>
      </c>
      <c r="I29" s="84" t="str">
        <f t="shared" si="0"/>
        <v>SxxFyyVMz:O.Data[2].7</v>
      </c>
    </row>
    <row r="30" spans="2:9" x14ac:dyDescent="0.35">
      <c r="G30" s="85"/>
      <c r="H30" s="87" t="s">
        <v>333</v>
      </c>
      <c r="I30" s="84" t="str">
        <f t="shared" si="0"/>
        <v>SxxFyyVMz:O.Data[3].0</v>
      </c>
    </row>
    <row r="31" spans="2:9" x14ac:dyDescent="0.35">
      <c r="G31" s="85"/>
      <c r="H31" s="87" t="s">
        <v>334</v>
      </c>
      <c r="I31" s="84" t="str">
        <f t="shared" si="0"/>
        <v>SxxFyyVMz:O.Data[3].1</v>
      </c>
    </row>
    <row r="32" spans="2:9" x14ac:dyDescent="0.35">
      <c r="G32" s="85"/>
      <c r="H32" s="87" t="s">
        <v>335</v>
      </c>
      <c r="I32" s="84" t="str">
        <f t="shared" si="0"/>
        <v>SxxFyyVMz:O.Data[3].2</v>
      </c>
    </row>
    <row r="33" spans="7:9" x14ac:dyDescent="0.35">
      <c r="G33" s="85"/>
      <c r="H33" s="87" t="s">
        <v>336</v>
      </c>
      <c r="I33" s="84" t="str">
        <f t="shared" si="0"/>
        <v>SxxFyyVMz:O.Data[3].3</v>
      </c>
    </row>
    <row r="34" spans="7:9" x14ac:dyDescent="0.35">
      <c r="G34" s="85"/>
      <c r="H34" s="87" t="s">
        <v>337</v>
      </c>
      <c r="I34" s="84" t="str">
        <f t="shared" si="0"/>
        <v>SxxFyyVMz:O.Data[3].4</v>
      </c>
    </row>
    <row r="35" spans="7:9" x14ac:dyDescent="0.35">
      <c r="G35" s="85"/>
      <c r="H35" s="87" t="s">
        <v>338</v>
      </c>
      <c r="I35" s="84" t="str">
        <f t="shared" si="0"/>
        <v>SxxFyyVMz:O.Data[3].5</v>
      </c>
    </row>
    <row r="36" spans="7:9" x14ac:dyDescent="0.35">
      <c r="G36" s="85"/>
      <c r="H36" s="87" t="s">
        <v>339</v>
      </c>
      <c r="I36" s="84" t="str">
        <f t="shared" si="0"/>
        <v>SxxFyyVMz:O.Data[3].6</v>
      </c>
    </row>
    <row r="37" spans="7:9" x14ac:dyDescent="0.35">
      <c r="G37" s="85"/>
      <c r="H37" s="87" t="s">
        <v>340</v>
      </c>
      <c r="I37" s="84" t="str">
        <f t="shared" si="0"/>
        <v>SxxFyyVMz:O.Data[3].7</v>
      </c>
    </row>
    <row r="38" spans="7:9" x14ac:dyDescent="0.35">
      <c r="G38" s="85">
        <v>1</v>
      </c>
      <c r="H38" s="87" t="s">
        <v>341</v>
      </c>
      <c r="I38" s="84" t="str">
        <f t="shared" ref="I38:I69" si="3">IF($C$7&gt;=G38,SUBSTITUTE(Header_LB_Unique_ID,":","")&amp;":"&amp;H38,"")</f>
        <v>SxxFyyVMz:I.Data[4].0</v>
      </c>
    </row>
    <row r="39" spans="7:9" x14ac:dyDescent="0.35">
      <c r="G39" s="85">
        <v>1</v>
      </c>
      <c r="H39" s="87" t="s">
        <v>342</v>
      </c>
      <c r="I39" s="84" t="str">
        <f t="shared" si="3"/>
        <v>SxxFyyVMz:I.Data[4].1</v>
      </c>
    </row>
    <row r="40" spans="7:9" x14ac:dyDescent="0.35">
      <c r="G40" s="85">
        <v>1</v>
      </c>
      <c r="H40" s="87" t="s">
        <v>343</v>
      </c>
      <c r="I40" s="84" t="str">
        <f t="shared" si="3"/>
        <v>SxxFyyVMz:I.Data[4].2</v>
      </c>
    </row>
    <row r="41" spans="7:9" x14ac:dyDescent="0.35">
      <c r="G41" s="85">
        <v>1</v>
      </c>
      <c r="H41" s="87" t="s">
        <v>344</v>
      </c>
      <c r="I41" s="84" t="str">
        <f t="shared" si="3"/>
        <v>SxxFyyVMz:I.Data[4].3</v>
      </c>
    </row>
    <row r="42" spans="7:9" x14ac:dyDescent="0.35">
      <c r="G42" s="85">
        <v>1</v>
      </c>
      <c r="H42" s="87" t="s">
        <v>345</v>
      </c>
      <c r="I42" s="84" t="str">
        <f t="shared" si="3"/>
        <v>SxxFyyVMz:I.Data[4].4</v>
      </c>
    </row>
    <row r="43" spans="7:9" x14ac:dyDescent="0.35">
      <c r="G43" s="85">
        <v>1</v>
      </c>
      <c r="H43" s="87" t="s">
        <v>346</v>
      </c>
      <c r="I43" s="84" t="str">
        <f t="shared" si="3"/>
        <v>SxxFyyVMz:I.Data[4].5</v>
      </c>
    </row>
    <row r="44" spans="7:9" x14ac:dyDescent="0.35">
      <c r="G44" s="85">
        <v>1</v>
      </c>
      <c r="H44" s="87" t="s">
        <v>347</v>
      </c>
      <c r="I44" s="84" t="str">
        <f t="shared" si="3"/>
        <v>SxxFyyVMz:I.Data[4].6</v>
      </c>
    </row>
    <row r="45" spans="7:9" x14ac:dyDescent="0.35">
      <c r="G45" s="85">
        <v>1</v>
      </c>
      <c r="H45" s="87" t="s">
        <v>348</v>
      </c>
      <c r="I45" s="84" t="str">
        <f t="shared" si="3"/>
        <v>SxxFyyVMz:I.Data[4].7</v>
      </c>
    </row>
    <row r="46" spans="7:9" x14ac:dyDescent="0.35">
      <c r="G46" s="85">
        <v>1</v>
      </c>
      <c r="H46" s="87" t="s">
        <v>349</v>
      </c>
      <c r="I46" s="84" t="str">
        <f t="shared" si="3"/>
        <v>SxxFyyVMz:I.Data[5].0</v>
      </c>
    </row>
    <row r="47" spans="7:9" x14ac:dyDescent="0.35">
      <c r="G47" s="85">
        <v>1</v>
      </c>
      <c r="H47" s="87" t="s">
        <v>350</v>
      </c>
      <c r="I47" s="84" t="str">
        <f t="shared" si="3"/>
        <v>SxxFyyVMz:I.Data[5].1</v>
      </c>
    </row>
    <row r="48" spans="7:9" x14ac:dyDescent="0.35">
      <c r="G48" s="85">
        <v>1</v>
      </c>
      <c r="H48" s="87" t="s">
        <v>351</v>
      </c>
      <c r="I48" s="84" t="str">
        <f t="shared" si="3"/>
        <v>SxxFyyVMz:I.Data[5].2</v>
      </c>
    </row>
    <row r="49" spans="7:9" x14ac:dyDescent="0.35">
      <c r="G49" s="85">
        <v>1</v>
      </c>
      <c r="H49" s="87" t="s">
        <v>352</v>
      </c>
      <c r="I49" s="84" t="str">
        <f t="shared" si="3"/>
        <v>SxxFyyVMz:I.Data[5].3</v>
      </c>
    </row>
    <row r="50" spans="7:9" x14ac:dyDescent="0.35">
      <c r="G50" s="85">
        <v>1</v>
      </c>
      <c r="H50" s="87" t="s">
        <v>353</v>
      </c>
      <c r="I50" s="84" t="str">
        <f t="shared" si="3"/>
        <v>SxxFyyVMz:I.Data[5].4</v>
      </c>
    </row>
    <row r="51" spans="7:9" x14ac:dyDescent="0.35">
      <c r="G51" s="85">
        <v>1</v>
      </c>
      <c r="H51" s="87" t="s">
        <v>354</v>
      </c>
      <c r="I51" s="84" t="str">
        <f t="shared" si="3"/>
        <v>SxxFyyVMz:I.Data[5].5</v>
      </c>
    </row>
    <row r="52" spans="7:9" x14ac:dyDescent="0.35">
      <c r="G52" s="85">
        <v>1</v>
      </c>
      <c r="H52" s="87" t="s">
        <v>355</v>
      </c>
      <c r="I52" s="84" t="str">
        <f t="shared" si="3"/>
        <v>SxxFyyVMz:I.Data[5].6</v>
      </c>
    </row>
    <row r="53" spans="7:9" x14ac:dyDescent="0.35">
      <c r="G53" s="85">
        <v>1</v>
      </c>
      <c r="H53" s="87" t="s">
        <v>356</v>
      </c>
      <c r="I53" s="84" t="str">
        <f t="shared" si="3"/>
        <v>SxxFyyVMz:I.Data[5].7</v>
      </c>
    </row>
    <row r="54" spans="7:9" x14ac:dyDescent="0.35">
      <c r="G54" s="85">
        <v>2</v>
      </c>
      <c r="H54" s="87" t="s">
        <v>357</v>
      </c>
      <c r="I54" s="84" t="str">
        <f t="shared" si="3"/>
        <v>SxxFyyVMz:I.Data[6].0</v>
      </c>
    </row>
    <row r="55" spans="7:9" x14ac:dyDescent="0.35">
      <c r="G55" s="85">
        <v>2</v>
      </c>
      <c r="H55" s="87" t="s">
        <v>358</v>
      </c>
      <c r="I55" s="84" t="str">
        <f t="shared" si="3"/>
        <v>SxxFyyVMz:I.Data[6].1</v>
      </c>
    </row>
    <row r="56" spans="7:9" x14ac:dyDescent="0.35">
      <c r="G56" s="85">
        <v>2</v>
      </c>
      <c r="H56" s="87" t="s">
        <v>359</v>
      </c>
      <c r="I56" s="84" t="str">
        <f t="shared" si="3"/>
        <v>SxxFyyVMz:I.Data[6].2</v>
      </c>
    </row>
    <row r="57" spans="7:9" x14ac:dyDescent="0.35">
      <c r="G57" s="85">
        <v>2</v>
      </c>
      <c r="H57" s="87" t="s">
        <v>360</v>
      </c>
      <c r="I57" s="84" t="str">
        <f t="shared" si="3"/>
        <v>SxxFyyVMz:I.Data[6].3</v>
      </c>
    </row>
    <row r="58" spans="7:9" x14ac:dyDescent="0.35">
      <c r="G58" s="85">
        <v>2</v>
      </c>
      <c r="H58" s="87" t="s">
        <v>361</v>
      </c>
      <c r="I58" s="84" t="str">
        <f t="shared" si="3"/>
        <v>SxxFyyVMz:I.Data[6].4</v>
      </c>
    </row>
    <row r="59" spans="7:9" x14ac:dyDescent="0.35">
      <c r="G59" s="85">
        <v>2</v>
      </c>
      <c r="H59" s="87" t="s">
        <v>362</v>
      </c>
      <c r="I59" s="84" t="str">
        <f t="shared" si="3"/>
        <v>SxxFyyVMz:I.Data[6].5</v>
      </c>
    </row>
    <row r="60" spans="7:9" x14ac:dyDescent="0.35">
      <c r="G60" s="85">
        <v>2</v>
      </c>
      <c r="H60" s="87" t="s">
        <v>363</v>
      </c>
      <c r="I60" s="84" t="str">
        <f t="shared" si="3"/>
        <v>SxxFyyVMz:I.Data[6].6</v>
      </c>
    </row>
    <row r="61" spans="7:9" x14ac:dyDescent="0.35">
      <c r="G61" s="85">
        <v>2</v>
      </c>
      <c r="H61" s="87" t="s">
        <v>364</v>
      </c>
      <c r="I61" s="84" t="str">
        <f t="shared" si="3"/>
        <v>SxxFyyVMz:I.Data[6].7</v>
      </c>
    </row>
    <row r="62" spans="7:9" x14ac:dyDescent="0.35">
      <c r="G62" s="85">
        <v>2</v>
      </c>
      <c r="H62" s="87" t="s">
        <v>365</v>
      </c>
      <c r="I62" s="84" t="str">
        <f t="shared" si="3"/>
        <v>SxxFyyVMz:I.Data[7].0</v>
      </c>
    </row>
    <row r="63" spans="7:9" x14ac:dyDescent="0.35">
      <c r="G63" s="85">
        <v>2</v>
      </c>
      <c r="H63" s="87" t="s">
        <v>366</v>
      </c>
      <c r="I63" s="84" t="str">
        <f t="shared" si="3"/>
        <v>SxxFyyVMz:I.Data[7].1</v>
      </c>
    </row>
    <row r="64" spans="7:9" x14ac:dyDescent="0.35">
      <c r="G64" s="85">
        <v>2</v>
      </c>
      <c r="H64" s="87" t="s">
        <v>367</v>
      </c>
      <c r="I64" s="84" t="str">
        <f t="shared" si="3"/>
        <v>SxxFyyVMz:I.Data[7].2</v>
      </c>
    </row>
    <row r="65" spans="7:9" x14ac:dyDescent="0.35">
      <c r="G65" s="85">
        <v>2</v>
      </c>
      <c r="H65" s="87" t="s">
        <v>368</v>
      </c>
      <c r="I65" s="84" t="str">
        <f t="shared" si="3"/>
        <v>SxxFyyVMz:I.Data[7].3</v>
      </c>
    </row>
    <row r="66" spans="7:9" x14ac:dyDescent="0.35">
      <c r="G66" s="85">
        <v>2</v>
      </c>
      <c r="H66" s="87" t="s">
        <v>369</v>
      </c>
      <c r="I66" s="84" t="str">
        <f t="shared" si="3"/>
        <v>SxxFyyVMz:I.Data[7].4</v>
      </c>
    </row>
    <row r="67" spans="7:9" x14ac:dyDescent="0.35">
      <c r="G67" s="85">
        <v>2</v>
      </c>
      <c r="H67" s="87" t="s">
        <v>370</v>
      </c>
      <c r="I67" s="84" t="str">
        <f t="shared" si="3"/>
        <v>SxxFyyVMz:I.Data[7].5</v>
      </c>
    </row>
    <row r="68" spans="7:9" x14ac:dyDescent="0.35">
      <c r="G68" s="85">
        <v>2</v>
      </c>
      <c r="H68" s="87" t="s">
        <v>371</v>
      </c>
      <c r="I68" s="84" t="str">
        <f t="shared" si="3"/>
        <v>SxxFyyVMz:I.Data[7].6</v>
      </c>
    </row>
    <row r="69" spans="7:9" x14ac:dyDescent="0.35">
      <c r="G69" s="85">
        <v>2</v>
      </c>
      <c r="H69" s="87" t="s">
        <v>372</v>
      </c>
      <c r="I69" s="84" t="str">
        <f t="shared" si="3"/>
        <v>SxxFyyVMz:I.Data[7].7</v>
      </c>
    </row>
    <row r="70" spans="7:9" x14ac:dyDescent="0.35">
      <c r="G70" s="85">
        <v>3</v>
      </c>
      <c r="H70" s="87" t="s">
        <v>373</v>
      </c>
      <c r="I70" s="84" t="str">
        <f t="shared" ref="I70:I101" si="4">IF($C$7&gt;=G70,SUBSTITUTE(Header_LB_Unique_ID,":","")&amp;":"&amp;H70,"")</f>
        <v>SxxFyyVMz:I.Data[8].0</v>
      </c>
    </row>
    <row r="71" spans="7:9" x14ac:dyDescent="0.35">
      <c r="G71" s="85">
        <v>3</v>
      </c>
      <c r="H71" s="87" t="s">
        <v>374</v>
      </c>
      <c r="I71" s="84" t="str">
        <f t="shared" si="4"/>
        <v>SxxFyyVMz:I.Data[8].1</v>
      </c>
    </row>
    <row r="72" spans="7:9" x14ac:dyDescent="0.35">
      <c r="G72" s="85">
        <v>3</v>
      </c>
      <c r="H72" s="87" t="s">
        <v>375</v>
      </c>
      <c r="I72" s="84" t="str">
        <f t="shared" si="4"/>
        <v>SxxFyyVMz:I.Data[8].2</v>
      </c>
    </row>
    <row r="73" spans="7:9" x14ac:dyDescent="0.35">
      <c r="G73" s="85">
        <v>3</v>
      </c>
      <c r="H73" s="87" t="s">
        <v>376</v>
      </c>
      <c r="I73" s="84" t="str">
        <f t="shared" si="4"/>
        <v>SxxFyyVMz:I.Data[8].3</v>
      </c>
    </row>
    <row r="74" spans="7:9" x14ac:dyDescent="0.35">
      <c r="G74" s="85">
        <v>3</v>
      </c>
      <c r="H74" s="87" t="s">
        <v>377</v>
      </c>
      <c r="I74" s="84" t="str">
        <f t="shared" si="4"/>
        <v>SxxFyyVMz:I.Data[8].4</v>
      </c>
    </row>
    <row r="75" spans="7:9" x14ac:dyDescent="0.35">
      <c r="G75" s="85">
        <v>3</v>
      </c>
      <c r="H75" s="87" t="s">
        <v>378</v>
      </c>
      <c r="I75" s="84" t="str">
        <f t="shared" si="4"/>
        <v>SxxFyyVMz:I.Data[8].5</v>
      </c>
    </row>
    <row r="76" spans="7:9" x14ac:dyDescent="0.35">
      <c r="G76" s="85">
        <v>3</v>
      </c>
      <c r="H76" s="87" t="s">
        <v>379</v>
      </c>
      <c r="I76" s="84" t="str">
        <f t="shared" si="4"/>
        <v>SxxFyyVMz:I.Data[8].6</v>
      </c>
    </row>
    <row r="77" spans="7:9" x14ac:dyDescent="0.35">
      <c r="G77" s="85">
        <v>3</v>
      </c>
      <c r="H77" s="87" t="s">
        <v>380</v>
      </c>
      <c r="I77" s="84" t="str">
        <f t="shared" si="4"/>
        <v>SxxFyyVMz:I.Data[8].7</v>
      </c>
    </row>
    <row r="78" spans="7:9" x14ac:dyDescent="0.35">
      <c r="G78" s="85">
        <v>3</v>
      </c>
      <c r="H78" s="87" t="s">
        <v>381</v>
      </c>
      <c r="I78" s="84" t="str">
        <f t="shared" si="4"/>
        <v>SxxFyyVMz:I.Data[9].0</v>
      </c>
    </row>
    <row r="79" spans="7:9" x14ac:dyDescent="0.35">
      <c r="G79" s="85">
        <v>3</v>
      </c>
      <c r="H79" s="87" t="s">
        <v>382</v>
      </c>
      <c r="I79" s="84" t="str">
        <f t="shared" si="4"/>
        <v>SxxFyyVMz:I.Data[9].1</v>
      </c>
    </row>
    <row r="80" spans="7:9" x14ac:dyDescent="0.35">
      <c r="G80" s="85">
        <v>3</v>
      </c>
      <c r="H80" s="87" t="s">
        <v>383</v>
      </c>
      <c r="I80" s="84" t="str">
        <f t="shared" si="4"/>
        <v>SxxFyyVMz:I.Data[9].2</v>
      </c>
    </row>
    <row r="81" spans="7:9" x14ac:dyDescent="0.35">
      <c r="G81" s="85">
        <v>3</v>
      </c>
      <c r="H81" s="87" t="s">
        <v>384</v>
      </c>
      <c r="I81" s="84" t="str">
        <f t="shared" si="4"/>
        <v>SxxFyyVMz:I.Data[9].3</v>
      </c>
    </row>
    <row r="82" spans="7:9" x14ac:dyDescent="0.35">
      <c r="G82" s="85">
        <v>3</v>
      </c>
      <c r="H82" s="87" t="s">
        <v>385</v>
      </c>
      <c r="I82" s="84" t="str">
        <f t="shared" si="4"/>
        <v>SxxFyyVMz:I.Data[9].4</v>
      </c>
    </row>
    <row r="83" spans="7:9" x14ac:dyDescent="0.35">
      <c r="G83" s="85">
        <v>3</v>
      </c>
      <c r="H83" s="87" t="s">
        <v>386</v>
      </c>
      <c r="I83" s="84" t="str">
        <f t="shared" si="4"/>
        <v>SxxFyyVMz:I.Data[9].5</v>
      </c>
    </row>
    <row r="84" spans="7:9" x14ac:dyDescent="0.35">
      <c r="G84" s="85">
        <v>3</v>
      </c>
      <c r="H84" s="87" t="s">
        <v>387</v>
      </c>
      <c r="I84" s="84" t="str">
        <f t="shared" si="4"/>
        <v>SxxFyyVMz:I.Data[9].6</v>
      </c>
    </row>
    <row r="85" spans="7:9" x14ac:dyDescent="0.35">
      <c r="G85" s="85">
        <v>3</v>
      </c>
      <c r="H85" s="87" t="s">
        <v>388</v>
      </c>
      <c r="I85" s="84" t="str">
        <f t="shared" si="4"/>
        <v>SxxFyyVMz:I.Data[9].7</v>
      </c>
    </row>
    <row r="86" spans="7:9" x14ac:dyDescent="0.35">
      <c r="G86" s="85">
        <v>4</v>
      </c>
      <c r="H86" s="87" t="s">
        <v>389</v>
      </c>
      <c r="I86" s="84" t="str">
        <f t="shared" si="4"/>
        <v/>
      </c>
    </row>
    <row r="87" spans="7:9" x14ac:dyDescent="0.35">
      <c r="G87" s="85">
        <v>4</v>
      </c>
      <c r="H87" s="87" t="s">
        <v>390</v>
      </c>
      <c r="I87" s="84" t="str">
        <f t="shared" si="4"/>
        <v/>
      </c>
    </row>
    <row r="88" spans="7:9" x14ac:dyDescent="0.35">
      <c r="G88" s="85">
        <v>4</v>
      </c>
      <c r="H88" s="87" t="s">
        <v>391</v>
      </c>
      <c r="I88" s="84" t="str">
        <f t="shared" si="4"/>
        <v/>
      </c>
    </row>
    <row r="89" spans="7:9" x14ac:dyDescent="0.35">
      <c r="G89" s="85">
        <v>4</v>
      </c>
      <c r="H89" s="87" t="s">
        <v>392</v>
      </c>
      <c r="I89" s="84" t="str">
        <f t="shared" si="4"/>
        <v/>
      </c>
    </row>
    <row r="90" spans="7:9" x14ac:dyDescent="0.35">
      <c r="G90" s="85">
        <v>4</v>
      </c>
      <c r="H90" s="87" t="s">
        <v>393</v>
      </c>
      <c r="I90" s="84" t="str">
        <f t="shared" si="4"/>
        <v/>
      </c>
    </row>
    <row r="91" spans="7:9" x14ac:dyDescent="0.35">
      <c r="G91" s="85">
        <v>4</v>
      </c>
      <c r="H91" s="87" t="s">
        <v>394</v>
      </c>
      <c r="I91" s="84" t="str">
        <f t="shared" si="4"/>
        <v/>
      </c>
    </row>
    <row r="92" spans="7:9" x14ac:dyDescent="0.35">
      <c r="G92" s="85">
        <v>4</v>
      </c>
      <c r="H92" s="87" t="s">
        <v>395</v>
      </c>
      <c r="I92" s="84" t="str">
        <f t="shared" si="4"/>
        <v/>
      </c>
    </row>
    <row r="93" spans="7:9" x14ac:dyDescent="0.35">
      <c r="G93" s="85">
        <v>4</v>
      </c>
      <c r="H93" s="87" t="s">
        <v>396</v>
      </c>
      <c r="I93" s="84" t="str">
        <f t="shared" si="4"/>
        <v/>
      </c>
    </row>
    <row r="94" spans="7:9" x14ac:dyDescent="0.35">
      <c r="G94" s="85">
        <v>4</v>
      </c>
      <c r="H94" s="87" t="s">
        <v>397</v>
      </c>
      <c r="I94" s="84" t="str">
        <f t="shared" si="4"/>
        <v/>
      </c>
    </row>
    <row r="95" spans="7:9" x14ac:dyDescent="0.35">
      <c r="G95" s="85">
        <v>4</v>
      </c>
      <c r="H95" s="87" t="s">
        <v>398</v>
      </c>
      <c r="I95" s="84" t="str">
        <f t="shared" si="4"/>
        <v/>
      </c>
    </row>
    <row r="96" spans="7:9" x14ac:dyDescent="0.35">
      <c r="G96" s="85">
        <v>4</v>
      </c>
      <c r="H96" s="87" t="s">
        <v>399</v>
      </c>
      <c r="I96" s="84" t="str">
        <f t="shared" si="4"/>
        <v/>
      </c>
    </row>
    <row r="97" spans="7:9" x14ac:dyDescent="0.35">
      <c r="G97" s="85">
        <v>4</v>
      </c>
      <c r="H97" s="87" t="s">
        <v>400</v>
      </c>
      <c r="I97" s="84" t="str">
        <f t="shared" si="4"/>
        <v/>
      </c>
    </row>
    <row r="98" spans="7:9" x14ac:dyDescent="0.35">
      <c r="G98" s="85">
        <v>4</v>
      </c>
      <c r="H98" s="87" t="s">
        <v>401</v>
      </c>
      <c r="I98" s="84" t="str">
        <f t="shared" si="4"/>
        <v/>
      </c>
    </row>
    <row r="99" spans="7:9" x14ac:dyDescent="0.35">
      <c r="G99" s="85">
        <v>4</v>
      </c>
      <c r="H99" s="87" t="s">
        <v>402</v>
      </c>
      <c r="I99" s="84" t="str">
        <f t="shared" si="4"/>
        <v/>
      </c>
    </row>
    <row r="100" spans="7:9" x14ac:dyDescent="0.35">
      <c r="G100" s="85">
        <v>4</v>
      </c>
      <c r="H100" s="87" t="s">
        <v>403</v>
      </c>
      <c r="I100" s="84" t="str">
        <f t="shared" si="4"/>
        <v/>
      </c>
    </row>
    <row r="101" spans="7:9" x14ac:dyDescent="0.35">
      <c r="G101" s="85">
        <v>4</v>
      </c>
      <c r="H101" s="87" t="s">
        <v>404</v>
      </c>
      <c r="I101" s="84" t="str">
        <f t="shared" si="4"/>
        <v/>
      </c>
    </row>
    <row r="102" spans="7:9" x14ac:dyDescent="0.35">
      <c r="G102" s="85">
        <v>5</v>
      </c>
      <c r="H102" s="87" t="s">
        <v>405</v>
      </c>
      <c r="I102" s="84" t="str">
        <f t="shared" ref="I102:I133" si="5">IF($C$7&gt;=G102,SUBSTITUTE(Header_LB_Unique_ID,":","")&amp;":"&amp;H102,"")</f>
        <v/>
      </c>
    </row>
    <row r="103" spans="7:9" x14ac:dyDescent="0.35">
      <c r="G103" s="85">
        <v>5</v>
      </c>
      <c r="H103" s="87" t="s">
        <v>406</v>
      </c>
      <c r="I103" s="84" t="str">
        <f t="shared" si="5"/>
        <v/>
      </c>
    </row>
    <row r="104" spans="7:9" x14ac:dyDescent="0.35">
      <c r="G104" s="85">
        <v>5</v>
      </c>
      <c r="H104" s="87" t="s">
        <v>407</v>
      </c>
      <c r="I104" s="84" t="str">
        <f t="shared" si="5"/>
        <v/>
      </c>
    </row>
    <row r="105" spans="7:9" x14ac:dyDescent="0.35">
      <c r="G105" s="85">
        <v>5</v>
      </c>
      <c r="H105" s="87" t="s">
        <v>408</v>
      </c>
      <c r="I105" s="84" t="str">
        <f t="shared" si="5"/>
        <v/>
      </c>
    </row>
    <row r="106" spans="7:9" x14ac:dyDescent="0.35">
      <c r="G106" s="85">
        <v>5</v>
      </c>
      <c r="H106" s="87" t="s">
        <v>409</v>
      </c>
      <c r="I106" s="84" t="str">
        <f t="shared" si="5"/>
        <v/>
      </c>
    </row>
    <row r="107" spans="7:9" x14ac:dyDescent="0.35">
      <c r="G107" s="85">
        <v>5</v>
      </c>
      <c r="H107" s="87" t="s">
        <v>410</v>
      </c>
      <c r="I107" s="84" t="str">
        <f t="shared" si="5"/>
        <v/>
      </c>
    </row>
    <row r="108" spans="7:9" x14ac:dyDescent="0.35">
      <c r="G108" s="85">
        <v>5</v>
      </c>
      <c r="H108" s="87" t="s">
        <v>411</v>
      </c>
      <c r="I108" s="84" t="str">
        <f t="shared" si="5"/>
        <v/>
      </c>
    </row>
    <row r="109" spans="7:9" x14ac:dyDescent="0.35">
      <c r="G109" s="85">
        <v>5</v>
      </c>
      <c r="H109" s="87" t="s">
        <v>412</v>
      </c>
      <c r="I109" s="84" t="str">
        <f t="shared" si="5"/>
        <v/>
      </c>
    </row>
    <row r="110" spans="7:9" x14ac:dyDescent="0.35">
      <c r="G110" s="85">
        <v>5</v>
      </c>
      <c r="H110" s="87" t="s">
        <v>413</v>
      </c>
      <c r="I110" s="84" t="str">
        <f t="shared" si="5"/>
        <v/>
      </c>
    </row>
    <row r="111" spans="7:9" x14ac:dyDescent="0.35">
      <c r="G111" s="85">
        <v>5</v>
      </c>
      <c r="H111" s="87" t="s">
        <v>414</v>
      </c>
      <c r="I111" s="84" t="str">
        <f t="shared" si="5"/>
        <v/>
      </c>
    </row>
    <row r="112" spans="7:9" x14ac:dyDescent="0.35">
      <c r="G112" s="85">
        <v>5</v>
      </c>
      <c r="H112" s="87" t="s">
        <v>415</v>
      </c>
      <c r="I112" s="84" t="str">
        <f t="shared" si="5"/>
        <v/>
      </c>
    </row>
    <row r="113" spans="7:9" x14ac:dyDescent="0.35">
      <c r="G113" s="85">
        <v>5</v>
      </c>
      <c r="H113" s="87" t="s">
        <v>416</v>
      </c>
      <c r="I113" s="84" t="str">
        <f t="shared" si="5"/>
        <v/>
      </c>
    </row>
    <row r="114" spans="7:9" x14ac:dyDescent="0.35">
      <c r="G114" s="85">
        <v>5</v>
      </c>
      <c r="H114" s="87" t="s">
        <v>417</v>
      </c>
      <c r="I114" s="84" t="str">
        <f t="shared" si="5"/>
        <v/>
      </c>
    </row>
    <row r="115" spans="7:9" x14ac:dyDescent="0.35">
      <c r="G115" s="85">
        <v>5</v>
      </c>
      <c r="H115" s="87" t="s">
        <v>418</v>
      </c>
      <c r="I115" s="84" t="str">
        <f t="shared" si="5"/>
        <v/>
      </c>
    </row>
    <row r="116" spans="7:9" x14ac:dyDescent="0.35">
      <c r="G116" s="85">
        <v>5</v>
      </c>
      <c r="H116" s="87" t="s">
        <v>419</v>
      </c>
      <c r="I116" s="84" t="str">
        <f t="shared" si="5"/>
        <v/>
      </c>
    </row>
    <row r="117" spans="7:9" x14ac:dyDescent="0.35">
      <c r="G117" s="85">
        <v>5</v>
      </c>
      <c r="H117" s="87" t="s">
        <v>420</v>
      </c>
      <c r="I117" s="84" t="str">
        <f t="shared" si="5"/>
        <v/>
      </c>
    </row>
    <row r="118" spans="7:9" x14ac:dyDescent="0.35">
      <c r="G118" s="85">
        <v>6</v>
      </c>
      <c r="H118" s="87" t="s">
        <v>421</v>
      </c>
      <c r="I118" s="84" t="str">
        <f t="shared" si="5"/>
        <v/>
      </c>
    </row>
    <row r="119" spans="7:9" x14ac:dyDescent="0.35">
      <c r="G119" s="85">
        <v>6</v>
      </c>
      <c r="H119" s="87" t="s">
        <v>422</v>
      </c>
      <c r="I119" s="84" t="str">
        <f t="shared" si="5"/>
        <v/>
      </c>
    </row>
    <row r="120" spans="7:9" x14ac:dyDescent="0.35">
      <c r="G120" s="85">
        <v>6</v>
      </c>
      <c r="H120" s="87" t="s">
        <v>423</v>
      </c>
      <c r="I120" s="84" t="str">
        <f t="shared" si="5"/>
        <v/>
      </c>
    </row>
    <row r="121" spans="7:9" x14ac:dyDescent="0.35">
      <c r="G121" s="85">
        <v>6</v>
      </c>
      <c r="H121" s="87" t="s">
        <v>424</v>
      </c>
      <c r="I121" s="84" t="str">
        <f t="shared" si="5"/>
        <v/>
      </c>
    </row>
    <row r="122" spans="7:9" x14ac:dyDescent="0.35">
      <c r="G122" s="85">
        <v>6</v>
      </c>
      <c r="H122" s="87" t="s">
        <v>425</v>
      </c>
      <c r="I122" s="84" t="str">
        <f t="shared" si="5"/>
        <v/>
      </c>
    </row>
    <row r="123" spans="7:9" x14ac:dyDescent="0.35">
      <c r="G123" s="85">
        <v>6</v>
      </c>
      <c r="H123" s="87" t="s">
        <v>426</v>
      </c>
      <c r="I123" s="84" t="str">
        <f t="shared" si="5"/>
        <v/>
      </c>
    </row>
    <row r="124" spans="7:9" x14ac:dyDescent="0.35">
      <c r="G124" s="85">
        <v>6</v>
      </c>
      <c r="H124" s="87" t="s">
        <v>427</v>
      </c>
      <c r="I124" s="84" t="str">
        <f t="shared" si="5"/>
        <v/>
      </c>
    </row>
    <row r="125" spans="7:9" x14ac:dyDescent="0.35">
      <c r="G125" s="85">
        <v>6</v>
      </c>
      <c r="H125" s="87" t="s">
        <v>428</v>
      </c>
      <c r="I125" s="84" t="str">
        <f t="shared" si="5"/>
        <v/>
      </c>
    </row>
    <row r="126" spans="7:9" x14ac:dyDescent="0.35">
      <c r="G126" s="85">
        <v>6</v>
      </c>
      <c r="H126" s="87" t="s">
        <v>429</v>
      </c>
      <c r="I126" s="84" t="str">
        <f t="shared" si="5"/>
        <v/>
      </c>
    </row>
    <row r="127" spans="7:9" x14ac:dyDescent="0.35">
      <c r="G127" s="85">
        <v>6</v>
      </c>
      <c r="H127" s="87" t="s">
        <v>430</v>
      </c>
      <c r="I127" s="84" t="str">
        <f t="shared" si="5"/>
        <v/>
      </c>
    </row>
    <row r="128" spans="7:9" x14ac:dyDescent="0.35">
      <c r="G128" s="85">
        <v>6</v>
      </c>
      <c r="H128" s="87" t="s">
        <v>431</v>
      </c>
      <c r="I128" s="84" t="str">
        <f t="shared" si="5"/>
        <v/>
      </c>
    </row>
    <row r="129" spans="7:9" x14ac:dyDescent="0.35">
      <c r="G129" s="85">
        <v>6</v>
      </c>
      <c r="H129" s="87" t="s">
        <v>432</v>
      </c>
      <c r="I129" s="84" t="str">
        <f t="shared" si="5"/>
        <v/>
      </c>
    </row>
    <row r="130" spans="7:9" x14ac:dyDescent="0.35">
      <c r="G130" s="85">
        <v>6</v>
      </c>
      <c r="H130" s="87" t="s">
        <v>433</v>
      </c>
      <c r="I130" s="84" t="str">
        <f t="shared" si="5"/>
        <v/>
      </c>
    </row>
    <row r="131" spans="7:9" x14ac:dyDescent="0.35">
      <c r="G131" s="85">
        <v>6</v>
      </c>
      <c r="H131" s="87" t="s">
        <v>434</v>
      </c>
      <c r="I131" s="84" t="str">
        <f t="shared" si="5"/>
        <v/>
      </c>
    </row>
    <row r="132" spans="7:9" x14ac:dyDescent="0.35">
      <c r="G132" s="85">
        <v>6</v>
      </c>
      <c r="H132" s="87" t="s">
        <v>435</v>
      </c>
      <c r="I132" s="84" t="str">
        <f t="shared" si="5"/>
        <v/>
      </c>
    </row>
    <row r="133" spans="7:9" x14ac:dyDescent="0.35">
      <c r="G133" s="85">
        <v>6</v>
      </c>
      <c r="H133" s="87" t="s">
        <v>436</v>
      </c>
      <c r="I133" s="84" t="str">
        <f t="shared" si="5"/>
        <v/>
      </c>
    </row>
    <row r="134" spans="7:9" x14ac:dyDescent="0.35">
      <c r="G134" s="85">
        <v>7</v>
      </c>
      <c r="H134" s="87" t="s">
        <v>437</v>
      </c>
      <c r="I134" s="84" t="str">
        <f t="shared" ref="I134:I165" si="6">IF($C$7&gt;=G134,SUBSTITUTE(Header_LB_Unique_ID,":","")&amp;":"&amp;H134,"")</f>
        <v/>
      </c>
    </row>
    <row r="135" spans="7:9" x14ac:dyDescent="0.35">
      <c r="G135" s="85">
        <v>7</v>
      </c>
      <c r="H135" s="87" t="s">
        <v>438</v>
      </c>
      <c r="I135" s="84" t="str">
        <f t="shared" si="6"/>
        <v/>
      </c>
    </row>
    <row r="136" spans="7:9" x14ac:dyDescent="0.35">
      <c r="G136" s="85">
        <v>7</v>
      </c>
      <c r="H136" s="87" t="s">
        <v>439</v>
      </c>
      <c r="I136" s="84" t="str">
        <f t="shared" si="6"/>
        <v/>
      </c>
    </row>
    <row r="137" spans="7:9" x14ac:dyDescent="0.35">
      <c r="G137" s="85">
        <v>7</v>
      </c>
      <c r="H137" s="87" t="s">
        <v>440</v>
      </c>
      <c r="I137" s="84" t="str">
        <f t="shared" si="6"/>
        <v/>
      </c>
    </row>
    <row r="138" spans="7:9" x14ac:dyDescent="0.35">
      <c r="G138" s="85">
        <v>7</v>
      </c>
      <c r="H138" s="87" t="s">
        <v>441</v>
      </c>
      <c r="I138" s="84" t="str">
        <f t="shared" si="6"/>
        <v/>
      </c>
    </row>
    <row r="139" spans="7:9" x14ac:dyDescent="0.35">
      <c r="G139" s="85">
        <v>7</v>
      </c>
      <c r="H139" s="87" t="s">
        <v>442</v>
      </c>
      <c r="I139" s="84" t="str">
        <f t="shared" si="6"/>
        <v/>
      </c>
    </row>
    <row r="140" spans="7:9" x14ac:dyDescent="0.35">
      <c r="G140" s="85">
        <v>7</v>
      </c>
      <c r="H140" s="87" t="s">
        <v>443</v>
      </c>
      <c r="I140" s="84" t="str">
        <f t="shared" si="6"/>
        <v/>
      </c>
    </row>
    <row r="141" spans="7:9" x14ac:dyDescent="0.35">
      <c r="G141" s="85">
        <v>7</v>
      </c>
      <c r="H141" s="87" t="s">
        <v>444</v>
      </c>
      <c r="I141" s="84" t="str">
        <f t="shared" si="6"/>
        <v/>
      </c>
    </row>
    <row r="142" spans="7:9" x14ac:dyDescent="0.35">
      <c r="G142" s="85">
        <v>7</v>
      </c>
      <c r="H142" s="87" t="s">
        <v>445</v>
      </c>
      <c r="I142" s="84" t="str">
        <f t="shared" si="6"/>
        <v/>
      </c>
    </row>
    <row r="143" spans="7:9" x14ac:dyDescent="0.35">
      <c r="G143" s="85">
        <v>7</v>
      </c>
      <c r="H143" s="87" t="s">
        <v>446</v>
      </c>
      <c r="I143" s="84" t="str">
        <f t="shared" si="6"/>
        <v/>
      </c>
    </row>
    <row r="144" spans="7:9" x14ac:dyDescent="0.35">
      <c r="G144" s="85">
        <v>7</v>
      </c>
      <c r="H144" s="87" t="s">
        <v>447</v>
      </c>
      <c r="I144" s="84" t="str">
        <f t="shared" si="6"/>
        <v/>
      </c>
    </row>
    <row r="145" spans="7:9" x14ac:dyDescent="0.35">
      <c r="G145" s="85">
        <v>7</v>
      </c>
      <c r="H145" s="87" t="s">
        <v>448</v>
      </c>
      <c r="I145" s="84" t="str">
        <f t="shared" si="6"/>
        <v/>
      </c>
    </row>
    <row r="146" spans="7:9" x14ac:dyDescent="0.35">
      <c r="G146" s="85">
        <v>7</v>
      </c>
      <c r="H146" s="87" t="s">
        <v>449</v>
      </c>
      <c r="I146" s="84" t="str">
        <f t="shared" si="6"/>
        <v/>
      </c>
    </row>
    <row r="147" spans="7:9" x14ac:dyDescent="0.35">
      <c r="G147" s="85">
        <v>7</v>
      </c>
      <c r="H147" s="87" t="s">
        <v>450</v>
      </c>
      <c r="I147" s="84" t="str">
        <f t="shared" si="6"/>
        <v/>
      </c>
    </row>
    <row r="148" spans="7:9" x14ac:dyDescent="0.35">
      <c r="G148" s="85">
        <v>7</v>
      </c>
      <c r="H148" s="87" t="s">
        <v>451</v>
      </c>
      <c r="I148" s="84" t="str">
        <f t="shared" si="6"/>
        <v/>
      </c>
    </row>
    <row r="149" spans="7:9" x14ac:dyDescent="0.35">
      <c r="G149" s="85">
        <v>7</v>
      </c>
      <c r="H149" s="87" t="s">
        <v>452</v>
      </c>
      <c r="I149" s="84" t="str">
        <f t="shared" si="6"/>
        <v/>
      </c>
    </row>
    <row r="150" spans="7:9" x14ac:dyDescent="0.35">
      <c r="G150" s="85">
        <v>8</v>
      </c>
      <c r="H150" s="87" t="s">
        <v>453</v>
      </c>
      <c r="I150" s="84" t="str">
        <f t="shared" si="6"/>
        <v/>
      </c>
    </row>
    <row r="151" spans="7:9" x14ac:dyDescent="0.35">
      <c r="G151" s="85">
        <v>8</v>
      </c>
      <c r="H151" s="87" t="s">
        <v>454</v>
      </c>
      <c r="I151" s="84" t="str">
        <f t="shared" si="6"/>
        <v/>
      </c>
    </row>
    <row r="152" spans="7:9" x14ac:dyDescent="0.35">
      <c r="G152" s="85">
        <v>8</v>
      </c>
      <c r="H152" s="87" t="s">
        <v>455</v>
      </c>
      <c r="I152" s="84" t="str">
        <f t="shared" si="6"/>
        <v/>
      </c>
    </row>
    <row r="153" spans="7:9" x14ac:dyDescent="0.35">
      <c r="G153" s="85">
        <v>8</v>
      </c>
      <c r="H153" s="87" t="s">
        <v>456</v>
      </c>
      <c r="I153" s="84" t="str">
        <f t="shared" si="6"/>
        <v/>
      </c>
    </row>
    <row r="154" spans="7:9" x14ac:dyDescent="0.35">
      <c r="G154" s="85">
        <v>8</v>
      </c>
      <c r="H154" s="87" t="s">
        <v>457</v>
      </c>
      <c r="I154" s="84" t="str">
        <f t="shared" si="6"/>
        <v/>
      </c>
    </row>
    <row r="155" spans="7:9" x14ac:dyDescent="0.35">
      <c r="G155" s="85">
        <v>8</v>
      </c>
      <c r="H155" s="87" t="s">
        <v>458</v>
      </c>
      <c r="I155" s="84" t="str">
        <f t="shared" si="6"/>
        <v/>
      </c>
    </row>
    <row r="156" spans="7:9" x14ac:dyDescent="0.35">
      <c r="G156" s="85">
        <v>8</v>
      </c>
      <c r="H156" s="87" t="s">
        <v>459</v>
      </c>
      <c r="I156" s="84" t="str">
        <f t="shared" si="6"/>
        <v/>
      </c>
    </row>
    <row r="157" spans="7:9" x14ac:dyDescent="0.35">
      <c r="G157" s="85">
        <v>8</v>
      </c>
      <c r="H157" s="87" t="s">
        <v>460</v>
      </c>
      <c r="I157" s="84" t="str">
        <f t="shared" si="6"/>
        <v/>
      </c>
    </row>
    <row r="158" spans="7:9" x14ac:dyDescent="0.35">
      <c r="G158" s="85">
        <v>8</v>
      </c>
      <c r="H158" s="87" t="s">
        <v>461</v>
      </c>
      <c r="I158" s="84" t="str">
        <f t="shared" si="6"/>
        <v/>
      </c>
    </row>
    <row r="159" spans="7:9" x14ac:dyDescent="0.35">
      <c r="G159" s="85">
        <v>8</v>
      </c>
      <c r="H159" s="87" t="s">
        <v>462</v>
      </c>
      <c r="I159" s="84" t="str">
        <f t="shared" si="6"/>
        <v/>
      </c>
    </row>
    <row r="160" spans="7:9" x14ac:dyDescent="0.35">
      <c r="G160" s="85">
        <v>8</v>
      </c>
      <c r="H160" s="87" t="s">
        <v>463</v>
      </c>
      <c r="I160" s="84" t="str">
        <f t="shared" si="6"/>
        <v/>
      </c>
    </row>
    <row r="161" spans="7:9" x14ac:dyDescent="0.35">
      <c r="G161" s="85">
        <v>8</v>
      </c>
      <c r="H161" s="87" t="s">
        <v>464</v>
      </c>
      <c r="I161" s="84" t="str">
        <f t="shared" si="6"/>
        <v/>
      </c>
    </row>
    <row r="162" spans="7:9" x14ac:dyDescent="0.35">
      <c r="G162" s="85">
        <v>8</v>
      </c>
      <c r="H162" s="87" t="s">
        <v>465</v>
      </c>
      <c r="I162" s="84" t="str">
        <f t="shared" si="6"/>
        <v/>
      </c>
    </row>
    <row r="163" spans="7:9" x14ac:dyDescent="0.35">
      <c r="G163" s="85">
        <v>8</v>
      </c>
      <c r="H163" s="87" t="s">
        <v>466</v>
      </c>
      <c r="I163" s="84" t="str">
        <f t="shared" si="6"/>
        <v/>
      </c>
    </row>
    <row r="164" spans="7:9" x14ac:dyDescent="0.35">
      <c r="G164" s="85">
        <v>8</v>
      </c>
      <c r="H164" s="87" t="s">
        <v>467</v>
      </c>
      <c r="I164" s="84" t="str">
        <f t="shared" si="6"/>
        <v/>
      </c>
    </row>
    <row r="165" spans="7:9" x14ac:dyDescent="0.35">
      <c r="G165" s="85">
        <v>8</v>
      </c>
      <c r="H165" s="87" t="s">
        <v>468</v>
      </c>
      <c r="I165" s="84" t="str">
        <f t="shared" si="6"/>
        <v/>
      </c>
    </row>
    <row r="166" spans="7:9" x14ac:dyDescent="0.35">
      <c r="G166" s="85">
        <v>9</v>
      </c>
      <c r="H166" s="87" t="s">
        <v>469</v>
      </c>
      <c r="I166" s="84" t="str">
        <f t="shared" ref="I166:I181" si="7">IF($C$7&gt;=G166,SUBSTITUTE(Header_LB_Unique_ID,":","")&amp;":"&amp;H166,"")</f>
        <v/>
      </c>
    </row>
    <row r="167" spans="7:9" x14ac:dyDescent="0.35">
      <c r="G167" s="85">
        <v>9</v>
      </c>
      <c r="H167" s="87" t="s">
        <v>470</v>
      </c>
      <c r="I167" s="84" t="str">
        <f t="shared" si="7"/>
        <v/>
      </c>
    </row>
    <row r="168" spans="7:9" x14ac:dyDescent="0.35">
      <c r="G168" s="85">
        <v>9</v>
      </c>
      <c r="H168" s="87" t="s">
        <v>471</v>
      </c>
      <c r="I168" s="84" t="str">
        <f t="shared" si="7"/>
        <v/>
      </c>
    </row>
    <row r="169" spans="7:9" x14ac:dyDescent="0.35">
      <c r="G169" s="85">
        <v>9</v>
      </c>
      <c r="H169" s="87" t="s">
        <v>472</v>
      </c>
      <c r="I169" s="84" t="str">
        <f t="shared" si="7"/>
        <v/>
      </c>
    </row>
    <row r="170" spans="7:9" x14ac:dyDescent="0.35">
      <c r="G170" s="85">
        <v>9</v>
      </c>
      <c r="H170" s="87" t="s">
        <v>473</v>
      </c>
      <c r="I170" s="84" t="str">
        <f t="shared" si="7"/>
        <v/>
      </c>
    </row>
    <row r="171" spans="7:9" x14ac:dyDescent="0.35">
      <c r="G171" s="85">
        <v>9</v>
      </c>
      <c r="H171" s="87" t="s">
        <v>474</v>
      </c>
      <c r="I171" s="84" t="str">
        <f t="shared" si="7"/>
        <v/>
      </c>
    </row>
    <row r="172" spans="7:9" x14ac:dyDescent="0.35">
      <c r="G172" s="85">
        <v>9</v>
      </c>
      <c r="H172" s="87" t="s">
        <v>475</v>
      </c>
      <c r="I172" s="84" t="str">
        <f t="shared" si="7"/>
        <v/>
      </c>
    </row>
    <row r="173" spans="7:9" x14ac:dyDescent="0.35">
      <c r="G173" s="85">
        <v>9</v>
      </c>
      <c r="H173" s="87" t="s">
        <v>476</v>
      </c>
      <c r="I173" s="84" t="str">
        <f t="shared" si="7"/>
        <v/>
      </c>
    </row>
    <row r="174" spans="7:9" x14ac:dyDescent="0.35">
      <c r="G174" s="85">
        <v>9</v>
      </c>
      <c r="H174" s="87" t="s">
        <v>477</v>
      </c>
      <c r="I174" s="84" t="str">
        <f t="shared" si="7"/>
        <v/>
      </c>
    </row>
    <row r="175" spans="7:9" x14ac:dyDescent="0.35">
      <c r="G175" s="85">
        <v>9</v>
      </c>
      <c r="H175" s="87" t="s">
        <v>478</v>
      </c>
      <c r="I175" s="84" t="str">
        <f t="shared" si="7"/>
        <v/>
      </c>
    </row>
    <row r="176" spans="7:9" x14ac:dyDescent="0.35">
      <c r="G176" s="85">
        <v>9</v>
      </c>
      <c r="H176" s="87" t="s">
        <v>479</v>
      </c>
      <c r="I176" s="84" t="str">
        <f t="shared" si="7"/>
        <v/>
      </c>
    </row>
    <row r="177" spans="7:9" x14ac:dyDescent="0.35">
      <c r="G177" s="85">
        <v>9</v>
      </c>
      <c r="H177" s="87" t="s">
        <v>480</v>
      </c>
      <c r="I177" s="84" t="str">
        <f t="shared" si="7"/>
        <v/>
      </c>
    </row>
    <row r="178" spans="7:9" x14ac:dyDescent="0.35">
      <c r="G178" s="85">
        <v>9</v>
      </c>
      <c r="H178" s="87" t="s">
        <v>481</v>
      </c>
      <c r="I178" s="84" t="str">
        <f t="shared" si="7"/>
        <v/>
      </c>
    </row>
    <row r="179" spans="7:9" x14ac:dyDescent="0.35">
      <c r="G179" s="85">
        <v>9</v>
      </c>
      <c r="H179" s="87" t="s">
        <v>482</v>
      </c>
      <c r="I179" s="84" t="str">
        <f t="shared" si="7"/>
        <v/>
      </c>
    </row>
    <row r="180" spans="7:9" x14ac:dyDescent="0.35">
      <c r="G180" s="85">
        <v>9</v>
      </c>
      <c r="H180" s="87" t="s">
        <v>483</v>
      </c>
      <c r="I180" s="84" t="str">
        <f t="shared" si="7"/>
        <v/>
      </c>
    </row>
    <row r="181" spans="7:9" x14ac:dyDescent="0.35">
      <c r="G181" s="85">
        <v>9</v>
      </c>
      <c r="H181" s="87" t="s">
        <v>484</v>
      </c>
      <c r="I181" s="84" t="str">
        <f t="shared" si="7"/>
        <v/>
      </c>
    </row>
  </sheetData>
  <phoneticPr fontId="7"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30"/>
  <sheetViews>
    <sheetView zoomScale="85" zoomScaleNormal="85" workbookViewId="0"/>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6" width="41.54296875" bestFit="1" customWidth="1" outlineLevel="1"/>
    <col min="57"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93.81640625" bestFit="1"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87</v>
      </c>
    </row>
    <row r="3" spans="2:96" x14ac:dyDescent="0.35">
      <c r="CO3" t="s">
        <v>91</v>
      </c>
    </row>
    <row r="4" spans="2:96" x14ac:dyDescent="0.35">
      <c r="B4" t="s">
        <v>175</v>
      </c>
      <c r="D4" t="s">
        <v>187</v>
      </c>
      <c r="E4" t="s">
        <v>178</v>
      </c>
      <c r="CO4" s="39" t="s">
        <v>90</v>
      </c>
    </row>
    <row r="5" spans="2:96" x14ac:dyDescent="0.35">
      <c r="B5" t="s">
        <v>170</v>
      </c>
      <c r="D5" t="s">
        <v>173</v>
      </c>
      <c r="E5" t="s">
        <v>172</v>
      </c>
      <c r="CO5" s="39" t="s">
        <v>89</v>
      </c>
    </row>
    <row r="6" spans="2:96" x14ac:dyDescent="0.35">
      <c r="B6" t="s">
        <v>167</v>
      </c>
      <c r="D6" t="s">
        <v>169</v>
      </c>
      <c r="E6" t="s">
        <v>171</v>
      </c>
      <c r="CO6" t="s">
        <v>88</v>
      </c>
    </row>
    <row r="7" spans="2:96" x14ac:dyDescent="0.35">
      <c r="B7" t="s">
        <v>168</v>
      </c>
      <c r="D7" t="s">
        <v>174</v>
      </c>
      <c r="E7" t="s">
        <v>179</v>
      </c>
    </row>
    <row r="8" spans="2:96" x14ac:dyDescent="0.35">
      <c r="B8" t="s">
        <v>220</v>
      </c>
      <c r="D8" t="s">
        <v>176</v>
      </c>
      <c r="E8" t="s">
        <v>177</v>
      </c>
      <c r="CB8" s="9" t="s">
        <v>92</v>
      </c>
      <c r="CO8" s="9" t="s">
        <v>92</v>
      </c>
    </row>
    <row r="9" spans="2:96" x14ac:dyDescent="0.35">
      <c r="B9" t="s">
        <v>221</v>
      </c>
      <c r="D9" t="s">
        <v>222</v>
      </c>
      <c r="E9" t="s">
        <v>223</v>
      </c>
      <c r="BS9" t="str">
        <f>"TOOLING:"&amp;Prep!$B$5&amp;"\CYLINDERS\"&amp;Prep!$C$5&amp;"|TEST_NOPLC:SAFETY=1|TOOLING_NOPLC:"&amp;Prep!$B$5&amp;"\CYLINDERS\"&amp;Prep!$C$5&amp;"=1"</f>
        <v>TOOLING:SxxFyy\CYLINDERS\VMz|TEST_NOPLC:SAFETY=1|TOOLING_NOPLC:SxxFyy\CYLINDERS\VMz=1</v>
      </c>
    </row>
    <row r="10" spans="2:96" x14ac:dyDescent="0.35">
      <c r="CB10" t="s">
        <v>106</v>
      </c>
      <c r="CO10" t="s">
        <v>79</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107</v>
      </c>
      <c r="CE11" t="s">
        <v>85</v>
      </c>
      <c r="CO11" t="s">
        <v>80</v>
      </c>
      <c r="CR11" t="s">
        <v>85</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83</v>
      </c>
      <c r="AY12">
        <f>COLUMN()</f>
        <v>51</v>
      </c>
      <c r="BB12" s="47" t="s">
        <v>86</v>
      </c>
      <c r="BY12" s="47" t="s">
        <v>81</v>
      </c>
      <c r="CB12" t="s">
        <v>73</v>
      </c>
      <c r="CE12" t="s">
        <v>68</v>
      </c>
      <c r="CH12" s="47" t="s">
        <v>82</v>
      </c>
      <c r="CO12" t="s">
        <v>73</v>
      </c>
      <c r="CR12" t="s">
        <v>68</v>
      </c>
    </row>
    <row r="13" spans="2:96" ht="101.5" x14ac:dyDescent="0.35">
      <c r="B13" s="61" t="s">
        <v>0</v>
      </c>
      <c r="C13" s="61" t="s">
        <v>1</v>
      </c>
      <c r="D13" s="61" t="s">
        <v>2</v>
      </c>
      <c r="E13" s="61" t="s">
        <v>3</v>
      </c>
      <c r="F13" s="61" t="s">
        <v>4</v>
      </c>
      <c r="G13" s="61" t="s">
        <v>5</v>
      </c>
      <c r="H13" s="61" t="s">
        <v>6</v>
      </c>
      <c r="I13" s="61" t="s">
        <v>7</v>
      </c>
      <c r="J13" s="61" t="s">
        <v>8</v>
      </c>
      <c r="K13" s="57" t="s">
        <v>135</v>
      </c>
      <c r="L13" s="57" t="s">
        <v>209</v>
      </c>
      <c r="M13" s="57" t="s">
        <v>208</v>
      </c>
      <c r="N13" s="57" t="s">
        <v>152</v>
      </c>
      <c r="O13" s="57" t="s">
        <v>211</v>
      </c>
      <c r="P13" s="57" t="s">
        <v>153</v>
      </c>
      <c r="Q13" s="57" t="s">
        <v>234</v>
      </c>
      <c r="R13" s="57" t="s">
        <v>235</v>
      </c>
      <c r="S13" s="57" t="s">
        <v>237</v>
      </c>
      <c r="T13" s="57" t="s">
        <v>239</v>
      </c>
      <c r="U13" s="57" t="s">
        <v>229</v>
      </c>
      <c r="V13" s="57" t="s">
        <v>230</v>
      </c>
      <c r="W13" s="57" t="s">
        <v>134</v>
      </c>
      <c r="X13" s="57" t="s">
        <v>134</v>
      </c>
      <c r="Y13" s="57" t="s">
        <v>134</v>
      </c>
      <c r="Z13" s="57" t="s">
        <v>227</v>
      </c>
      <c r="AA13" s="57" t="s">
        <v>219</v>
      </c>
      <c r="AB13" s="57" t="s">
        <v>182</v>
      </c>
      <c r="AC13" s="57" t="s">
        <v>166</v>
      </c>
      <c r="AD13" s="57" t="s">
        <v>163</v>
      </c>
      <c r="AE13" s="57" t="s">
        <v>199</v>
      </c>
      <c r="AF13" s="57" t="s">
        <v>190</v>
      </c>
      <c r="AG13" s="57" t="s">
        <v>200</v>
      </c>
      <c r="AH13" s="57" t="s">
        <v>201</v>
      </c>
      <c r="AI13" s="57" t="s">
        <v>202</v>
      </c>
      <c r="AJ13" s="57" t="s">
        <v>203</v>
      </c>
      <c r="AK13" s="57" t="s">
        <v>204</v>
      </c>
      <c r="AL13" s="57" t="s">
        <v>205</v>
      </c>
      <c r="AM13" s="57" t="s">
        <v>206</v>
      </c>
      <c r="AN13" s="57" t="s">
        <v>154</v>
      </c>
      <c r="AO13" s="57" t="s">
        <v>155</v>
      </c>
      <c r="AP13" s="57" t="s">
        <v>14</v>
      </c>
      <c r="AQ13" s="57" t="s">
        <v>156</v>
      </c>
      <c r="AR13" s="45" t="s">
        <v>20</v>
      </c>
      <c r="AT13" s="33" t="s">
        <v>65</v>
      </c>
      <c r="AU13" s="34" t="s">
        <v>69</v>
      </c>
      <c r="AV13" s="34" t="s">
        <v>84</v>
      </c>
      <c r="AW13" s="34" t="s">
        <v>72</v>
      </c>
      <c r="AX13" s="34" t="s">
        <v>70</v>
      </c>
      <c r="AY13" s="35" t="s">
        <v>71</v>
      </c>
      <c r="AZ13" s="62" t="s">
        <v>140</v>
      </c>
      <c r="BA13" s="62" t="s">
        <v>140</v>
      </c>
      <c r="BB13" s="25" t="s">
        <v>15</v>
      </c>
      <c r="BC13" s="26" t="s">
        <v>14</v>
      </c>
      <c r="BD13" s="27" t="s">
        <v>224</v>
      </c>
      <c r="BE13" s="27" t="s">
        <v>133</v>
      </c>
      <c r="BF13" s="27" t="s">
        <v>225</v>
      </c>
      <c r="BG13" s="27" t="s">
        <v>236</v>
      </c>
      <c r="BH13" s="27" t="s">
        <v>233</v>
      </c>
      <c r="BI13" s="27" t="s">
        <v>238</v>
      </c>
      <c r="BJ13" s="27" t="s">
        <v>228</v>
      </c>
      <c r="BK13" s="27" t="s">
        <v>232</v>
      </c>
      <c r="BL13" s="27" t="s">
        <v>231</v>
      </c>
      <c r="BM13" s="27" t="s">
        <v>134</v>
      </c>
      <c r="BN13" s="27" t="s">
        <v>134</v>
      </c>
      <c r="BO13" s="27" t="s">
        <v>134</v>
      </c>
      <c r="BP13" s="27" t="s">
        <v>226</v>
      </c>
      <c r="BQ13" s="27" t="s">
        <v>218</v>
      </c>
      <c r="BR13" s="27" t="s">
        <v>149</v>
      </c>
      <c r="BS13" s="27" t="s">
        <v>148</v>
      </c>
      <c r="BT13" s="27" t="s">
        <v>138</v>
      </c>
      <c r="BU13" s="27" t="s">
        <v>216</v>
      </c>
      <c r="BV13" s="46" t="s">
        <v>130</v>
      </c>
      <c r="BW13" s="62" t="s">
        <v>140</v>
      </c>
      <c r="BX13" s="62" t="s">
        <v>140</v>
      </c>
      <c r="BY13" s="43" t="s">
        <v>95</v>
      </c>
      <c r="BZ13" s="28" t="s">
        <v>96</v>
      </c>
      <c r="CA13" s="28" t="s">
        <v>97</v>
      </c>
      <c r="CB13" s="43" t="s">
        <v>104</v>
      </c>
      <c r="CC13" s="28" t="s">
        <v>105</v>
      </c>
      <c r="CD13" s="28" t="s">
        <v>10</v>
      </c>
      <c r="CE13" s="31" t="s">
        <v>11</v>
      </c>
      <c r="CF13" s="62" t="s">
        <v>140</v>
      </c>
      <c r="CG13" s="62" t="s">
        <v>140</v>
      </c>
      <c r="CH13" s="41" t="s">
        <v>93</v>
      </c>
      <c r="CI13" s="29" t="s">
        <v>94</v>
      </c>
      <c r="CJ13" s="29" t="s">
        <v>75</v>
      </c>
      <c r="CK13" s="29" t="s">
        <v>76</v>
      </c>
      <c r="CL13" s="29" t="s">
        <v>125</v>
      </c>
      <c r="CM13" s="29" t="s">
        <v>77</v>
      </c>
      <c r="CN13" s="32" t="s">
        <v>78</v>
      </c>
      <c r="CO13" s="37" t="s">
        <v>9</v>
      </c>
      <c r="CP13" s="37" t="s">
        <v>10</v>
      </c>
      <c r="CQ13" s="37"/>
      <c r="CR13" s="38" t="s">
        <v>11</v>
      </c>
    </row>
    <row r="14" spans="2:96" x14ac:dyDescent="0.35">
      <c r="B14" s="4" t="str">
        <f t="shared" ref="B14" si="0">IF(LEN(BT14)=0,Header_LB_Name,"&lt;BLANK&gt;")</f>
        <v>VALVE_MANIFOLD_SxxFyyVMz</v>
      </c>
      <c r="C14" s="4"/>
      <c r="D14" s="4" t="str">
        <f>IF(BC14="CUSTOM",BV14,IF(BB14="ENTRY","From_",IF(BB14="EXIT","To_","&lt;invalid&gt;"))&amp;IF(OR(BC14="RBT",BC14="KEY",BC14="SNS"),IF(BE14="",BC14,BC14&amp;"_"&amp;BE14),IF(BC14="OPR",IF(BE14="",BC14&amp;"_"&amp;BD14,BC14&amp;"_"&amp;BE14),IF(BC14="LBS",IF(BE14="",BD14,BE14),BC14)))&amp;"_"&amp;IF(BC14="OPR",IF(BB14="ENTRY","end",IF(BB14="EXIT","start","&lt;invalid&gt;")),BV14))</f>
        <v>From_KEY_UnplugPower</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KEY_VALVE_MANIFOLD_SxxFyyVMz_UnplugPower</v>
      </c>
      <c r="F14" s="4" t="str">
        <f>IF(BC14="CUSTOM",BE14,IF(OR(AND(BB14="ENTRY",OR(BC14="PLC",BC14="PSF")),AND(BB14="EXIT",OR(BC14="RBT",BC14="OPR"))),"Q","I"))</f>
        <v>I</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
      </c>
      <c r="I14" s="4" t="str">
        <f>IF(OR(BC14="PLC",BC14="PSF"),BD14,IF(AND(BC14="CUSTOM",BF14&lt;&gt;""),BF14,""))</f>
        <v/>
      </c>
      <c r="J14" s="4"/>
      <c r="K14" s="56" t="str">
        <f>AT14</f>
        <v>BOOL</v>
      </c>
      <c r="L14" s="56" t="str">
        <f t="shared" ref="L14:L23" si="4">Header_Resource_Compound</f>
        <v>TOOLING\SxxFyy</v>
      </c>
      <c r="M14" s="56" t="str">
        <f t="shared" ref="M14:M23" si="5">Header_Sysroot_Folder</f>
        <v>STELLANTIS\Common\ToolPrototype\Devices</v>
      </c>
      <c r="N14" s="56" t="str">
        <f t="shared" ref="N14:N23" si="6">Header_COJT_Full_Name</f>
        <v>STELLANTIS_EIP_VALVE_MANIFOLD_ENET_SxxFyyVMz.v00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23" si="9">IF(Header_COJT_Type_Definition="","ToolPrototype",Header_COJT_Type_Definition)</f>
        <v>ToolPrototype</v>
      </c>
      <c r="AC14" s="56" t="str">
        <f>IF(ISBLANK(BT14),"","Optional")</f>
        <v/>
      </c>
      <c r="AD14" s="56" t="str">
        <f t="shared" ref="AD14:AD23" si="10">IF(Export_VC_Forms="","",Export_VC_Forms)</f>
        <v/>
      </c>
      <c r="AE14" s="56" t="str">
        <f t="shared" ref="AE14:AE23" si="11">IF(Export_Setup_Tracker="","",Export_Setup_Tracker)</f>
        <v/>
      </c>
      <c r="AF14" s="56" t="str">
        <f t="shared" ref="AF14:AF23" si="12">IF(Export_Validation_Tracker="","",Export_Validation_Tracker)</f>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14" s="56" t="str">
        <f t="shared" ref="AG14:AG23" si="13">IF(Export_Spare_04="","",Export_Spare_04)</f>
        <v/>
      </c>
      <c r="AH14" s="56" t="str">
        <f t="shared" ref="AH14:AH23" si="14">IF(Export_Spare_05="","",Export_Spare_05)</f>
        <v/>
      </c>
      <c r="AI14" s="56" t="str">
        <f t="shared" ref="AI14:AI23" si="15">IF(Export_Spare_06="","",Export_Spare_06)</f>
        <v/>
      </c>
      <c r="AJ14" s="56" t="str">
        <f t="shared" ref="AJ14:AJ23" si="16">IF(Export_Spare_07="","",Export_Spare_07)</f>
        <v/>
      </c>
      <c r="AK14" s="56" t="str">
        <f t="shared" ref="AK14:AK23" si="17">IF(Export_Spare_08="","",Export_Spare_08)</f>
        <v/>
      </c>
      <c r="AL14" s="56" t="str">
        <f t="shared" ref="AL14:AL23" si="18">IF(Export_Spare_09="","",Export_Spare_09)</f>
        <v/>
      </c>
      <c r="AM14" s="56" t="str">
        <f t="shared" ref="AM14:AM23" si="19">IF(Export_Spare_10="","",Export_Spare_10)</f>
        <v/>
      </c>
      <c r="AN14" s="56" t="str">
        <f>IF(BR14&lt;&gt;"",BR14,"")</f>
        <v/>
      </c>
      <c r="AO14" s="56" t="str">
        <f>IF(BS14&lt;&gt;"",BS14,"")</f>
        <v>KEYS_LIGHTS_HORNS:DEVICES\VALVE_MANIFOLD\SxxFyyVMz</v>
      </c>
      <c r="AP14" s="56" t="str">
        <f>IF(BC14&lt;&gt;"CUSTOM",BC14,BU14)</f>
        <v>KEY</v>
      </c>
      <c r="AQ14" s="56" t="str">
        <f>BB14</f>
        <v>ENTRY</v>
      </c>
      <c r="AR14" s="39" t="s">
        <v>129</v>
      </c>
      <c r="AT14" s="44" t="str">
        <f t="shared" ref="AT14" si="20">IF(Header_PLC_Type="CLX",IF(CP14&lt;&gt;"",CP14,"&lt;noType&gt;"),IF(LEFT(Header_PLC_Type,2)="S7",IF(CD14&lt;&gt;"",CD14,"&lt;noType&gt;"),"&lt;noPLC&gt;"))</f>
        <v>BOOL</v>
      </c>
      <c r="AU14" s="23" t="str">
        <f t="shared" ref="AU14" si="21">IF(OR(BC14="PLC",BC14="PSF"),CA14,"")</f>
        <v/>
      </c>
      <c r="AV14" s="23" t="str">
        <f t="shared" ref="AV14" si="22">IF(OR(BC14="PLC",BC14="PSF"),IF(AT14="BOOL",F14,IF(AT14="BYTE",F14&amp;"B",IF(OR(AT14="WORD",AT14="INT"),F14&amp;"W",IF(OR(AT14="DWORD",AT14="DINT",AT14="REAL"),F14&amp;"D","&lt;invalid&gt;")))),"")</f>
        <v/>
      </c>
      <c r="AW14" s="23" t="str">
        <f t="shared" ref="AW14" si="23">IF(OR(BC14="PLC",BC14="PSF"),""&amp;AV14&amp;IF(AT14="BOOL",BY14&amp;"."&amp;BZ14,BY14)&amp; IF(CA14&lt;&gt;"",": &lt;"&amp;CA14&amp;"&gt; - ",": "),"")</f>
        <v/>
      </c>
      <c r="AX14" s="23" t="str">
        <f t="shared" ref="AX14" si="24">IF(OR(BC14="PLC",BC14="PSF"),IF(AND(BB14="EXIT",BC14="PSF"),CH14&amp;SUBSTITUTE(CJ14,":","_")&amp;CK14,CJ14&amp;CK14),"")</f>
        <v/>
      </c>
      <c r="AY14" s="36" t="str">
        <f t="shared" ref="AY14" si="25">IF(OR(BC14="PLC",BC14="PSF"),IF(CM14&lt;&gt;"",CM14 &amp; ": &lt;" &amp; CN14&amp;CO14 &amp; "&gt; - ","Controller: &lt;"&amp;CJ14&amp;CK14&amp;"&gt; - "),"")</f>
        <v/>
      </c>
      <c r="BB14" s="42" t="s">
        <v>16</v>
      </c>
      <c r="BC14" t="s">
        <v>99</v>
      </c>
      <c r="BD14" t="str">
        <f>Header_LB_Name</f>
        <v>VALVE_MANIFOLD_SxxFyyVMz</v>
      </c>
      <c r="BS14" t="str">
        <f>"KEYS_LIGHTS_HORNS:DEVICES\"&amp;Header_LB_Type&amp;"\"&amp;SUBSTITUTE(Header_LB_Unique_ID,":","")</f>
        <v>KEYS_LIGHTS_HORNS:DEVICES\VALVE_MANIFOLD\SxxFyyVMz</v>
      </c>
      <c r="BV14" s="30" t="s">
        <v>253</v>
      </c>
      <c r="BY14" s="42"/>
      <c r="CB14" s="42"/>
      <c r="CE14" s="30"/>
      <c r="CH14" s="42"/>
      <c r="CN14" s="30"/>
      <c r="CP14" t="s">
        <v>12</v>
      </c>
      <c r="CQ14" s="40"/>
      <c r="CR14" s="30"/>
    </row>
    <row r="15" spans="2:96" x14ac:dyDescent="0.35">
      <c r="B15" s="4" t="str">
        <f t="shared" ref="B15:B18" si="26">IF(LEN(BT15)=0,Header_LB_Name,"&lt;BLANK&gt;")</f>
        <v>VALVE_MANIFOLD_SxxFyyVMz</v>
      </c>
      <c r="C15" s="4"/>
      <c r="D15" s="4" t="str">
        <f t="shared" ref="D15:D18" si="27">IF(BC15="CUSTOM",BV15,IF(BB15="ENTRY","From_",IF(BB15="EXIT","To_","&lt;invalid&gt;"))&amp;IF(OR(BC15="RBT",BC15="KEY",BC15="SNS"),IF(BE15="",BC15,BC15&amp;"_"&amp;BE15),IF(BC15="OPR",IF(BE15="",BC15&amp;"_"&amp;BD15,BC15&amp;"_"&amp;BE15),IF(BC15="LBS",IF(BE15="",BD15,BE15),BC15)))&amp;"_"&amp;IF(BC15="OPR",IF(BB15="ENTRY","end",IF(BB15="EXIT","start","&lt;invalid&gt;")),BV15))</f>
        <v>From_KEY_UnplugEnet</v>
      </c>
      <c r="E15" s="4" t="str">
        <f t="shared" ref="E15:E18" si="28">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KEY_VALVE_MANIFOLD_SxxFyyVMz_UnplugEnet</v>
      </c>
      <c r="F15" s="4" t="str">
        <f t="shared" ref="F15:F18" si="29">IF(BC15="CUSTOM",BE15,IF(OR(AND(BB15="ENTRY",OR(BC15="PLC",BC15="PSF")),AND(BB15="EXIT",OR(BC15="RBT",BC15="OPR"))),"Q","I"))</f>
        <v>I</v>
      </c>
      <c r="G15" s="4" t="str">
        <f t="shared" ref="G15:G18" si="30">IF(Header_PLC_Type="S7-ADD",IF(OR(BC15="PSF",BC15="PLC"),IF(BY15&lt;&gt;"",IF(AT15="BOOL",BY15&amp;"."&amp;BZ15,BY15),"&lt;missing&gt;"),""),"")</f>
        <v/>
      </c>
      <c r="H15" s="4" t="str">
        <f t="shared" ref="H15:H18" si="31">IF(OR(BC15="PLC",BC15="PSF"),IF(Header_PLC_Type="CLX",AY15&amp;CR15,IF(LEFT(Header_PLC_Type,2)="S7",AW15&amp;CE15,"&lt;invalid PLC type&gt;")),IF(Header_PLC_Type="CLX",IF(CR15&lt;&gt;"",CR15,""),IF(LEFT(Header_PLC_Type,2)="S7",IF(CE15&lt;&gt;"",CE15,""),"&lt;invalid PLC type&gt;")))</f>
        <v/>
      </c>
      <c r="I15" s="4" t="str">
        <f t="shared" ref="I15:I18" si="32">IF(OR(BC15="PLC",BC15="PSF"),BD15,IF(AND(BC15="CUSTOM",BF15&lt;&gt;""),BF15,""))</f>
        <v/>
      </c>
      <c r="J15" s="4"/>
      <c r="K15" s="56" t="str">
        <f t="shared" ref="K15:K18" si="33">AT15</f>
        <v>BOOL</v>
      </c>
      <c r="L15" s="56" t="str">
        <f t="shared" si="4"/>
        <v>TOOLING\SxxFyy</v>
      </c>
      <c r="M15" s="56" t="str">
        <f t="shared" si="5"/>
        <v>STELLANTIS\Common\ToolPrototype\Devices</v>
      </c>
      <c r="N15" s="56" t="str">
        <f t="shared" si="6"/>
        <v>STELLANTIS_EIP_VALVE_MANIFOLD_ENET_SxxFyyVMz.v00</v>
      </c>
      <c r="O15" s="56" t="str">
        <f t="shared" ref="O15:O18" si="34">IF(AND(OR(BC15="SNS",BC15="OPR",BC15="RBT"),BF15&lt;&gt;""),BF15,IF(OR(BC15="PSF",BC15="PLC"),IF(BB15="ENTRY",IF(OR(ISLOGICAL(BF15),ISNUMBER(BF15)),LOWER(TEXT(BF15,"General")),IF((ISTEXT(BF15)),"CEE_To_VC_"&amp;BE15&amp;"_"&amp;BF15,"")),IF((ISTEXT(BF15)),"CEE_From_VC_"&amp;BE15&amp;"_"&amp;BF15,"")),IF(BC15="CUSTOM",IF(BH15&lt;&gt;"",BH15,""),"")))</f>
        <v/>
      </c>
      <c r="P15" s="56" t="str">
        <f t="shared" ref="P15:P18" si="35">IF(OR(BC15="SNS",BC15="OPR"),IF(BG15&lt;&gt;"",BG15,""),IF(BC15="RBT",BD15,IF(BC15="CUSTOM",IF(BG15&lt;&gt;"",BG15,""),"")))</f>
        <v/>
      </c>
      <c r="Q15" s="56" t="str">
        <f t="shared" ref="Q15:Q18" si="36">IF(BC15="OPR",IF(BV15&lt;&gt;"",BV15,"NONSIM"),IF(BC15="RBT",IF(BH15&lt;&gt;"",BH15,""),IF(BC15="SNS",IF(BH15&lt;&gt;"",BH15,L15),IF(OR(BC15="PLC",BC15="PSF"),IF(BG15&lt;&gt;"",BG15,""),""))))</f>
        <v/>
      </c>
      <c r="R15" s="56" t="str">
        <f t="shared" ref="R15:R18" si="37">IF(OR(BC15="PLC",BC15="PSF",BC15="OPR"),IF(BH15&lt;&gt;"",BH15,""),IF(BC15="RBT",IF(BI15&lt;&gt;"",BI15,""),IF(BC15="SNS",IF(BI15&lt;&gt;"",BI15,"PHOTOELECTRIC"),"")))</f>
        <v/>
      </c>
      <c r="S15" s="56" t="str">
        <f t="shared" ref="S15:S18" si="38">IF(OR(BC15="PLC",BC15="PSF",BC15="OPR",AND(BC15="CUSTOM",OR(BU15="PLC",BU15="PSF"))),IF(BI15&lt;&gt;"",BI15,""),IF(BC15="SNS",IF(BJ15&lt;&gt;"",BJ15,""),""))</f>
        <v/>
      </c>
      <c r="T15" s="56" t="str">
        <f t="shared" ref="T15:T18" si="39">IF(AND(Header_PLC_Type="CLX",BC15="PSF",BB15="EXIT"),CJ15&amp;CK15,IF(BC15="OPR",IF(BJ15&lt;&gt;"",BJ15,""),""))</f>
        <v/>
      </c>
      <c r="U15" s="56" t="str">
        <f t="shared" ref="U15:U18" si="40">IF(OR(BC15="SNS",BC15="OPR"),IF(BK15&lt;&gt;"",BK15,""),"")</f>
        <v/>
      </c>
      <c r="V15" s="56" t="str">
        <f t="shared" ref="V15:V18" si="41">IF(OR(BC15="SNS",BC15="OPR"),IF(BL15&lt;&gt;"",BL15,""),"")</f>
        <v/>
      </c>
      <c r="W15" s="56"/>
      <c r="X15" s="56"/>
      <c r="Y15" s="56"/>
      <c r="Z15" s="56" t="str">
        <f t="shared" ref="Z15:Z18" si="42">IF(BP15="","",BP15)</f>
        <v/>
      </c>
      <c r="AA15" s="56" t="str">
        <f t="shared" ref="AA15:AA20" si="43">IF($BQ15="","",$BQ15)</f>
        <v/>
      </c>
      <c r="AB15" s="56" t="str">
        <f t="shared" si="9"/>
        <v>ToolPrototype</v>
      </c>
      <c r="AC15" s="56" t="str">
        <f t="shared" ref="AC15:AC18" si="44">IF(ISBLANK(BT15),"","Optional")</f>
        <v/>
      </c>
      <c r="AD15" s="56" t="str">
        <f t="shared" si="10"/>
        <v/>
      </c>
      <c r="AE15" s="56" t="str">
        <f t="shared" si="11"/>
        <v/>
      </c>
      <c r="AF15" s="56" t="str">
        <f t="shared" si="12"/>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AN18" si="45">IF(BR15&lt;&gt;"",BR15,"")</f>
        <v/>
      </c>
      <c r="AO15" s="56" t="str">
        <f t="shared" ref="AO15:AO18" si="46">IF(BS15&lt;&gt;"",BS15,"")</f>
        <v>KEYS_LIGHTS_HORNS:DEVICES\VALVE_MANIFOLD\SxxFyyVMz</v>
      </c>
      <c r="AP15" s="56" t="str">
        <f t="shared" ref="AP15:AP18" si="47">IF(BC15&lt;&gt;"CUSTOM",BC15,BU15)</f>
        <v>KEY</v>
      </c>
      <c r="AQ15" s="56" t="str">
        <f t="shared" ref="AQ15:AQ18" si="48">BB15</f>
        <v>ENTRY</v>
      </c>
      <c r="AR15" s="39" t="s">
        <v>129</v>
      </c>
      <c r="AT15" s="44" t="str">
        <f t="shared" ref="AT15:AT18" si="49">IF(Header_PLC_Type="CLX",IF(CP15&lt;&gt;"",CP15,"&lt;noType&gt;"),IF(LEFT(Header_PLC_Type,2)="S7",IF(CD15&lt;&gt;"",CD15,"&lt;noType&gt;"),"&lt;noPLC&gt;"))</f>
        <v>BOOL</v>
      </c>
      <c r="AU15" s="23" t="str">
        <f t="shared" ref="AU15:AU18" si="50">IF(OR(BC15="PLC",BC15="PSF"),CA15,"")</f>
        <v/>
      </c>
      <c r="AV15" s="23" t="str">
        <f t="shared" ref="AV15:AV18" si="51">IF(OR(BC15="PLC",BC15="PSF"),IF(AT15="BOOL",F15,IF(AT15="BYTE",F15&amp;"B",IF(OR(AT15="WORD",AT15="INT"),F15&amp;"W",IF(OR(AT15="DWORD",AT15="DINT",AT15="REAL"),F15&amp;"D","&lt;invalid&gt;")))),"")</f>
        <v/>
      </c>
      <c r="AW15" s="23" t="str">
        <f t="shared" ref="AW15:AW18" si="52">IF(OR(BC15="PLC",BC15="PSF"),""&amp;AV15&amp;IF(AT15="BOOL",BY15&amp;"."&amp;BZ15,BY15)&amp; IF(CA15&lt;&gt;"",": &lt;"&amp;CA15&amp;"&gt; - ",": "),"")</f>
        <v/>
      </c>
      <c r="AX15" s="23" t="str">
        <f t="shared" ref="AX15:AX18" si="53">IF(OR(BC15="PLC",BC15="PSF"),IF(AND(BB15="EXIT",BC15="PSF"),CH15&amp;SUBSTITUTE(CJ15,":","_")&amp;CK15,CJ15&amp;CK15),"")</f>
        <v/>
      </c>
      <c r="AY15" s="36" t="str">
        <f t="shared" ref="AY15:AY18" si="54">IF(OR(BC15="PLC",BC15="PSF"),IF(CM15&lt;&gt;"",CM15 &amp; ": &lt;" &amp; CN15&amp;CO15 &amp; "&gt; - ","Controller: &lt;"&amp;CJ15&amp;CK15&amp;"&gt; - "),"")</f>
        <v/>
      </c>
      <c r="BB15" s="42" t="s">
        <v>16</v>
      </c>
      <c r="BC15" t="s">
        <v>99</v>
      </c>
      <c r="BD15" t="str">
        <f>Header_LB_Name</f>
        <v>VALVE_MANIFOLD_SxxFyyVMz</v>
      </c>
      <c r="BS15" t="str">
        <f>"KEYS_LIGHTS_HORNS:DEVICES\"&amp;Header_LB_Type&amp;"\"&amp;SUBSTITUTE(Header_LB_Unique_ID,":","")</f>
        <v>KEYS_LIGHTS_HORNS:DEVICES\VALVE_MANIFOLD\SxxFyyVMz</v>
      </c>
      <c r="BV15" s="30" t="s">
        <v>264</v>
      </c>
      <c r="BY15" s="42"/>
      <c r="CB15" s="42"/>
      <c r="CE15" s="30"/>
      <c r="CH15" s="42"/>
      <c r="CN15" s="30"/>
      <c r="CP15" t="s">
        <v>12</v>
      </c>
      <c r="CQ15" s="40"/>
      <c r="CR15" s="30"/>
    </row>
    <row r="16" spans="2:96" x14ac:dyDescent="0.35">
      <c r="B16" s="4" t="str">
        <f t="shared" si="26"/>
        <v>VALVE_MANIFOLD_SxxFyyVMz</v>
      </c>
      <c r="C16" s="4"/>
      <c r="D16" s="4" t="str">
        <f t="shared" si="27"/>
        <v>From_SIM_InputPwrOk</v>
      </c>
      <c r="E16" s="4" t="str">
        <f t="shared" si="28"/>
        <v>LBS_Sxx_SyyPSBz_AUX1_NMP</v>
      </c>
      <c r="F16" s="4" t="str">
        <f t="shared" si="29"/>
        <v>I</v>
      </c>
      <c r="G16" s="4" t="str">
        <f t="shared" si="30"/>
        <v/>
      </c>
      <c r="H16" s="4" t="str">
        <f t="shared" si="31"/>
        <v/>
      </c>
      <c r="I16" s="4" t="str">
        <f t="shared" si="32"/>
        <v/>
      </c>
      <c r="J16" s="4"/>
      <c r="K16" s="56" t="str">
        <f t="shared" si="33"/>
        <v>BOOL</v>
      </c>
      <c r="L16" s="56" t="str">
        <f t="shared" si="4"/>
        <v>TOOLING\SxxFyy</v>
      </c>
      <c r="M16" s="56" t="str">
        <f t="shared" si="5"/>
        <v>STELLANTIS\Common\ToolPrototype\Devices</v>
      </c>
      <c r="N16" s="56" t="str">
        <f t="shared" si="6"/>
        <v>STELLANTIS_EIP_VALVE_MANIFOLD_ENET_SxxFyyVMz.v00</v>
      </c>
      <c r="O16" s="56" t="str">
        <f t="shared" si="34"/>
        <v/>
      </c>
      <c r="P16" s="56" t="str">
        <f t="shared" si="35"/>
        <v/>
      </c>
      <c r="Q16" s="56" t="str">
        <f t="shared" si="36"/>
        <v/>
      </c>
      <c r="R16" s="56" t="str">
        <f t="shared" si="37"/>
        <v/>
      </c>
      <c r="S16" s="56" t="str">
        <f t="shared" si="38"/>
        <v/>
      </c>
      <c r="T16" s="56" t="str">
        <f t="shared" si="39"/>
        <v/>
      </c>
      <c r="U16" s="56" t="str">
        <f t="shared" si="40"/>
        <v/>
      </c>
      <c r="V16" s="56" t="str">
        <f t="shared" si="41"/>
        <v/>
      </c>
      <c r="W16" s="56"/>
      <c r="X16" s="56"/>
      <c r="Y16" s="56"/>
      <c r="Z16" s="56" t="str">
        <f t="shared" si="42"/>
        <v/>
      </c>
      <c r="AA16" s="56" t="str">
        <f t="shared" si="43"/>
        <v/>
      </c>
      <c r="AB16" s="56" t="str">
        <f t="shared" si="9"/>
        <v>ToolPrototype</v>
      </c>
      <c r="AC16" s="56" t="str">
        <f t="shared" si="44"/>
        <v/>
      </c>
      <c r="AD16" s="56" t="str">
        <f t="shared" si="10"/>
        <v/>
      </c>
      <c r="AE16" s="56" t="str">
        <f t="shared" si="11"/>
        <v/>
      </c>
      <c r="AF16" s="56" t="str">
        <f t="shared" si="12"/>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t="str">
        <f t="shared" si="45"/>
        <v/>
      </c>
      <c r="AO16" s="56" t="str">
        <f t="shared" si="46"/>
        <v>TOOLING:SxxFyy\CYLINDERS\VMz|TOOLING_NOPLC:SxxFyy\CYLINDERS\VMz</v>
      </c>
      <c r="AP16" s="56" t="str">
        <f t="shared" si="47"/>
        <v>LBS</v>
      </c>
      <c r="AQ16" s="56" t="str">
        <f t="shared" si="48"/>
        <v>ENTRY</v>
      </c>
      <c r="AR16" s="39" t="s">
        <v>129</v>
      </c>
      <c r="AT16" s="44" t="str">
        <f t="shared" si="49"/>
        <v>BOOL</v>
      </c>
      <c r="AU16" s="23" t="str">
        <f t="shared" si="50"/>
        <v/>
      </c>
      <c r="AV16" s="23" t="str">
        <f t="shared" si="51"/>
        <v/>
      </c>
      <c r="AW16" s="23" t="str">
        <f t="shared" si="52"/>
        <v/>
      </c>
      <c r="AX16" s="23" t="str">
        <f t="shared" si="53"/>
        <v/>
      </c>
      <c r="AY16" s="36" t="str">
        <f t="shared" si="54"/>
        <v/>
      </c>
      <c r="BB16" s="42" t="s">
        <v>16</v>
      </c>
      <c r="BC16" t="s">
        <v>63</v>
      </c>
      <c r="BD16" t="str">
        <f>"LBS_"&amp;SUBSTITUTE(Header_Config04,":","_")&amp;"_NMP"</f>
        <v>LBS_Sxx_SyyPSBz_AUX1_NMP</v>
      </c>
      <c r="BE16" t="s">
        <v>64</v>
      </c>
      <c r="BS16" t="str">
        <f>"TOOLING:"&amp;Prep!$B$5&amp;"\CYLINDERS\"&amp;Prep!$C$5&amp;"|TOOLING_NOPLC:"&amp;Prep!$B$5&amp;"\CYLINDERS\"&amp;Prep!$C$5</f>
        <v>TOOLING:SxxFyy\CYLINDERS\VMz|TOOLING_NOPLC:SxxFyy\CYLINDERS\VMz</v>
      </c>
      <c r="BU16" t="s">
        <v>101</v>
      </c>
      <c r="BV16" s="30" t="s">
        <v>254</v>
      </c>
      <c r="BY16" s="42"/>
      <c r="CB16" s="42"/>
      <c r="CE16" s="30"/>
      <c r="CH16" s="42"/>
      <c r="CN16" s="30"/>
      <c r="CP16" t="s">
        <v>12</v>
      </c>
      <c r="CQ16" s="40"/>
      <c r="CR16" s="30"/>
    </row>
    <row r="17" spans="2:96" x14ac:dyDescent="0.35">
      <c r="B17" s="4" t="str">
        <f t="shared" si="26"/>
        <v>VALVE_MANIFOLD_SxxFyyVMz</v>
      </c>
      <c r="C17" s="4"/>
      <c r="D17" s="4" t="str">
        <f t="shared" si="27"/>
        <v>From_SIM_OutputPwrOk</v>
      </c>
      <c r="E17" s="4" t="str">
        <f t="shared" si="28"/>
        <v>LBS_Sxx_SyyPSBz_AUX1_MP</v>
      </c>
      <c r="F17" s="4" t="str">
        <f t="shared" si="29"/>
        <v>I</v>
      </c>
      <c r="G17" s="4" t="str">
        <f t="shared" si="30"/>
        <v/>
      </c>
      <c r="H17" s="4" t="str">
        <f t="shared" si="31"/>
        <v/>
      </c>
      <c r="I17" s="4" t="str">
        <f t="shared" si="32"/>
        <v/>
      </c>
      <c r="J17" s="4"/>
      <c r="K17" s="56" t="str">
        <f t="shared" si="33"/>
        <v>BOOL</v>
      </c>
      <c r="L17" s="56" t="str">
        <f t="shared" si="4"/>
        <v>TOOLING\SxxFyy</v>
      </c>
      <c r="M17" s="56" t="str">
        <f t="shared" si="5"/>
        <v>STELLANTIS\Common\ToolPrototype\Devices</v>
      </c>
      <c r="N17" s="56" t="str">
        <f t="shared" si="6"/>
        <v>STELLANTIS_EIP_VALVE_MANIFOLD_ENET_SxxFyyVMz.v00</v>
      </c>
      <c r="O17" s="56" t="str">
        <f t="shared" si="34"/>
        <v/>
      </c>
      <c r="P17" s="56" t="str">
        <f t="shared" si="35"/>
        <v/>
      </c>
      <c r="Q17" s="56" t="str">
        <f t="shared" si="36"/>
        <v/>
      </c>
      <c r="R17" s="56" t="str">
        <f t="shared" si="37"/>
        <v/>
      </c>
      <c r="S17" s="56" t="str">
        <f t="shared" si="38"/>
        <v/>
      </c>
      <c r="T17" s="56" t="str">
        <f t="shared" si="39"/>
        <v/>
      </c>
      <c r="U17" s="56" t="str">
        <f t="shared" si="40"/>
        <v/>
      </c>
      <c r="V17" s="56" t="str">
        <f t="shared" si="41"/>
        <v/>
      </c>
      <c r="W17" s="56"/>
      <c r="X17" s="56"/>
      <c r="Y17" s="56"/>
      <c r="Z17" s="56" t="str">
        <f t="shared" si="42"/>
        <v/>
      </c>
      <c r="AA17" s="56" t="str">
        <f t="shared" si="43"/>
        <v/>
      </c>
      <c r="AB17" s="56" t="str">
        <f t="shared" si="9"/>
        <v>ToolPrototype</v>
      </c>
      <c r="AC17" s="56" t="str">
        <f t="shared" si="44"/>
        <v/>
      </c>
      <c r="AD17" s="56" t="str">
        <f t="shared" si="10"/>
        <v/>
      </c>
      <c r="AE17" s="56" t="str">
        <f t="shared" si="11"/>
        <v/>
      </c>
      <c r="AF17" s="56" t="str">
        <f t="shared" si="12"/>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17" s="56" t="str">
        <f t="shared" si="13"/>
        <v/>
      </c>
      <c r="AH17" s="56" t="str">
        <f t="shared" si="14"/>
        <v/>
      </c>
      <c r="AI17" s="56" t="str">
        <f t="shared" si="15"/>
        <v/>
      </c>
      <c r="AJ17" s="56" t="str">
        <f t="shared" si="16"/>
        <v/>
      </c>
      <c r="AK17" s="56" t="str">
        <f t="shared" si="17"/>
        <v/>
      </c>
      <c r="AL17" s="56" t="str">
        <f t="shared" si="18"/>
        <v/>
      </c>
      <c r="AM17" s="56" t="str">
        <f t="shared" si="19"/>
        <v/>
      </c>
      <c r="AN17" s="56" t="str">
        <f t="shared" si="45"/>
        <v/>
      </c>
      <c r="AO17" s="56" t="str">
        <f t="shared" si="46"/>
        <v>TOOLING:SxxFyy\CYLINDERS\VMz|TOOLING_NOPLC:SxxFyy\CYLINDERS\VMz</v>
      </c>
      <c r="AP17" s="56" t="str">
        <f t="shared" si="47"/>
        <v>LBS</v>
      </c>
      <c r="AQ17" s="56" t="str">
        <f t="shared" si="48"/>
        <v>ENTRY</v>
      </c>
      <c r="AR17" s="39" t="s">
        <v>129</v>
      </c>
      <c r="AT17" s="44" t="str">
        <f t="shared" si="49"/>
        <v>BOOL</v>
      </c>
      <c r="AU17" s="23" t="str">
        <f t="shared" si="50"/>
        <v/>
      </c>
      <c r="AV17" s="23" t="str">
        <f t="shared" si="51"/>
        <v/>
      </c>
      <c r="AW17" s="23" t="str">
        <f t="shared" si="52"/>
        <v/>
      </c>
      <c r="AX17" s="23" t="str">
        <f t="shared" si="53"/>
        <v/>
      </c>
      <c r="AY17" s="36" t="str">
        <f t="shared" si="54"/>
        <v/>
      </c>
      <c r="BB17" s="42" t="s">
        <v>16</v>
      </c>
      <c r="BC17" t="s">
        <v>63</v>
      </c>
      <c r="BD17" t="str">
        <f>"LBS_"&amp;SUBSTITUTE(Header_Config04,":","_")&amp;"_MP"</f>
        <v>LBS_Sxx_SyyPSBz_AUX1_MP</v>
      </c>
      <c r="BE17" t="s">
        <v>64</v>
      </c>
      <c r="BS17" t="str">
        <f>"TOOLING:"&amp;Prep!$B$5&amp;"\CYLINDERS\"&amp;Prep!$C$5&amp;"|TOOLING_NOPLC:"&amp;Prep!$B$5&amp;"\CYLINDERS\"&amp;Prep!$C$5</f>
        <v>TOOLING:SxxFyy\CYLINDERS\VMz|TOOLING_NOPLC:SxxFyy\CYLINDERS\VMz</v>
      </c>
      <c r="BU17" t="s">
        <v>101</v>
      </c>
      <c r="BV17" s="30" t="s">
        <v>255</v>
      </c>
      <c r="BY17" s="42"/>
      <c r="CB17" s="42"/>
      <c r="CE17" s="30"/>
      <c r="CH17" s="42"/>
      <c r="CN17" s="30"/>
      <c r="CP17" t="s">
        <v>12</v>
      </c>
      <c r="CQ17" s="40"/>
      <c r="CR17" s="30"/>
    </row>
    <row r="18" spans="2:96" x14ac:dyDescent="0.35">
      <c r="B18" s="4" t="str">
        <f t="shared" si="26"/>
        <v>VALVE_MANIFOLD_SxxFyyVMz</v>
      </c>
      <c r="C18" s="4"/>
      <c r="D18" s="4" t="str">
        <f t="shared" si="27"/>
        <v>From_SIM_CommOk</v>
      </c>
      <c r="E18" s="4" t="str">
        <f t="shared" si="28"/>
        <v>LBS_SxxESWy_CommOk</v>
      </c>
      <c r="F18" s="4" t="str">
        <f t="shared" si="29"/>
        <v>I</v>
      </c>
      <c r="G18" s="4" t="str">
        <f t="shared" si="30"/>
        <v/>
      </c>
      <c r="H18" s="4" t="str">
        <f t="shared" si="31"/>
        <v/>
      </c>
      <c r="I18" s="4" t="str">
        <f t="shared" si="32"/>
        <v/>
      </c>
      <c r="J18" s="4"/>
      <c r="K18" s="56" t="str">
        <f t="shared" si="33"/>
        <v>BOOL</v>
      </c>
      <c r="L18" s="56" t="str">
        <f t="shared" si="4"/>
        <v>TOOLING\SxxFyy</v>
      </c>
      <c r="M18" s="56" t="str">
        <f t="shared" si="5"/>
        <v>STELLANTIS\Common\ToolPrototype\Devices</v>
      </c>
      <c r="N18" s="56" t="str">
        <f t="shared" si="6"/>
        <v>STELLANTIS_EIP_VALVE_MANIFOLD_ENET_SxxFyyVMz.v00</v>
      </c>
      <c r="O18" s="56" t="str">
        <f t="shared" si="34"/>
        <v/>
      </c>
      <c r="P18" s="56" t="str">
        <f t="shared" si="35"/>
        <v/>
      </c>
      <c r="Q18" s="56" t="str">
        <f t="shared" si="36"/>
        <v/>
      </c>
      <c r="R18" s="56" t="str">
        <f t="shared" si="37"/>
        <v/>
      </c>
      <c r="S18" s="56" t="str">
        <f t="shared" si="38"/>
        <v/>
      </c>
      <c r="T18" s="56" t="str">
        <f t="shared" si="39"/>
        <v/>
      </c>
      <c r="U18" s="56" t="str">
        <f t="shared" si="40"/>
        <v/>
      </c>
      <c r="V18" s="56" t="str">
        <f t="shared" si="41"/>
        <v/>
      </c>
      <c r="W18" s="56"/>
      <c r="X18" s="56"/>
      <c r="Y18" s="56"/>
      <c r="Z18" s="56" t="str">
        <f t="shared" si="42"/>
        <v/>
      </c>
      <c r="AA18" s="56" t="str">
        <f t="shared" si="43"/>
        <v/>
      </c>
      <c r="AB18" s="56" t="str">
        <f t="shared" si="9"/>
        <v>ToolPrototype</v>
      </c>
      <c r="AC18" s="56" t="str">
        <f t="shared" si="44"/>
        <v/>
      </c>
      <c r="AD18" s="56" t="str">
        <f t="shared" si="10"/>
        <v/>
      </c>
      <c r="AE18" s="56" t="str">
        <f t="shared" si="11"/>
        <v/>
      </c>
      <c r="AF18" s="56" t="str">
        <f t="shared" si="12"/>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18" s="56" t="str">
        <f t="shared" si="13"/>
        <v/>
      </c>
      <c r="AH18" s="56" t="str">
        <f t="shared" si="14"/>
        <v/>
      </c>
      <c r="AI18" s="56" t="str">
        <f t="shared" si="15"/>
        <v/>
      </c>
      <c r="AJ18" s="56" t="str">
        <f t="shared" si="16"/>
        <v/>
      </c>
      <c r="AK18" s="56" t="str">
        <f t="shared" si="17"/>
        <v/>
      </c>
      <c r="AL18" s="56" t="str">
        <f t="shared" si="18"/>
        <v/>
      </c>
      <c r="AM18" s="56" t="str">
        <f t="shared" si="19"/>
        <v/>
      </c>
      <c r="AN18" s="56" t="str">
        <f t="shared" si="45"/>
        <v/>
      </c>
      <c r="AO18" s="56" t="str">
        <f t="shared" si="46"/>
        <v/>
      </c>
      <c r="AP18" s="56" t="str">
        <f t="shared" si="47"/>
        <v>LBS</v>
      </c>
      <c r="AQ18" s="56" t="str">
        <f t="shared" si="48"/>
        <v>ENTRY</v>
      </c>
      <c r="AR18" s="39" t="s">
        <v>129</v>
      </c>
      <c r="AT18" s="44" t="str">
        <f t="shared" si="49"/>
        <v>BOOL</v>
      </c>
      <c r="AU18" s="23" t="str">
        <f t="shared" si="50"/>
        <v/>
      </c>
      <c r="AV18" s="23" t="str">
        <f t="shared" si="51"/>
        <v/>
      </c>
      <c r="AW18" s="23" t="str">
        <f t="shared" si="52"/>
        <v/>
      </c>
      <c r="AX18" s="23" t="str">
        <f t="shared" si="53"/>
        <v/>
      </c>
      <c r="AY18" s="36" t="str">
        <f t="shared" si="54"/>
        <v/>
      </c>
      <c r="BB18" s="42" t="s">
        <v>16</v>
      </c>
      <c r="BC18" t="s">
        <v>63</v>
      </c>
      <c r="BD18" t="str">
        <f>IF(ISNUMBER(FIND(":",Header_Config03)),"LBS_"&amp;LEFT(Header_Config03,FIND(":",Header_Config03)-1)&amp;"_CommOk","LBS_"&amp;Header_Config03&amp;"_CommOk")</f>
        <v>LBS_SxxESWy_CommOk</v>
      </c>
      <c r="BE18" t="s">
        <v>64</v>
      </c>
      <c r="BU18" t="s">
        <v>101</v>
      </c>
      <c r="BV18" s="30" t="s">
        <v>265</v>
      </c>
      <c r="BY18" s="42"/>
      <c r="CB18" s="42"/>
      <c r="CE18" s="30"/>
      <c r="CH18" s="42"/>
      <c r="CN18" s="30"/>
      <c r="CP18" t="s">
        <v>12</v>
      </c>
      <c r="CQ18" s="40"/>
      <c r="CR18" s="30"/>
    </row>
    <row r="19" spans="2:96" x14ac:dyDescent="0.35">
      <c r="B19" s="4" t="str">
        <f t="shared" ref="B19:B20" si="55">IF(LEN(BT19)=0,Header_LB_Name,"&lt;BLANK&gt;")</f>
        <v>VALVE_MANIFOLD_SxxFyyVMz</v>
      </c>
      <c r="C19" s="4"/>
      <c r="D19" s="4" t="str">
        <f t="shared" ref="D19:D20" si="56">IF(BC19="CUSTOM",BV19,IF(BB19="ENTRY","From_",IF(BB19="EXIT","To_","&lt;invalid&gt;"))&amp;IF(OR(BC19="RBT",BC19="KEY",BC19="SNS"),IF(BE19="",BC19,BC19&amp;"_"&amp;BE19),IF(BC19="OPR",IF(BE19="",BC19&amp;"_"&amp;BD19,BC19&amp;"_"&amp;BE19),IF(BC19="LBS",IF(BE19="",BD19,BE19),BC19)))&amp;"_"&amp;IF(BC19="OPR",IF(BB19="ENTRY","end",IF(BB19="EXIT","start","&lt;invalid&gt;")),BV19))</f>
        <v>From_SIM_AirOn</v>
      </c>
      <c r="E19" s="4" t="str">
        <f t="shared" ref="E19:E20" si="57">IF(OR(BC19="PLC",BC19="PSF"),IF(Header_PLC_Type="CLX",AX19,IF(LEFT(Header_PLC_Type,2)="S7",AU19,"&lt;invalid PLC type&gt;")),IF(BB19="ENTRY",IF(BC19="LBS",IF(BD19&lt;&gt;"",IF(BF19="",BC19&amp;"_"&amp;BD19&amp;"_To_"&amp;B19&amp;"_"&amp;BV19,BC19&amp;"_"&amp;BD19&amp;"_To_"&amp;BF19&amp;"_"&amp;BV19),"&lt;missing other LB/group name&gt;"),IF(OR(BC19="SNS",BC19="KEY"),IF(BD19&lt;&gt;"",BC19&amp;"_"&amp;BD19&amp;"_"&amp;BV19,"&lt;missing unique identifier&gt;"),IF(OR(BC19="RBT",BC19="OPR"),IF(BD19&lt;&gt;"",BD19&amp;"_"&amp;IF(BC19="OPR","end",IF(BG19&lt;&gt;"",BG19,BV19)),"&lt;missing unique identifier&gt;"),IF(BC19="CUSTOM",BD19,"&lt;invalid connection&gt;")))),IF(BB19="EXIT",IF(BC19="LBS",IF(BD19&lt;&gt;"",BC19&amp;"_"&amp;B19&amp;"_To_"&amp;BD19&amp;"_"&amp;BV19,"&lt;missing other LB/group name&gt;"),IF(OR(BC19="RBT",BC19="OPR"),IF(BD19&lt;&gt;"",BD19&amp;"_"&amp;IF(BC19="OPR","start",IF(BG19&lt;&gt;"",BG19,BV19)),"&lt;missing unique identifier&gt;"),IF(BC19="CUSTOM",BD19,"&lt;invalid connection (sensor or key signal can't be exit)&gt;"))),"&lt;invalid entry/exit&gt;")))</f>
        <v>LBS_SxxFyy_FIXTURE_AIR_ON</v>
      </c>
      <c r="F19" s="4" t="str">
        <f t="shared" ref="F19:F20" si="58">IF(BC19="CUSTOM",BE19,IF(OR(AND(BB19="ENTRY",OR(BC19="PLC",BC19="PSF")),AND(BB19="EXIT",OR(BC19="RBT",BC19="OPR"))),"Q","I"))</f>
        <v>I</v>
      </c>
      <c r="G19" s="4" t="str">
        <f t="shared" ref="G19:G20" si="59">IF(Header_PLC_Type="S7-ADD",IF(OR(BC19="PSF",BC19="PLC"),IF(BY19&lt;&gt;"",IF(AT19="BOOL",BY19&amp;"."&amp;BZ19,BY19),"&lt;missing&gt;"),""),"")</f>
        <v/>
      </c>
      <c r="H19" s="4" t="str">
        <f t="shared" ref="H19:H20" si="60">IF(OR(BC19="PLC",BC19="PSF"),IF(Header_PLC_Type="CLX",AY19&amp;CR19,IF(LEFT(Header_PLC_Type,2)="S7",AW19&amp;CE19,"&lt;invalid PLC type&gt;")),IF(Header_PLC_Type="CLX",IF(CR19&lt;&gt;"",CR19,""),IF(LEFT(Header_PLC_Type,2)="S7",IF(CE19&lt;&gt;"",CE19,""),"&lt;invalid PLC type&gt;")))</f>
        <v/>
      </c>
      <c r="I19" s="4" t="str">
        <f t="shared" ref="I19:I20" si="61">IF(OR(BC19="PLC",BC19="PSF"),BD19,IF(AND(BC19="CUSTOM",BF19&lt;&gt;""),BF19,""))</f>
        <v/>
      </c>
      <c r="J19" s="4"/>
      <c r="K19" s="56" t="str">
        <f t="shared" ref="K19:K20" si="62">AT19</f>
        <v>BOOL</v>
      </c>
      <c r="L19" s="56" t="str">
        <f t="shared" si="4"/>
        <v>TOOLING\SxxFyy</v>
      </c>
      <c r="M19" s="56" t="str">
        <f t="shared" si="5"/>
        <v>STELLANTIS\Common\ToolPrototype\Devices</v>
      </c>
      <c r="N19" s="56" t="str">
        <f t="shared" si="6"/>
        <v>STELLANTIS_EIP_VALVE_MANIFOLD_ENET_SxxFyyVMz.v00</v>
      </c>
      <c r="O19" s="56" t="str">
        <f t="shared" ref="O19:O20" si="63">IF(AND(OR(BC19="SNS",BC19="OPR",BC19="RBT"),BF19&lt;&gt;""),BF19,IF(OR(BC19="PSF",BC19="PLC"),IF(BB19="ENTRY",IF(OR(ISLOGICAL(BF19),ISNUMBER(BF19)),LOWER(TEXT(BF19,"General")),IF((ISTEXT(BF19)),"CEE_To_VC_"&amp;BE19&amp;"_"&amp;BF19,"")),IF((ISTEXT(BF19)),"CEE_From_VC_"&amp;BE19&amp;"_"&amp;BF19,"")),IF(BC19="CUSTOM",IF(BH19&lt;&gt;"",BH19,""),"")))</f>
        <v/>
      </c>
      <c r="P19" s="56" t="str">
        <f t="shared" ref="P19:P20" si="64">IF(OR(BC19="SNS",BC19="OPR"),IF(BG19&lt;&gt;"",BG19,""),IF(BC19="RBT",BD19,IF(BC19="CUSTOM",IF(BG19&lt;&gt;"",BG19,""),"")))</f>
        <v/>
      </c>
      <c r="Q19" s="56" t="str">
        <f t="shared" ref="Q19:Q20" si="65">IF(BC19="OPR",IF(BV19&lt;&gt;"",BV19,"NONSIM"),IF(BC19="RBT",IF(BH19&lt;&gt;"",BH19,""),IF(BC19="SNS",IF(BH19&lt;&gt;"",BH19,L19),IF(OR(BC19="PLC",BC19="PSF"),IF(BG19&lt;&gt;"",BG19,""),""))))</f>
        <v/>
      </c>
      <c r="R19" s="56" t="str">
        <f t="shared" ref="R19:R20" si="66">IF(OR(BC19="PLC",BC19="PSF",BC19="OPR"),IF(BH19&lt;&gt;"",BH19,""),IF(BC19="RBT",IF(BI19&lt;&gt;"",BI19,""),IF(BC19="SNS",IF(BI19&lt;&gt;"",BI19,"PHOTOELECTRIC"),"")))</f>
        <v/>
      </c>
      <c r="S19" s="56" t="str">
        <f t="shared" ref="S19:S20" si="67">IF(OR(BC19="PLC",BC19="PSF",BC19="OPR",AND(BC19="CUSTOM",OR(BU19="PLC",BU19="PSF"))),IF(BI19&lt;&gt;"",BI19,""),IF(BC19="SNS",IF(BJ19&lt;&gt;"",BJ19,""),""))</f>
        <v/>
      </c>
      <c r="T19" s="56" t="str">
        <f t="shared" ref="T19:T20" si="68">IF(AND(Header_PLC_Type="CLX",BC19="PSF",BB19="EXIT"),CJ19&amp;CK19,IF(BC19="OPR",IF(BJ19&lt;&gt;"",BJ19,""),""))</f>
        <v/>
      </c>
      <c r="U19" s="56" t="str">
        <f t="shared" ref="U19:U20" si="69">IF(OR(BC19="SNS",BC19="OPR"),IF(BK19&lt;&gt;"",BK19,""),"")</f>
        <v/>
      </c>
      <c r="V19" s="56" t="str">
        <f t="shared" ref="V19:V20" si="70">IF(OR(BC19="SNS",BC19="OPR"),IF(BL19&lt;&gt;"",BL19,""),"")</f>
        <v/>
      </c>
      <c r="W19" s="56"/>
      <c r="X19" s="56"/>
      <c r="Y19" s="56"/>
      <c r="Z19" s="56" t="str">
        <f t="shared" ref="Z19:Z20" si="71">IF(BP19="","",BP19)</f>
        <v/>
      </c>
      <c r="AA19" s="56" t="str">
        <f t="shared" si="43"/>
        <v/>
      </c>
      <c r="AB19" s="56" t="str">
        <f t="shared" si="9"/>
        <v>ToolPrototype</v>
      </c>
      <c r="AC19" s="56" t="str">
        <f t="shared" ref="AC19:AC20" si="72">IF(ISBLANK(BT19),"","Optional")</f>
        <v/>
      </c>
      <c r="AD19" s="56" t="str">
        <f t="shared" si="10"/>
        <v/>
      </c>
      <c r="AE19" s="56" t="str">
        <f t="shared" si="11"/>
        <v/>
      </c>
      <c r="AF19" s="56" t="str">
        <f t="shared" si="12"/>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19" s="56" t="str">
        <f t="shared" si="13"/>
        <v/>
      </c>
      <c r="AH19" s="56" t="str">
        <f t="shared" si="14"/>
        <v/>
      </c>
      <c r="AI19" s="56" t="str">
        <f t="shared" si="15"/>
        <v/>
      </c>
      <c r="AJ19" s="56" t="str">
        <f t="shared" si="16"/>
        <v/>
      </c>
      <c r="AK19" s="56" t="str">
        <f t="shared" si="17"/>
        <v/>
      </c>
      <c r="AL19" s="56" t="str">
        <f t="shared" si="18"/>
        <v/>
      </c>
      <c r="AM19" s="56" t="str">
        <f t="shared" si="19"/>
        <v/>
      </c>
      <c r="AN19" s="56" t="str">
        <f t="shared" ref="AN19:AN20" si="73">IF(BR19&lt;&gt;"",BR19,"")</f>
        <v/>
      </c>
      <c r="AO19" s="56" t="str">
        <f t="shared" ref="AO19:AO20" si="74">IF(BS19&lt;&gt;"",BS19,"")</f>
        <v>TOOLING:SxxFyy\CYLINDERS\VMz</v>
      </c>
      <c r="AP19" s="56" t="str">
        <f t="shared" ref="AP19:AP20" si="75">IF(BC19&lt;&gt;"CUSTOM",BC19,BU19)</f>
        <v>LBS</v>
      </c>
      <c r="AQ19" s="56" t="str">
        <f t="shared" ref="AQ19:AQ20" si="76">BB19</f>
        <v>ENTRY</v>
      </c>
      <c r="AR19" s="39" t="s">
        <v>129</v>
      </c>
      <c r="AT19" s="44" t="str">
        <f t="shared" ref="AT19:AT20" si="77">IF(Header_PLC_Type="CLX",IF(CP19&lt;&gt;"",CP19,"&lt;noType&gt;"),IF(LEFT(Header_PLC_Type,2)="S7",IF(CD19&lt;&gt;"",CD19,"&lt;noType&gt;"),"&lt;noPLC&gt;"))</f>
        <v>BOOL</v>
      </c>
      <c r="AU19" s="23" t="str">
        <f t="shared" ref="AU19:AU20" si="78">IF(OR(BC19="PLC",BC19="PSF"),CA19,"")</f>
        <v/>
      </c>
      <c r="AV19" s="23" t="str">
        <f t="shared" ref="AV19:AV20" si="79">IF(OR(BC19="PLC",BC19="PSF"),IF(AT19="BOOL",F19,IF(AT19="BYTE",F19&amp;"B",IF(OR(AT19="WORD",AT19="INT"),F19&amp;"W",IF(OR(AT19="DWORD",AT19="DINT",AT19="REAL"),F19&amp;"D","&lt;invalid&gt;")))),"")</f>
        <v/>
      </c>
      <c r="AW19" s="23" t="str">
        <f t="shared" ref="AW19:AW20" si="80">IF(OR(BC19="PLC",BC19="PSF"),""&amp;AV19&amp;IF(AT19="BOOL",BY19&amp;"."&amp;BZ19,BY19)&amp; IF(CA19&lt;&gt;"",": &lt;"&amp;CA19&amp;"&gt; - ",": "),"")</f>
        <v/>
      </c>
      <c r="AX19" s="23" t="str">
        <f t="shared" ref="AX19:AX20" si="81">IF(OR(BC19="PLC",BC19="PSF"),IF(AND(BB19="EXIT",BC19="PSF"),CH19&amp;SUBSTITUTE(CJ19,":","_")&amp;CK19,CJ19&amp;CK19),"")</f>
        <v/>
      </c>
      <c r="AY19" s="36" t="str">
        <f t="shared" ref="AY19:AY20" si="82">IF(OR(BC19="PLC",BC19="PSF"),IF(CM19&lt;&gt;"",CM19 &amp; ": &lt;" &amp; CN19&amp;CO19 &amp; "&gt; - ","Controller: &lt;"&amp;CJ19&amp;CK19&amp;"&gt; - "),"")</f>
        <v/>
      </c>
      <c r="BB19" s="42" t="s">
        <v>16</v>
      </c>
      <c r="BC19" t="s">
        <v>63</v>
      </c>
      <c r="BD19" t="str">
        <f>"LBS_"&amp;SUBSTITUTE(Header_Config05,":","_")&amp;"_ON"</f>
        <v>LBS_SxxFyy_FIXTURE_AIR_ON</v>
      </c>
      <c r="BE19" t="s">
        <v>64</v>
      </c>
      <c r="BS19" t="str">
        <f>"TOOLING:"&amp;Prep!$B$5&amp;"\CYLINDERS\"&amp;Prep!$C$5</f>
        <v>TOOLING:SxxFyy\CYLINDERS\VMz</v>
      </c>
      <c r="BU19" t="s">
        <v>101</v>
      </c>
      <c r="BV19" s="30" t="s">
        <v>289</v>
      </c>
      <c r="BY19" s="42"/>
      <c r="CB19" s="42"/>
      <c r="CE19" s="30"/>
      <c r="CH19" s="42"/>
      <c r="CN19" s="30"/>
      <c r="CP19" t="s">
        <v>12</v>
      </c>
      <c r="CQ19" s="40"/>
      <c r="CR19" s="30"/>
    </row>
    <row r="20" spans="2:96" x14ac:dyDescent="0.35">
      <c r="B20" s="4" t="str">
        <f t="shared" si="55"/>
        <v>VALVE_MANIFOLD_SxxFyyVMz</v>
      </c>
      <c r="C20" s="4"/>
      <c r="D20" s="4" t="str">
        <f t="shared" si="56"/>
        <v>From_SIM_AirRangeOk</v>
      </c>
      <c r="E20" s="4" t="str">
        <f t="shared" si="57"/>
        <v>LBS_SxxFyy_FIXTURE_AIR_RANGE_OK</v>
      </c>
      <c r="F20" s="4" t="str">
        <f t="shared" si="58"/>
        <v>I</v>
      </c>
      <c r="G20" s="4" t="str">
        <f t="shared" si="59"/>
        <v/>
      </c>
      <c r="H20" s="4" t="str">
        <f t="shared" si="60"/>
        <v/>
      </c>
      <c r="I20" s="4" t="str">
        <f t="shared" si="61"/>
        <v/>
      </c>
      <c r="J20" s="4"/>
      <c r="K20" s="56" t="str">
        <f t="shared" si="62"/>
        <v>BOOL</v>
      </c>
      <c r="L20" s="56" t="str">
        <f t="shared" si="4"/>
        <v>TOOLING\SxxFyy</v>
      </c>
      <c r="M20" s="56" t="str">
        <f t="shared" si="5"/>
        <v>STELLANTIS\Common\ToolPrototype\Devices</v>
      </c>
      <c r="N20" s="56" t="str">
        <f t="shared" si="6"/>
        <v>STELLANTIS_EIP_VALVE_MANIFOLD_ENET_SxxFyyVMz.v00</v>
      </c>
      <c r="O20" s="56" t="str">
        <f t="shared" si="63"/>
        <v/>
      </c>
      <c r="P20" s="56" t="str">
        <f t="shared" si="64"/>
        <v/>
      </c>
      <c r="Q20" s="56" t="str">
        <f t="shared" si="65"/>
        <v/>
      </c>
      <c r="R20" s="56" t="str">
        <f t="shared" si="66"/>
        <v/>
      </c>
      <c r="S20" s="56" t="str">
        <f t="shared" si="67"/>
        <v/>
      </c>
      <c r="T20" s="56" t="str">
        <f t="shared" si="68"/>
        <v/>
      </c>
      <c r="U20" s="56" t="str">
        <f t="shared" si="69"/>
        <v/>
      </c>
      <c r="V20" s="56" t="str">
        <f t="shared" si="70"/>
        <v/>
      </c>
      <c r="W20" s="56"/>
      <c r="X20" s="56"/>
      <c r="Y20" s="56"/>
      <c r="Z20" s="56" t="str">
        <f t="shared" si="71"/>
        <v/>
      </c>
      <c r="AA20" s="56" t="str">
        <f t="shared" si="43"/>
        <v/>
      </c>
      <c r="AB20" s="56" t="str">
        <f t="shared" si="9"/>
        <v>ToolPrototype</v>
      </c>
      <c r="AC20" s="56" t="str">
        <f t="shared" si="72"/>
        <v/>
      </c>
      <c r="AD20" s="56" t="str">
        <f t="shared" si="10"/>
        <v/>
      </c>
      <c r="AE20" s="56" t="str">
        <f t="shared" si="11"/>
        <v/>
      </c>
      <c r="AF20" s="56" t="str">
        <f t="shared" si="12"/>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0" s="56" t="str">
        <f t="shared" si="13"/>
        <v/>
      </c>
      <c r="AH20" s="56" t="str">
        <f t="shared" si="14"/>
        <v/>
      </c>
      <c r="AI20" s="56" t="str">
        <f t="shared" si="15"/>
        <v/>
      </c>
      <c r="AJ20" s="56" t="str">
        <f t="shared" si="16"/>
        <v/>
      </c>
      <c r="AK20" s="56" t="str">
        <f t="shared" si="17"/>
        <v/>
      </c>
      <c r="AL20" s="56" t="str">
        <f t="shared" si="18"/>
        <v/>
      </c>
      <c r="AM20" s="56" t="str">
        <f t="shared" si="19"/>
        <v/>
      </c>
      <c r="AN20" s="56" t="str">
        <f t="shared" si="73"/>
        <v/>
      </c>
      <c r="AO20" s="56" t="str">
        <f t="shared" si="74"/>
        <v>TOOLING:SxxFyy\CYLINDERS\VMz</v>
      </c>
      <c r="AP20" s="56" t="str">
        <f t="shared" si="75"/>
        <v>LBS</v>
      </c>
      <c r="AQ20" s="56" t="str">
        <f t="shared" si="76"/>
        <v>ENTRY</v>
      </c>
      <c r="AR20" s="39" t="s">
        <v>129</v>
      </c>
      <c r="AT20" s="44" t="str">
        <f t="shared" si="77"/>
        <v>BOOL</v>
      </c>
      <c r="AU20" s="23" t="str">
        <f t="shared" si="78"/>
        <v/>
      </c>
      <c r="AV20" s="23" t="str">
        <f t="shared" si="79"/>
        <v/>
      </c>
      <c r="AW20" s="23" t="str">
        <f t="shared" si="80"/>
        <v/>
      </c>
      <c r="AX20" s="23" t="str">
        <f t="shared" si="81"/>
        <v/>
      </c>
      <c r="AY20" s="36" t="str">
        <f t="shared" si="82"/>
        <v/>
      </c>
      <c r="BB20" s="42" t="s">
        <v>16</v>
      </c>
      <c r="BC20" t="s">
        <v>63</v>
      </c>
      <c r="BD20" t="str">
        <f>"LBS_"&amp;SUBSTITUTE(Header_Config05,":","_")&amp;"_RANGE_OK"</f>
        <v>LBS_SxxFyy_FIXTURE_AIR_RANGE_OK</v>
      </c>
      <c r="BE20" t="s">
        <v>64</v>
      </c>
      <c r="BS20" t="str">
        <f>"TOOLING:"&amp;Prep!$B$5&amp;"\CYLINDERS\"&amp;Prep!$C$5</f>
        <v>TOOLING:SxxFyy\CYLINDERS\VMz</v>
      </c>
      <c r="BU20" t="s">
        <v>101</v>
      </c>
      <c r="BV20" s="30" t="s">
        <v>292</v>
      </c>
      <c r="BY20" s="42"/>
      <c r="CB20" s="42"/>
      <c r="CE20" s="30"/>
      <c r="CH20" s="42"/>
      <c r="CN20" s="30"/>
      <c r="CP20" t="s">
        <v>12</v>
      </c>
      <c r="CQ20" s="40"/>
      <c r="CR20" s="30"/>
    </row>
    <row r="21" spans="2:96" x14ac:dyDescent="0.35">
      <c r="B21" s="4" t="str">
        <f t="shared" ref="B21" si="83">IF(LEN(BT21)=0,Header_LB_Name,"&lt;BLANK&gt;")</f>
        <v>VALVE_MANIFOLD_SxxFyyVMz</v>
      </c>
      <c r="C21" s="4"/>
      <c r="D21" s="4" t="str">
        <f t="shared" ref="D21" si="84">IF(BC21="CUSTOM",BV21,IF(BB21="ENTRY","From_",IF(BB21="EXIT","To_","&lt;invalid&gt;"))&amp;IF(OR(BC21="RBT",BC21="KEY",BC21="SNS"),IF(BE21="",BC21,BC21&amp;"_"&amp;BE21),IF(BC21="OPR",IF(BE21="",BC21&amp;"_"&amp;BD21,BC21&amp;"_"&amp;BE21),IF(BC21="LBS",IF(BE21="",BD21,BE21),BC21)))&amp;"_"&amp;IF(BC21="OPR",IF(BB21="ENTRY","end",IF(BB21="EXIT","start","&lt;invalid&gt;")),BV21))</f>
        <v>To_PLC_AuxPowerOff</v>
      </c>
      <c r="E21" s="4" t="str">
        <f t="shared" ref="E21" si="85">IF(OR(BC21="PLC",BC21="PSF"),IF(Header_PLC_Type="CLX",AX21,IF(LEFT(Header_PLC_Type,2)="S7",AU21,"&lt;invalid PLC type&gt;")),IF(BB21="ENTRY",IF(BC21="LBS",IF(BD21&lt;&gt;"",IF(BF21="",BC21&amp;"_"&amp;BD21&amp;"_To_"&amp;B21&amp;"_"&amp;BV21,BC21&amp;"_"&amp;BD21&amp;"_To_"&amp;BF21&amp;"_"&amp;BV21),"&lt;missing other LB/group name&gt;"),IF(OR(BC21="SNS",BC21="KEY"),IF(BD21&lt;&gt;"",BC21&amp;"_"&amp;BD21&amp;"_"&amp;BV21,"&lt;missing unique identifier&gt;"),IF(OR(BC21="RBT",BC21="OPR"),IF(BD21&lt;&gt;"",BD21&amp;"_"&amp;IF(BC21="OPR","end",IF(BG21&lt;&gt;"",BG21,BV21)),"&lt;missing unique identifier&gt;"),IF(BC21="CUSTOM",BD21,"&lt;invalid connection&gt;")))),IF(BB21="EXIT",IF(BC21="LBS",IF(BD21&lt;&gt;"",BC21&amp;"_"&amp;B21&amp;"_To_"&amp;BD21&amp;"_"&amp;BV21,"&lt;missing other LB/group name&gt;"),IF(OR(BC21="RBT",BC21="OPR"),IF(BD21&lt;&gt;"",BD21&amp;"_"&amp;IF(BC21="OPR","start",IF(BG21&lt;&gt;"",BG21,BV21)),"&lt;missing unique identifier&gt;"),IF(BC21="CUSTOM",BD21,"&lt;invalid connection (sensor or key signal can't be exit)&gt;"))),"&lt;invalid entry/exit&gt;")))</f>
        <v>SxxFyyVMz:I.Data[1].0</v>
      </c>
      <c r="F21" s="4" t="str">
        <f t="shared" ref="F21" si="86">IF(BC21="CUSTOM",BE21,IF(OR(AND(BB21="ENTRY",OR(BC21="PLC",BC21="PSF")),AND(BB21="EXIT",OR(BC21="RBT",BC21="OPR"))),"Q","I"))</f>
        <v>I</v>
      </c>
      <c r="G21" s="4" t="str">
        <f t="shared" ref="G21" si="87">IF(Header_PLC_Type="S7-ADD",IF(OR(BC21="PSF",BC21="PLC"),IF(BY21&lt;&gt;"",IF(AT21="BOOL",BY21&amp;"."&amp;BZ21,BY21),"&lt;missing&gt;"),""),"")</f>
        <v/>
      </c>
      <c r="H21" s="4" t="str">
        <f t="shared" ref="H21" si="88">IF(OR(BC21="PLC",BC21="PSF"),IF(Header_PLC_Type="CLX",AY21&amp;CR21,IF(LEFT(Header_PLC_Type,2)="S7",AW21&amp;CE21,"&lt;invalid PLC type&gt;")),IF(Header_PLC_Type="CLX",IF(CR21&lt;&gt;"",CR21,""),IF(LEFT(Header_PLC_Type,2)="S7",IF(CE21&lt;&gt;"",CE21,""),"&lt;invalid PLC type&gt;")))</f>
        <v>Controller: &lt;SxxFyyVMz.D.b08&gt; - Power Supply for Output Device Outside Specification</v>
      </c>
      <c r="I21" s="4" t="str">
        <f t="shared" ref="I21" si="89">IF(OR(BC21="PLC",BC21="PSF"),BD21,IF(AND(BC21="CUSTOM",BF21&lt;&gt;""),BF21,""))</f>
        <v>AB_RACKx_SLOTa</v>
      </c>
      <c r="J21" s="4"/>
      <c r="K21" s="56" t="str">
        <f t="shared" ref="K21" si="90">AT21</f>
        <v>BOOL</v>
      </c>
      <c r="L21" s="56" t="str">
        <f t="shared" si="4"/>
        <v>TOOLING\SxxFyy</v>
      </c>
      <c r="M21" s="56" t="str">
        <f t="shared" si="5"/>
        <v>STELLANTIS\Common\ToolPrototype\Devices</v>
      </c>
      <c r="N21" s="56" t="str">
        <f t="shared" si="6"/>
        <v>STELLANTIS_EIP_VALVE_MANIFOLD_ENET_SxxFyyVMz.v00</v>
      </c>
      <c r="O21" s="56" t="str">
        <f t="shared" ref="O21" si="91">IF(AND(OR(BC21="SNS",BC21="OPR",BC21="RBT"),BF21&lt;&gt;""),BF21,IF(OR(BC21="PSF",BC21="PLC"),IF(BB21="ENTRY",IF(OR(ISLOGICAL(BF21),ISNUMBER(BF21)),LOWER(TEXT(BF21,"General")),IF((ISTEXT(BF21)),"CEE_To_VC_"&amp;BE21&amp;"_"&amp;BF21,"")),IF((ISTEXT(BF21)),"CEE_From_VC_"&amp;BE21&amp;"_"&amp;BF21,"")),IF(BC21="CUSTOM",IF(BH21&lt;&gt;"",BH21,""),"")))</f>
        <v/>
      </c>
      <c r="P21" s="56" t="str">
        <f t="shared" ref="P21" si="92">IF(OR(BC21="SNS",BC21="OPR"),IF(BG21&lt;&gt;"",BG21,""),IF(BC21="RBT",BD21,IF(BC21="CUSTOM",IF(BG21&lt;&gt;"",BG21,""),"")))</f>
        <v/>
      </c>
      <c r="Q21" s="56" t="str">
        <f t="shared" ref="Q21" si="93">IF(BC21="OPR",IF(BV21&lt;&gt;"",BV21,"NONSIM"),IF(BC21="RBT",IF(BH21&lt;&gt;"",BH21,""),IF(BC21="SNS",IF(BH21&lt;&gt;"",BH21,L21),IF(OR(BC21="PLC",BC21="PSF"),IF(BG21&lt;&gt;"",BG21,""),""))))</f>
        <v>SxxFyyVMz:</v>
      </c>
      <c r="R21" s="56" t="str">
        <f t="shared" ref="R21" si="94">IF(OR(BC21="PLC",BC21="PSF",BC21="OPR"),IF(BH21&lt;&gt;"",BH21,""),IF(BC21="RBT",IF(BI21&lt;&gt;"",BI21,""),IF(BC21="SNS",IF(BI21&lt;&gt;"",BI21,"PHOTOELECTRIC"),"")))</f>
        <v>SxxFyyVMz:O.Data[0].0|SxxFyyVMz:O.Data[0].1|SxxFyyVMz:O.Data[0].2|SxxFyyVMz:O.Data[0].3|SxxFyyVMz:O.Data[0].4|SxxFyyVMz:O.Data[0].5|SxxFyyVMz:O.Data[0].6|SxxFyyVMz:O.Data[0].7|SxxFyyVMz:O.Data[1].0|SxxFyyVMz:O.Data[1].1|SxxFyyVMz:O.Data[1].2|SxxFyyVMz:O.Data[1].3|SxxFyyVMz:O.Data[1].4|SxxFyyVMz:O.Data[1].5|SxxFyyVMz:O.Data[1].6|SxxFyyVMz:O.Data[1].7|SxxFyyVMz:O.Data[2].0|SxxFyyVMz:O.Data[2].1|SxxFyyVMz:O.Data[2].2|SxxFyyVMz:O.Data[2].3|SxxFyyVMz:O.Data[2].4|SxxFyyVMz:O.Data[2].5|SxxFyyVMz:O.Data[2].6|SxxFyyVMz:O.Data[2].7|SxxFyyVMz:O.Data[3].0|SxxFyyVMz:O.Data[3].1|SxxFyyVMz:O.Data[3].2|SxxFyyVMz:O.Data[3].3|SxxFyyVMz:O.Data[3].4|SxxFyyVMz:O.Data[3].5|SxxFyyVMz:O.Data[3].6|SxxFyyVMz:O.Data[3].7|SxxFyyVMz:I.Data[4].0|SxxFyyVMz:I.Data[4].1|SxxFyyVMz:I.Data[4].2|SxxFyyVMz:I.Data[4].3|SxxFyyVMz:I.Data[4].4|SxxFyyVMz:I.Data[4].5|SxxFyyVMz:I.Data[4].6|SxxFyyVMz:I.Data[4].7|SxxFyyVMz:I.Data[5].0|SxxFyyVMz:I.Data[5].1|SxxFyyVMz:I.Data[5].2|SxxFyyVMz:I.Data[5].3|SxxFyyVMz:I.Data[5].4|SxxFyyVMz:I.Data[5].5|SxxFyyVMz:I.Data[5].6|SxxFyyVMz:I.Data[5].7|SxxFyyVMz:I.Data[6].0|SxxFyyVMz:I.Data[6].1|SxxFyyVMz:I.Data[6].2|SxxFyyVMz:I.Data[6].3|SxxFyyVMz:I.Data[6].4|SxxFyyVMz:I.Data[6].5|SxxFyyVMz:I.Data[6].6|SxxFyyVMz:I.Data[6].7|SxxFyyVMz:I.Data[7].0|SxxFyyVMz:I.Data[7].1|SxxFyyVMz:I.Data[7].2|SxxFyyVMz:I.Data[7].3|SxxFyyVMz:I.Data[7].4|SxxFyyVMz:I.Data[7].5|SxxFyyVMz:I.Data[7].6|SxxFyyVMz:I.Data[7].7|SxxFyyVMz:I.Data[8].0|SxxFyyVMz:I.Data[8].1|SxxFyyVMz:I.Data[8].2|SxxFyyVMz:I.Data[8].3|SxxFyyVMz:I.Data[8].4|SxxFyyVMz:I.Data[8].5|SxxFyyVMz:I.Data[8].6|SxxFyyVMz:I.Data[8].7|SxxFyyVMz:I.Data[9].0|SxxFyyVMz:I.Data[9].1|SxxFyyVMz:I.Data[9].2|SxxFyyVMz:I.Data[9].3|SxxFyyVMz:I.Data[9].4|SxxFyyVMz:I.Data[9].5|SxxFyyVMz:I.Data[9].6|SxxFyyVMz:I.Data[9].7</v>
      </c>
      <c r="S21" s="56" t="str">
        <f t="shared" ref="S21" si="95">IF(OR(BC21="PLC",BC21="PSF",BC21="OPR",AND(BC21="CUSTOM",OR(BU21="PLC",BU21="PSF"))),IF(BI21&lt;&gt;"",BI21,""),IF(BC21="SNS",IF(BJ21&lt;&gt;"",BJ21,""),""))</f>
        <v/>
      </c>
      <c r="T21" s="56" t="str">
        <f t="shared" ref="T21" si="96">IF(AND(Header_PLC_Type="CLX",BC21="PSF",BB21="EXIT"),CJ21&amp;CK21,IF(BC21="OPR",IF(BJ21&lt;&gt;"",BJ21,""),""))</f>
        <v/>
      </c>
      <c r="U21" s="56" t="str">
        <f t="shared" ref="U21" si="97">IF(OR(BC21="SNS",BC21="OPR"),IF(BK21&lt;&gt;"",BK21,""),"")</f>
        <v/>
      </c>
      <c r="V21" s="56" t="str">
        <f t="shared" ref="V21" si="98">IF(OR(BC21="SNS",BC21="OPR"),IF(BL21&lt;&gt;"",BL21,""),"")</f>
        <v/>
      </c>
      <c r="W21" s="56"/>
      <c r="X21" s="56"/>
      <c r="Y21" s="56"/>
      <c r="Z21" s="56" t="str">
        <f t="shared" ref="Z21" si="99">IF(BP21="","",BP21)</f>
        <v/>
      </c>
      <c r="AA21" s="56" t="str">
        <f t="shared" ref="AA21:AA22" si="100">IF($BQ21="","",$BQ21)</f>
        <v/>
      </c>
      <c r="AB21" s="56" t="str">
        <f t="shared" si="9"/>
        <v>ToolPrototype</v>
      </c>
      <c r="AC21" s="56" t="str">
        <f t="shared" ref="AC21" si="101">IF(ISBLANK(BT21),"","Optional")</f>
        <v/>
      </c>
      <c r="AD21" s="56" t="str">
        <f t="shared" si="10"/>
        <v/>
      </c>
      <c r="AE21" s="56" t="str">
        <f t="shared" si="11"/>
        <v/>
      </c>
      <c r="AF21" s="56" t="str">
        <f t="shared" si="12"/>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1" s="56" t="str">
        <f t="shared" si="13"/>
        <v/>
      </c>
      <c r="AH21" s="56" t="str">
        <f t="shared" si="14"/>
        <v/>
      </c>
      <c r="AI21" s="56" t="str">
        <f t="shared" si="15"/>
        <v/>
      </c>
      <c r="AJ21" s="56" t="str">
        <f t="shared" si="16"/>
        <v/>
      </c>
      <c r="AK21" s="56" t="str">
        <f t="shared" si="17"/>
        <v/>
      </c>
      <c r="AL21" s="56" t="str">
        <f t="shared" si="18"/>
        <v/>
      </c>
      <c r="AM21" s="56" t="str">
        <f t="shared" si="19"/>
        <v/>
      </c>
      <c r="AN21" s="56" t="str">
        <f t="shared" ref="AN21" si="102">IF(BR21&lt;&gt;"",BR21,"")</f>
        <v/>
      </c>
      <c r="AO21" s="56" t="str">
        <f t="shared" ref="AO21" si="103">IF(BS21&lt;&gt;"",BS21,"")</f>
        <v/>
      </c>
      <c r="AP21" s="56" t="str">
        <f t="shared" ref="AP21" si="104">IF(BC21&lt;&gt;"CUSTOM",BC21,BU21)</f>
        <v>PLC</v>
      </c>
      <c r="AQ21" s="56" t="str">
        <f t="shared" ref="AQ21" si="105">BB21</f>
        <v>EXIT</v>
      </c>
      <c r="AR21" s="39" t="s">
        <v>129</v>
      </c>
      <c r="AT21" s="44" t="str">
        <f t="shared" ref="AT21" si="106">IF(Header_PLC_Type="CLX",IF(CP21&lt;&gt;"",CP21,"&lt;noType&gt;"),IF(LEFT(Header_PLC_Type,2)="S7",IF(CD21&lt;&gt;"",CD21,"&lt;noType&gt;"),"&lt;noPLC&gt;"))</f>
        <v>BOOL</v>
      </c>
      <c r="AU21" s="23">
        <f t="shared" ref="AU21" si="107">IF(OR(BC21="PLC",BC21="PSF"),CA21,"")</f>
        <v>0</v>
      </c>
      <c r="AV21" s="23" t="str">
        <f t="shared" ref="AV21" si="108">IF(OR(BC21="PLC",BC21="PSF"),IF(AT21="BOOL",F21,IF(AT21="BYTE",F21&amp;"B",IF(OR(AT21="WORD",AT21="INT"),F21&amp;"W",IF(OR(AT21="DWORD",AT21="DINT",AT21="REAL"),F21&amp;"D","&lt;invalid&gt;")))),"")</f>
        <v>I</v>
      </c>
      <c r="AW21" s="23" t="str">
        <f t="shared" ref="AW21" si="109">IF(OR(BC21="PLC",BC21="PSF"),""&amp;AV21&amp;IF(AT21="BOOL",BY21&amp;"."&amp;BZ21,BY21)&amp; IF(CA21&lt;&gt;"",": &lt;"&amp;CA21&amp;"&gt; - ",": "),"")</f>
        <v xml:space="preserve">I.: </v>
      </c>
      <c r="AX21" s="23" t="str">
        <f t="shared" ref="AX21" si="110">IF(OR(BC21="PLC",BC21="PSF"),IF(AND(BB21="EXIT",BC21="PSF"),CH21&amp;SUBSTITUTE(CJ21,":","_")&amp;CK21,CJ21&amp;CK21),"")</f>
        <v>SxxFyyVMz:I.Data[1].0</v>
      </c>
      <c r="AY21" s="36" t="str">
        <f t="shared" ref="AY21" si="111">IF(OR(BC21="PLC",BC21="PSF"),IF(CM21&lt;&gt;"",CM21 &amp; ": &lt;" &amp; CN21&amp;CO21 &amp; "&gt; - ","Controller: &lt;"&amp;CJ21&amp;CK21&amp;"&gt; - "),"")</f>
        <v xml:space="preserve">Controller: &lt;SxxFyyVMz.D.b08&gt; - </v>
      </c>
      <c r="BB21" s="42" t="s">
        <v>18</v>
      </c>
      <c r="BC21" t="s">
        <v>17</v>
      </c>
      <c r="BD21" t="str">
        <f>Header_Config01</f>
        <v>AB_RACKx_SLOTa</v>
      </c>
      <c r="BG21" t="str">
        <f>SUBSTITUTE(Header_LB_Unique_ID,":","")&amp;":"</f>
        <v>SxxFyyVMz:</v>
      </c>
      <c r="BH21" t="str">
        <f>Prep!$I$5</f>
        <v>SxxFyyVMz:O.Data[0].0|SxxFyyVMz:O.Data[0].1|SxxFyyVMz:O.Data[0].2|SxxFyyVMz:O.Data[0].3|SxxFyyVMz:O.Data[0].4|SxxFyyVMz:O.Data[0].5|SxxFyyVMz:O.Data[0].6|SxxFyyVMz:O.Data[0].7|SxxFyyVMz:O.Data[1].0|SxxFyyVMz:O.Data[1].1|SxxFyyVMz:O.Data[1].2|SxxFyyVMz:O.Data[1].3|SxxFyyVMz:O.Data[1].4|SxxFyyVMz:O.Data[1].5|SxxFyyVMz:O.Data[1].6|SxxFyyVMz:O.Data[1].7|SxxFyyVMz:O.Data[2].0|SxxFyyVMz:O.Data[2].1|SxxFyyVMz:O.Data[2].2|SxxFyyVMz:O.Data[2].3|SxxFyyVMz:O.Data[2].4|SxxFyyVMz:O.Data[2].5|SxxFyyVMz:O.Data[2].6|SxxFyyVMz:O.Data[2].7|SxxFyyVMz:O.Data[3].0|SxxFyyVMz:O.Data[3].1|SxxFyyVMz:O.Data[3].2|SxxFyyVMz:O.Data[3].3|SxxFyyVMz:O.Data[3].4|SxxFyyVMz:O.Data[3].5|SxxFyyVMz:O.Data[3].6|SxxFyyVMz:O.Data[3].7|SxxFyyVMz:I.Data[4].0|SxxFyyVMz:I.Data[4].1|SxxFyyVMz:I.Data[4].2|SxxFyyVMz:I.Data[4].3|SxxFyyVMz:I.Data[4].4|SxxFyyVMz:I.Data[4].5|SxxFyyVMz:I.Data[4].6|SxxFyyVMz:I.Data[4].7|SxxFyyVMz:I.Data[5].0|SxxFyyVMz:I.Data[5].1|SxxFyyVMz:I.Data[5].2|SxxFyyVMz:I.Data[5].3|SxxFyyVMz:I.Data[5].4|SxxFyyVMz:I.Data[5].5|SxxFyyVMz:I.Data[5].6|SxxFyyVMz:I.Data[5].7|SxxFyyVMz:I.Data[6].0|SxxFyyVMz:I.Data[6].1|SxxFyyVMz:I.Data[6].2|SxxFyyVMz:I.Data[6].3|SxxFyyVMz:I.Data[6].4|SxxFyyVMz:I.Data[6].5|SxxFyyVMz:I.Data[6].6|SxxFyyVMz:I.Data[6].7|SxxFyyVMz:I.Data[7].0|SxxFyyVMz:I.Data[7].1|SxxFyyVMz:I.Data[7].2|SxxFyyVMz:I.Data[7].3|SxxFyyVMz:I.Data[7].4|SxxFyyVMz:I.Data[7].5|SxxFyyVMz:I.Data[7].6|SxxFyyVMz:I.Data[7].7|SxxFyyVMz:I.Data[8].0|SxxFyyVMz:I.Data[8].1|SxxFyyVMz:I.Data[8].2|SxxFyyVMz:I.Data[8].3|SxxFyyVMz:I.Data[8].4|SxxFyyVMz:I.Data[8].5|SxxFyyVMz:I.Data[8].6|SxxFyyVMz:I.Data[8].7|SxxFyyVMz:I.Data[9].0|SxxFyyVMz:I.Data[9].1|SxxFyyVMz:I.Data[9].2|SxxFyyVMz:I.Data[9].3|SxxFyyVMz:I.Data[9].4|SxxFyyVMz:I.Data[9].5|SxxFyyVMz:I.Data[9].6|SxxFyyVMz:I.Data[9].7</v>
      </c>
      <c r="BV21" s="30" t="s">
        <v>275</v>
      </c>
      <c r="BY21" s="42"/>
      <c r="CB21" s="42"/>
      <c r="CE21" s="30"/>
      <c r="CH21" s="42"/>
      <c r="CJ21" t="str">
        <f>SUBSTITUTE(Header_LB_Unique_ID,":","")&amp;":I."</f>
        <v>SxxFyyVMz:I.</v>
      </c>
      <c r="CK21" t="s">
        <v>13</v>
      </c>
      <c r="CM21" t="s">
        <v>74</v>
      </c>
      <c r="CN21" s="30" t="str">
        <f>SUBSTITUTE(Header_LB_Unique_ID,":","")&amp;".D."</f>
        <v>SxxFyyVMz.D.</v>
      </c>
      <c r="CO21" t="s">
        <v>251</v>
      </c>
      <c r="CP21" t="s">
        <v>12</v>
      </c>
      <c r="CQ21" s="40"/>
      <c r="CR21" s="30" t="s">
        <v>276</v>
      </c>
    </row>
    <row r="22" spans="2:96" x14ac:dyDescent="0.35">
      <c r="B22" s="4" t="str">
        <f t="shared" ref="B22" si="112">IF(LEN(BT22)=0,Header_LB_Name,"&lt;BLANK&gt;")</f>
        <v>VALVE_MANIFOLD_SxxFyyVMz</v>
      </c>
      <c r="C22" s="4"/>
      <c r="D22" s="4" t="str">
        <f t="shared" ref="D22" si="113">IF(BC22="CUSTOM",BV22,IF(BB22="ENTRY","From_",IF(BB22="EXIT","To_","&lt;invalid&gt;"))&amp;IF(OR(BC22="RBT",BC22="KEY",BC22="SNS"),IF(BE22="",BC22,BC22&amp;"_"&amp;BE22),IF(BC22="OPR",IF(BE22="",BC22&amp;"_"&amp;BD22,BC22&amp;"_"&amp;BE22),IF(BC22="LBS",IF(BE22="",BD22,BE22),BC22)))&amp;"_"&amp;IF(BC22="OPR",IF(BB22="ENTRY","end",IF(BB22="EXIT","start","&lt;invalid&gt;")),BV22))</f>
        <v>To_PLC_ModuleError0</v>
      </c>
      <c r="E22" s="4" t="str">
        <f t="shared" ref="E22" si="114">IF(OR(BC22="PLC",BC22="PSF"),IF(Header_PLC_Type="CLX",AX22,IF(LEFT(Header_PLC_Type,2)="S7",AU22,"&lt;invalid PLC type&gt;")),IF(BB22="ENTRY",IF(BC22="LBS",IF(BD22&lt;&gt;"",IF(BF22="",BC22&amp;"_"&amp;BD22&amp;"_To_"&amp;B22&amp;"_"&amp;BV22,BC22&amp;"_"&amp;BD22&amp;"_To_"&amp;BF22&amp;"_"&amp;BV22),"&lt;missing other LB/group name&gt;"),IF(OR(BC22="SNS",BC22="KEY"),IF(BD22&lt;&gt;"",BC22&amp;"_"&amp;BD22&amp;"_"&amp;BV22,"&lt;missing unique identifier&gt;"),IF(OR(BC22="RBT",BC22="OPR"),IF(BD22&lt;&gt;"",BD22&amp;"_"&amp;IF(BC22="OPR","end",IF(BG22&lt;&gt;"",BG22,BV22)),"&lt;missing unique identifier&gt;"),IF(BC22="CUSTOM",BD22,"&lt;invalid connection&gt;")))),IF(BB22="EXIT",IF(BC22="LBS",IF(BD22&lt;&gt;"",BC22&amp;"_"&amp;B22&amp;"_To_"&amp;BD22&amp;"_"&amp;BV22,"&lt;missing other LB/group name&gt;"),IF(OR(BC22="RBT",BC22="OPR"),IF(BD22&lt;&gt;"",BD22&amp;"_"&amp;IF(BC22="OPR","start",IF(BG22&lt;&gt;"",BG22,BV22)),"&lt;missing unique identifier&gt;"),IF(BC22="CUSTOM",BD22,"&lt;invalid connection (sensor or key signal can't be exit)&gt;"))),"&lt;invalid entry/exit&gt;")))</f>
        <v>SxxFyyVMz:I.Data[2].0</v>
      </c>
      <c r="F22" s="4" t="str">
        <f t="shared" ref="F22" si="115">IF(BC22="CUSTOM",BE22,IF(OR(AND(BB22="ENTRY",OR(BC22="PLC",BC22="PSF")),AND(BB22="EXIT",OR(BC22="RBT",BC22="OPR"))),"Q","I"))</f>
        <v>I</v>
      </c>
      <c r="G22" s="4" t="str">
        <f t="shared" ref="G22" si="116">IF(Header_PLC_Type="S7-ADD",IF(OR(BC22="PSF",BC22="PLC"),IF(BY22&lt;&gt;"",IF(AT22="BOOL",BY22&amp;"."&amp;BZ22,BY22),"&lt;missing&gt;"),""),"")</f>
        <v/>
      </c>
      <c r="H22" s="4" t="str">
        <f t="shared" ref="H22" si="117">IF(OR(BC22="PLC",BC22="PSF"),IF(Header_PLC_Type="CLX",AY22&amp;CR22,IF(LEFT(Header_PLC_Type,2)="S7",AW22&amp;CE22,"&lt;invalid PLC type&gt;")),IF(Header_PLC_Type="CLX",IF(CR22&lt;&gt;"",CR22,""),IF(LEFT(Header_PLC_Type,2)="S7",IF(CE22&lt;&gt;"",CE22,""),"&lt;invalid PLC type&gt;")))</f>
        <v>Controller: &lt;SxxFyyVMz.D.b16&gt; - Error Module 0</v>
      </c>
      <c r="I22" s="4" t="str">
        <f t="shared" ref="I22" si="118">IF(OR(BC22="PLC",BC22="PSF"),BD22,IF(AND(BC22="CUSTOM",BF22&lt;&gt;""),BF22,""))</f>
        <v>AB_RACKx_SLOTa</v>
      </c>
      <c r="J22" s="4"/>
      <c r="K22" s="56" t="str">
        <f t="shared" ref="K22" si="119">AT22</f>
        <v>BOOL</v>
      </c>
      <c r="L22" s="56" t="str">
        <f t="shared" si="4"/>
        <v>TOOLING\SxxFyy</v>
      </c>
      <c r="M22" s="56" t="str">
        <f t="shared" si="5"/>
        <v>STELLANTIS\Common\ToolPrototype\Devices</v>
      </c>
      <c r="N22" s="56" t="str">
        <f t="shared" si="6"/>
        <v>STELLANTIS_EIP_VALVE_MANIFOLD_ENET_SxxFyyVMz.v00</v>
      </c>
      <c r="O22" s="56" t="str">
        <f t="shared" ref="O22" si="120">IF(AND(OR(BC22="SNS",BC22="OPR",BC22="RBT"),BF22&lt;&gt;""),BF22,IF(OR(BC22="PSF",BC22="PLC"),IF(BB22="ENTRY",IF(OR(ISLOGICAL(BF22),ISNUMBER(BF22)),LOWER(TEXT(BF22,"General")),IF((ISTEXT(BF22)),"CEE_To_VC_"&amp;BE22&amp;"_"&amp;BF22,"")),IF((ISTEXT(BF22)),"CEE_From_VC_"&amp;BE22&amp;"_"&amp;BF22,"")),IF(BC22="CUSTOM",IF(BH22&lt;&gt;"",BH22,""),"")))</f>
        <v/>
      </c>
      <c r="P22" s="56" t="str">
        <f t="shared" ref="P22" si="121">IF(OR(BC22="SNS",BC22="OPR"),IF(BG22&lt;&gt;"",BG22,""),IF(BC22="RBT",BD22,IF(BC22="CUSTOM",IF(BG22&lt;&gt;"",BG22,""),"")))</f>
        <v/>
      </c>
      <c r="Q22" s="56" t="str">
        <f t="shared" ref="Q22" si="122">IF(BC22="OPR",IF(BV22&lt;&gt;"",BV22,"NONSIM"),IF(BC22="RBT",IF(BH22&lt;&gt;"",BH22,""),IF(BC22="SNS",IF(BH22&lt;&gt;"",BH22,L22),IF(OR(BC22="PLC",BC22="PSF"),IF(BG22&lt;&gt;"",BG22,""),""))))</f>
        <v>SxxFyyVMz:</v>
      </c>
      <c r="R22" s="56" t="str">
        <f t="shared" ref="R22" si="123">IF(OR(BC22="PLC",BC22="PSF",BC22="OPR"),IF(BH22&lt;&gt;"",BH22,""),IF(BC22="RBT",IF(BI22&lt;&gt;"",BI22,""),IF(BC22="SNS",IF(BI22&lt;&gt;"",BI22,"PHOTOELECTRIC"),"")))</f>
        <v/>
      </c>
      <c r="S22" s="56" t="str">
        <f t="shared" ref="S22" si="124">IF(OR(BC22="PLC",BC22="PSF",BC22="OPR",AND(BC22="CUSTOM",OR(BU22="PLC",BU22="PSF"))),IF(BI22&lt;&gt;"",BI22,""),IF(BC22="SNS",IF(BJ22&lt;&gt;"",BJ22,""),""))</f>
        <v/>
      </c>
      <c r="T22" s="56" t="str">
        <f t="shared" ref="T22" si="125">IF(AND(Header_PLC_Type="CLX",BC22="PSF",BB22="EXIT"),CJ22&amp;CK22,IF(BC22="OPR",IF(BJ22&lt;&gt;"",BJ22,""),""))</f>
        <v/>
      </c>
      <c r="U22" s="56" t="str">
        <f t="shared" ref="U22" si="126">IF(OR(BC22="SNS",BC22="OPR"),IF(BK22&lt;&gt;"",BK22,""),"")</f>
        <v/>
      </c>
      <c r="V22" s="56" t="str">
        <f t="shared" ref="V22" si="127">IF(OR(BC22="SNS",BC22="OPR"),IF(BL22&lt;&gt;"",BL22,""),"")</f>
        <v/>
      </c>
      <c r="W22" s="56"/>
      <c r="X22" s="56"/>
      <c r="Y22" s="56"/>
      <c r="Z22" s="56" t="str">
        <f t="shared" ref="Z22" si="128">IF(BP22="","",BP22)</f>
        <v/>
      </c>
      <c r="AA22" s="56" t="str">
        <f t="shared" si="100"/>
        <v/>
      </c>
      <c r="AB22" s="56" t="str">
        <f t="shared" si="9"/>
        <v>ToolPrototype</v>
      </c>
      <c r="AC22" s="56" t="str">
        <f t="shared" ref="AC22" si="129">IF(ISBLANK(BT22),"","Optional")</f>
        <v/>
      </c>
      <c r="AD22" s="56" t="str">
        <f t="shared" si="10"/>
        <v/>
      </c>
      <c r="AE22" s="56" t="str">
        <f t="shared" si="11"/>
        <v/>
      </c>
      <c r="AF22" s="56" t="str">
        <f t="shared" si="12"/>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2" s="56" t="str">
        <f t="shared" si="13"/>
        <v/>
      </c>
      <c r="AH22" s="56" t="str">
        <f t="shared" si="14"/>
        <v/>
      </c>
      <c r="AI22" s="56" t="str">
        <f t="shared" si="15"/>
        <v/>
      </c>
      <c r="AJ22" s="56" t="str">
        <f t="shared" si="16"/>
        <v/>
      </c>
      <c r="AK22" s="56" t="str">
        <f t="shared" si="17"/>
        <v/>
      </c>
      <c r="AL22" s="56" t="str">
        <f t="shared" si="18"/>
        <v/>
      </c>
      <c r="AM22" s="56" t="str">
        <f t="shared" si="19"/>
        <v/>
      </c>
      <c r="AN22" s="56" t="str">
        <f t="shared" ref="AN22" si="130">IF(BR22&lt;&gt;"",BR22,"")</f>
        <v/>
      </c>
      <c r="AO22" s="56" t="str">
        <f t="shared" ref="AO22" si="131">IF(BS22&lt;&gt;"",BS22,"")</f>
        <v/>
      </c>
      <c r="AP22" s="56" t="str">
        <f t="shared" ref="AP22" si="132">IF(BC22&lt;&gt;"CUSTOM",BC22,BU22)</f>
        <v>PLC</v>
      </c>
      <c r="AQ22" s="56" t="str">
        <f t="shared" ref="AQ22" si="133">BB22</f>
        <v>EXIT</v>
      </c>
      <c r="AR22" s="39" t="s">
        <v>129</v>
      </c>
      <c r="AT22" s="44" t="str">
        <f t="shared" ref="AT22" si="134">IF(Header_PLC_Type="CLX",IF(CP22&lt;&gt;"",CP22,"&lt;noType&gt;"),IF(LEFT(Header_PLC_Type,2)="S7",IF(CD22&lt;&gt;"",CD22,"&lt;noType&gt;"),"&lt;noPLC&gt;"))</f>
        <v>BOOL</v>
      </c>
      <c r="AU22" s="23">
        <f t="shared" ref="AU22" si="135">IF(OR(BC22="PLC",BC22="PSF"),CA22,"")</f>
        <v>0</v>
      </c>
      <c r="AV22" s="23" t="str">
        <f t="shared" ref="AV22" si="136">IF(OR(BC22="PLC",BC22="PSF"),IF(AT22="BOOL",F22,IF(AT22="BYTE",F22&amp;"B",IF(OR(AT22="WORD",AT22="INT"),F22&amp;"W",IF(OR(AT22="DWORD",AT22="DINT",AT22="REAL"),F22&amp;"D","&lt;invalid&gt;")))),"")</f>
        <v>I</v>
      </c>
      <c r="AW22" s="23" t="str">
        <f t="shared" ref="AW22" si="137">IF(OR(BC22="PLC",BC22="PSF"),""&amp;AV22&amp;IF(AT22="BOOL",BY22&amp;"."&amp;BZ22,BY22)&amp; IF(CA22&lt;&gt;"",": &lt;"&amp;CA22&amp;"&gt; - ",": "),"")</f>
        <v xml:space="preserve">I.: </v>
      </c>
      <c r="AX22" s="23" t="str">
        <f t="shared" ref="AX22" si="138">IF(OR(BC22="PLC",BC22="PSF"),IF(AND(BB22="EXIT",BC22="PSF"),CH22&amp;SUBSTITUTE(CJ22,":","_")&amp;CK22,CJ22&amp;CK22),"")</f>
        <v>SxxFyyVMz:I.Data[2].0</v>
      </c>
      <c r="AY22" s="36" t="str">
        <f t="shared" ref="AY22" si="139">IF(OR(BC22="PLC",BC22="PSF"),IF(CM22&lt;&gt;"",CM22 &amp; ": &lt;" &amp; CN22&amp;CO22 &amp; "&gt; - ","Controller: &lt;"&amp;CJ22&amp;CK22&amp;"&gt; - "),"")</f>
        <v xml:space="preserve">Controller: &lt;SxxFyyVMz.D.b16&gt; - </v>
      </c>
      <c r="BB22" s="42" t="s">
        <v>18</v>
      </c>
      <c r="BC22" t="s">
        <v>17</v>
      </c>
      <c r="BD22" t="str">
        <f>Header_Config01</f>
        <v>AB_RACKx_SLOTa</v>
      </c>
      <c r="BG22" t="str">
        <f>SUBSTITUTE(Header_LB_Unique_ID,":","")&amp;":"</f>
        <v>SxxFyyVMz:</v>
      </c>
      <c r="BV22" s="30" t="s">
        <v>283</v>
      </c>
      <c r="BY22" s="42"/>
      <c r="CB22" s="42"/>
      <c r="CE22" s="30"/>
      <c r="CH22" s="42"/>
      <c r="CJ22" t="str">
        <f>SUBSTITUTE(Header_LB_Unique_ID,":","")&amp;":I."</f>
        <v>SxxFyyVMz:I.</v>
      </c>
      <c r="CK22" t="s">
        <v>284</v>
      </c>
      <c r="CM22" t="s">
        <v>74</v>
      </c>
      <c r="CN22" s="30" t="str">
        <f>SUBSTITUTE(Header_LB_Unique_ID,":","")&amp;".D."</f>
        <v>SxxFyyVMz.D.</v>
      </c>
      <c r="CO22" t="s">
        <v>286</v>
      </c>
      <c r="CP22" t="s">
        <v>12</v>
      </c>
      <c r="CQ22" s="40"/>
      <c r="CR22" s="30" t="s">
        <v>285</v>
      </c>
    </row>
    <row r="23" spans="2:96" x14ac:dyDescent="0.35">
      <c r="B23" s="4" t="str">
        <f t="shared" ref="B23" si="140">IF(LEN(BT23)=0,Header_LB_Name,"&lt;BLANK&gt;")</f>
        <v>VALVE_MANIFOLD_SxxFyyVMz</v>
      </c>
      <c r="C23" s="4"/>
      <c r="D23" s="4" t="str">
        <f t="shared" ref="D23" si="141">IF(BC23="CUSTOM",BV23,IF(BB23="ENTRY","From_",IF(BB23="EXIT","To_","&lt;invalid&gt;"))&amp;IF(OR(BC23="RBT",BC23="KEY",BC23="SNS"),IF(BE23="",BC23,BC23&amp;"_"&amp;BE23),IF(BC23="OPR",IF(BE23="",BC23&amp;"_"&amp;BD23,BC23&amp;"_"&amp;BE23),IF(BC23="LBS",IF(BE23="",BD23,BE23),BC23)))&amp;"_"&amp;IF(BC23="OPR",IF(BB23="ENTRY","end",IF(BB23="EXIT","start","&lt;invalid&gt;")),BV23))</f>
        <v>To_PLC_ModuleError1</v>
      </c>
      <c r="E23" s="4" t="str">
        <f t="shared" ref="E23" si="142">IF(OR(BC23="PLC",BC23="PSF"),IF(Header_PLC_Type="CLX",AX23,IF(LEFT(Header_PLC_Type,2)="S7",AU23,"&lt;invalid PLC type&gt;")),IF(BB23="ENTRY",IF(BC23="LBS",IF(BD23&lt;&gt;"",IF(BF23="",BC23&amp;"_"&amp;BD23&amp;"_To_"&amp;B23&amp;"_"&amp;BV23,BC23&amp;"_"&amp;BD23&amp;"_To_"&amp;BF23&amp;"_"&amp;BV23),"&lt;missing other LB/group name&gt;"),IF(OR(BC23="SNS",BC23="KEY"),IF(BD23&lt;&gt;"",BC23&amp;"_"&amp;BD23&amp;"_"&amp;BV23,"&lt;missing unique identifier&gt;"),IF(OR(BC23="RBT",BC23="OPR"),IF(BD23&lt;&gt;"",BD23&amp;"_"&amp;IF(BC23="OPR","end",IF(BG23&lt;&gt;"",BG23,BV23)),"&lt;missing unique identifier&gt;"),IF(BC23="CUSTOM",BD23,"&lt;invalid connection&gt;")))),IF(BB23="EXIT",IF(BC23="LBS",IF(BD23&lt;&gt;"",BC23&amp;"_"&amp;B23&amp;"_To_"&amp;BD23&amp;"_"&amp;BV23,"&lt;missing other LB/group name&gt;"),IF(OR(BC23="RBT",BC23="OPR"),IF(BD23&lt;&gt;"",BD23&amp;"_"&amp;IF(BC23="OPR","start",IF(BG23&lt;&gt;"",BG23,BV23)),"&lt;missing unique identifier&gt;"),IF(BC23="CUSTOM",BD23,"&lt;invalid connection (sensor or key signal can't be exit)&gt;"))),"&lt;invalid entry/exit&gt;")))</f>
        <v>SxxFyyVMz:I.Data[2].1</v>
      </c>
      <c r="F23" s="4" t="str">
        <f t="shared" ref="F23" si="143">IF(BC23="CUSTOM",BE23,IF(OR(AND(BB23="ENTRY",OR(BC23="PLC",BC23="PSF")),AND(BB23="EXIT",OR(BC23="RBT",BC23="OPR"))),"Q","I"))</f>
        <v>I</v>
      </c>
      <c r="G23" s="4" t="str">
        <f t="shared" ref="G23" si="144">IF(Header_PLC_Type="S7-ADD",IF(OR(BC23="PSF",BC23="PLC"),IF(BY23&lt;&gt;"",IF(AT23="BOOL",BY23&amp;"."&amp;BZ23,BY23),"&lt;missing&gt;"),""),"")</f>
        <v/>
      </c>
      <c r="H23" s="4" t="str">
        <f t="shared" ref="H23" si="145">IF(OR(BC23="PLC",BC23="PSF"),IF(Header_PLC_Type="CLX",AY23&amp;CR23,IF(LEFT(Header_PLC_Type,2)="S7",AW23&amp;CE23,"&lt;invalid PLC type&gt;")),IF(Header_PLC_Type="CLX",IF(CR23&lt;&gt;"",CR23,""),IF(LEFT(Header_PLC_Type,2)="S7",IF(CE23&lt;&gt;"",CE23,""),"&lt;invalid PLC type&gt;")))</f>
        <v>Controller: &lt;SxxFyyVMz.D.b17&gt; - Error Module 1</v>
      </c>
      <c r="I23" s="4" t="str">
        <f t="shared" ref="I23" si="146">IF(OR(BC23="PLC",BC23="PSF"),BD23,IF(AND(BC23="CUSTOM",BF23&lt;&gt;""),BF23,""))</f>
        <v>AB_RACKx_SLOTa</v>
      </c>
      <c r="J23" s="4"/>
      <c r="K23" s="56" t="str">
        <f t="shared" ref="K23" si="147">AT23</f>
        <v>BOOL</v>
      </c>
      <c r="L23" s="56" t="str">
        <f t="shared" si="4"/>
        <v>TOOLING\SxxFyy</v>
      </c>
      <c r="M23" s="56" t="str">
        <f t="shared" si="5"/>
        <v>STELLANTIS\Common\ToolPrototype\Devices</v>
      </c>
      <c r="N23" s="56" t="str">
        <f t="shared" si="6"/>
        <v>STELLANTIS_EIP_VALVE_MANIFOLD_ENET_SxxFyyVMz.v00</v>
      </c>
      <c r="O23" s="56" t="str">
        <f t="shared" ref="O23" si="148">IF(AND(OR(BC23="SNS",BC23="OPR",BC23="RBT"),BF23&lt;&gt;""),BF23,IF(OR(BC23="PSF",BC23="PLC"),IF(BB23="ENTRY",IF(OR(ISLOGICAL(BF23),ISNUMBER(BF23)),LOWER(TEXT(BF23,"General")),IF((ISTEXT(BF23)),"CEE_To_VC_"&amp;BE23&amp;"_"&amp;BF23,"")),IF((ISTEXT(BF23)),"CEE_From_VC_"&amp;BE23&amp;"_"&amp;BF23,"")),IF(BC23="CUSTOM",IF(BH23&lt;&gt;"",BH23,""),"")))</f>
        <v/>
      </c>
      <c r="P23" s="56" t="str">
        <f t="shared" ref="P23" si="149">IF(OR(BC23="SNS",BC23="OPR"),IF(BG23&lt;&gt;"",BG23,""),IF(BC23="RBT",BD23,IF(BC23="CUSTOM",IF(BG23&lt;&gt;"",BG23,""),"")))</f>
        <v/>
      </c>
      <c r="Q23" s="56" t="str">
        <f t="shared" ref="Q23" si="150">IF(BC23="OPR",IF(BV23&lt;&gt;"",BV23,"NONSIM"),IF(BC23="RBT",IF(BH23&lt;&gt;"",BH23,""),IF(BC23="SNS",IF(BH23&lt;&gt;"",BH23,L23),IF(OR(BC23="PLC",BC23="PSF"),IF(BG23&lt;&gt;"",BG23,""),""))))</f>
        <v>SxxFyyVMz:</v>
      </c>
      <c r="R23" s="56" t="str">
        <f t="shared" ref="R23" si="151">IF(OR(BC23="PLC",BC23="PSF",BC23="OPR"),IF(BH23&lt;&gt;"",BH23,""),IF(BC23="RBT",IF(BI23&lt;&gt;"",BI23,""),IF(BC23="SNS",IF(BI23&lt;&gt;"",BI23,"PHOTOELECTRIC"),"")))</f>
        <v/>
      </c>
      <c r="S23" s="56" t="str">
        <f t="shared" ref="S23" si="152">IF(OR(BC23="PLC",BC23="PSF",BC23="OPR",AND(BC23="CUSTOM",OR(BU23="PLC",BU23="PSF"))),IF(BI23&lt;&gt;"",BI23,""),IF(BC23="SNS",IF(BJ23&lt;&gt;"",BJ23,""),""))</f>
        <v/>
      </c>
      <c r="T23" s="56" t="str">
        <f t="shared" ref="T23" si="153">IF(AND(Header_PLC_Type="CLX",BC23="PSF",BB23="EXIT"),CJ23&amp;CK23,IF(BC23="OPR",IF(BJ23&lt;&gt;"",BJ23,""),""))</f>
        <v/>
      </c>
      <c r="U23" s="56" t="str">
        <f t="shared" ref="U23" si="154">IF(OR(BC23="SNS",BC23="OPR"),IF(BK23&lt;&gt;"",BK23,""),"")</f>
        <v/>
      </c>
      <c r="V23" s="56" t="str">
        <f t="shared" ref="V23" si="155">IF(OR(BC23="SNS",BC23="OPR"),IF(BL23&lt;&gt;"",BL23,""),"")</f>
        <v/>
      </c>
      <c r="W23" s="56"/>
      <c r="X23" s="56"/>
      <c r="Y23" s="56"/>
      <c r="Z23" s="56" t="str">
        <f t="shared" ref="Z23" si="156">IF(BP23="","",BP23)</f>
        <v/>
      </c>
      <c r="AA23" s="56" t="str">
        <f t="shared" ref="AA23" si="157">IF($BQ23="","",$BQ23)</f>
        <v/>
      </c>
      <c r="AB23" s="56" t="str">
        <f t="shared" si="9"/>
        <v>ToolPrototype</v>
      </c>
      <c r="AC23" s="56" t="str">
        <f t="shared" ref="AC23" si="158">IF(ISBLANK(BT23),"","Optional")</f>
        <v/>
      </c>
      <c r="AD23" s="56" t="str">
        <f t="shared" si="10"/>
        <v/>
      </c>
      <c r="AE23" s="56" t="str">
        <f t="shared" si="11"/>
        <v/>
      </c>
      <c r="AF23" s="56" t="str">
        <f t="shared" si="12"/>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3" s="56" t="str">
        <f t="shared" si="13"/>
        <v/>
      </c>
      <c r="AH23" s="56" t="str">
        <f t="shared" si="14"/>
        <v/>
      </c>
      <c r="AI23" s="56" t="str">
        <f t="shared" si="15"/>
        <v/>
      </c>
      <c r="AJ23" s="56" t="str">
        <f t="shared" si="16"/>
        <v/>
      </c>
      <c r="AK23" s="56" t="str">
        <f t="shared" si="17"/>
        <v/>
      </c>
      <c r="AL23" s="56" t="str">
        <f t="shared" si="18"/>
        <v/>
      </c>
      <c r="AM23" s="56" t="str">
        <f t="shared" si="19"/>
        <v/>
      </c>
      <c r="AN23" s="56" t="str">
        <f t="shared" ref="AN23" si="159">IF(BR23&lt;&gt;"",BR23,"")</f>
        <v/>
      </c>
      <c r="AO23" s="56" t="str">
        <f t="shared" ref="AO23" si="160">IF(BS23&lt;&gt;"",BS23,"")</f>
        <v/>
      </c>
      <c r="AP23" s="56" t="str">
        <f t="shared" ref="AP23" si="161">IF(BC23&lt;&gt;"CUSTOM",BC23,BU23)</f>
        <v>PLC</v>
      </c>
      <c r="AQ23" s="56" t="str">
        <f t="shared" ref="AQ23" si="162">BB23</f>
        <v>EXIT</v>
      </c>
      <c r="AR23" s="39" t="s">
        <v>129</v>
      </c>
      <c r="AT23" s="44" t="str">
        <f t="shared" ref="AT23" si="163">IF(Header_PLC_Type="CLX",IF(CP23&lt;&gt;"",CP23,"&lt;noType&gt;"),IF(LEFT(Header_PLC_Type,2)="S7",IF(CD23&lt;&gt;"",CD23,"&lt;noType&gt;"),"&lt;noPLC&gt;"))</f>
        <v>BOOL</v>
      </c>
      <c r="AU23" s="23">
        <f t="shared" ref="AU23" si="164">IF(OR(BC23="PLC",BC23="PSF"),CA23,"")</f>
        <v>0</v>
      </c>
      <c r="AV23" s="23" t="str">
        <f t="shared" ref="AV23" si="165">IF(OR(BC23="PLC",BC23="PSF"),IF(AT23="BOOL",F23,IF(AT23="BYTE",F23&amp;"B",IF(OR(AT23="WORD",AT23="INT"),F23&amp;"W",IF(OR(AT23="DWORD",AT23="DINT",AT23="REAL"),F23&amp;"D","&lt;invalid&gt;")))),"")</f>
        <v>I</v>
      </c>
      <c r="AW23" s="23" t="str">
        <f t="shared" ref="AW23" si="166">IF(OR(BC23="PLC",BC23="PSF"),""&amp;AV23&amp;IF(AT23="BOOL",BY23&amp;"."&amp;BZ23,BY23)&amp; IF(CA23&lt;&gt;"",": &lt;"&amp;CA23&amp;"&gt; - ",": "),"")</f>
        <v xml:space="preserve">I.: </v>
      </c>
      <c r="AX23" s="23" t="str">
        <f t="shared" ref="AX23" si="167">IF(OR(BC23="PLC",BC23="PSF"),IF(AND(BB23="EXIT",BC23="PSF"),CH23&amp;SUBSTITUTE(CJ23,":","_")&amp;CK23,CJ23&amp;CK23),"")</f>
        <v>SxxFyyVMz:I.Data[2].1</v>
      </c>
      <c r="AY23" s="36" t="str">
        <f t="shared" ref="AY23" si="168">IF(OR(BC23="PLC",BC23="PSF"),IF(CM23&lt;&gt;"",CM23 &amp; ": &lt;" &amp; CN23&amp;CO23 &amp; "&gt; - ","Controller: &lt;"&amp;CJ23&amp;CK23&amp;"&gt; - "),"")</f>
        <v xml:space="preserve">Controller: &lt;SxxFyyVMz.D.b17&gt; - </v>
      </c>
      <c r="BB23" s="42" t="s">
        <v>18</v>
      </c>
      <c r="BC23" t="s">
        <v>17</v>
      </c>
      <c r="BD23" t="str">
        <f>Header_Config01</f>
        <v>AB_RACKx_SLOTa</v>
      </c>
      <c r="BG23" t="str">
        <f>SUBSTITUTE(Header_LB_Unique_ID,":","")&amp;":"</f>
        <v>SxxFyyVMz:</v>
      </c>
      <c r="BV23" s="30" t="s">
        <v>277</v>
      </c>
      <c r="BY23" s="42"/>
      <c r="CB23" s="42"/>
      <c r="CE23" s="30"/>
      <c r="CH23" s="42"/>
      <c r="CJ23" t="str">
        <f>SUBSTITUTE(Header_LB_Unique_ID,":","")&amp;":I."</f>
        <v>SxxFyyVMz:I.</v>
      </c>
      <c r="CK23" t="s">
        <v>21</v>
      </c>
      <c r="CM23" t="s">
        <v>74</v>
      </c>
      <c r="CN23" s="30" t="str">
        <f>SUBSTITUTE(Header_LB_Unique_ID,":","")&amp;".D."</f>
        <v>SxxFyyVMz.D.</v>
      </c>
      <c r="CO23" t="s">
        <v>248</v>
      </c>
      <c r="CP23" t="s">
        <v>12</v>
      </c>
      <c r="CQ23" s="40"/>
      <c r="CR23" s="30" t="s">
        <v>278</v>
      </c>
    </row>
    <row r="24" spans="2:96" x14ac:dyDescent="0.35">
      <c r="B24" s="4" t="str">
        <f t="shared" ref="B24:B27" si="169">IF(LEN(BT24)=0,Header_LB_Name,"&lt;BLANK&gt;")</f>
        <v>VALVE_MANIFOLD_SxxFyyVMz</v>
      </c>
      <c r="C24" s="4"/>
      <c r="D24" s="4" t="str">
        <f t="shared" ref="D24:D27" si="170">IF(BC24="CUSTOM",BV24,IF(BB24="ENTRY","From_",IF(BB24="EXIT","To_","&lt;invalid&gt;"))&amp;IF(OR(BC24="RBT",BC24="KEY",BC24="SNS"),IF(BE24="",BC24,BC24&amp;"_"&amp;BE24),IF(BC24="OPR",IF(BE24="",BC24&amp;"_"&amp;BD24,BC24&amp;"_"&amp;BE24),IF(BC24="LBS",IF(BE24="",BD24,BE24),BC24)))&amp;"_"&amp;IF(BC24="OPR",IF(BB24="ENTRY","end",IF(BB24="EXIT","start","&lt;invalid&gt;")),BV24))</f>
        <v>To_PLC_EntryStatus</v>
      </c>
      <c r="E24" s="4" t="str">
        <f t="shared" ref="E24:E27" si="171">IF(OR(BC24="PLC",BC24="PSF"),IF(Header_PLC_Type="CLX",AX24,IF(LEFT(Header_PLC_Type,2)="S7",AU24,"&lt;invalid PLC type&gt;")),IF(BB24="ENTRY",IF(BC24="LBS",IF(BD24&lt;&gt;"",IF(BF24="",BC24&amp;"_"&amp;BD24&amp;"_To_"&amp;B24&amp;"_"&amp;BV24,BC24&amp;"_"&amp;BD24&amp;"_To_"&amp;BF24&amp;"_"&amp;BV24),"&lt;missing other LB/group name&gt;"),IF(OR(BC24="SNS",BC24="KEY"),IF(BD24&lt;&gt;"",BC24&amp;"_"&amp;BD24&amp;"_"&amp;BV24,"&lt;missing unique identifier&gt;"),IF(OR(BC24="RBT",BC24="OPR"),IF(BD24&lt;&gt;"",BD24&amp;"_"&amp;IF(BC24="OPR","end",IF(BG24&lt;&gt;"",BG24,BV24)),"&lt;missing unique identifier&gt;"),IF(BC24="CUSTOM",BD24,"&lt;invalid connection&gt;")))),IF(BB24="EXIT",IF(BC24="LBS",IF(BD24&lt;&gt;"",BC24&amp;"_"&amp;B24&amp;"_To_"&amp;BD24&amp;"_"&amp;BV24,"&lt;missing other LB/group name&gt;"),IF(OR(BC24="RBT",BC24="OPR"),IF(BD24&lt;&gt;"",BD24&amp;"_"&amp;IF(BC24="OPR","start",IF(BG24&lt;&gt;"",BG24,BV24)),"&lt;missing unique identifier&gt;"),IF(BC24="CUSTOM",BD24,"&lt;invalid connection (sensor or key signal can't be exit)&gt;"))),"&lt;invalid entry/exit&gt;")))</f>
        <v>ENET_STAT_4thSYS_ID[126].EntryStatus</v>
      </c>
      <c r="F24" s="4" t="str">
        <f t="shared" ref="F24:F27" si="172">IF(BC24="CUSTOM",BE24,IF(OR(AND(BB24="ENTRY",OR(BC24="PLC",BC24="PSF")),AND(BB24="EXIT",OR(BC24="RBT",BC24="OPR"))),"Q","I"))</f>
        <v>I</v>
      </c>
      <c r="G24" s="4" t="str">
        <f t="shared" ref="G24:G27" si="173">IF(Header_PLC_Type="S7-ADD",IF(OR(BC24="PSF",BC24="PLC"),IF(BY24&lt;&gt;"",IF(AT24="BOOL",BY24&amp;"."&amp;BZ24,BY24),"&lt;missing&gt;"),""),"")</f>
        <v/>
      </c>
      <c r="H24" s="4" t="str">
        <f t="shared" ref="H24:H27" si="174">IF(OR(BC24="PLC",BC24="PSF"),IF(Header_PLC_Type="CLX",AY24&amp;CR24,IF(LEFT(Header_PLC_Type,2)="S7",AW24&amp;CE24,"&lt;invalid PLC type&gt;")),IF(Header_PLC_Type="CLX",IF(CR24&lt;&gt;"",CR24,""),IF(LEFT(Header_PLC_Type,2)="S7",IF(CE24&lt;&gt;"",CE24,""),"&lt;invalid PLC type&gt;")))</f>
        <v>Controller: &lt;ENET_STAT_4thSYS_ID[126].EntryStatus&gt; - SxxFyyVMz Module Entry Status</v>
      </c>
      <c r="I24" s="4" t="str">
        <f t="shared" ref="I24:I27" si="175">IF(OR(BC24="PLC",BC24="PSF"),BD24,IF(AND(BC24="CUSTOM",BF24&lt;&gt;""),BF24,""))</f>
        <v>AB_RACKx_SLOTa</v>
      </c>
      <c r="J24" s="4"/>
      <c r="K24" s="56" t="str">
        <f t="shared" ref="K24:K27" si="176">AT24</f>
        <v>INT</v>
      </c>
      <c r="L24" s="56" t="str">
        <f t="shared" ref="L24:L29" si="177">Header_Resource_Compound</f>
        <v>TOOLING\SxxFyy</v>
      </c>
      <c r="M24" s="56" t="str">
        <f t="shared" ref="M24:M29" si="178">Header_Sysroot_Folder</f>
        <v>STELLANTIS\Common\ToolPrototype\Devices</v>
      </c>
      <c r="N24" s="56" t="str">
        <f t="shared" ref="N24:N29" si="179">Header_COJT_Full_Name</f>
        <v>STELLANTIS_EIP_VALVE_MANIFOLD_ENET_SxxFyyVMz.v00</v>
      </c>
      <c r="O24" s="56" t="str">
        <f t="shared" ref="O24:O27" si="180">IF(AND(OR(BC24="SNS",BC24="OPR",BC24="RBT"),BF24&lt;&gt;""),BF24,IF(OR(BC24="PSF",BC24="PLC"),IF(BB24="ENTRY",IF(OR(ISLOGICAL(BF24),ISNUMBER(BF24)),LOWER(TEXT(BF24,"General")),IF((ISTEXT(BF24)),"CEE_To_VC_"&amp;BE24&amp;"_"&amp;BF24,"")),IF((ISTEXT(BF24)),"CEE_From_VC_"&amp;BE24&amp;"_"&amp;BF24,"")),IF(BC24="CUSTOM",IF(BH24&lt;&gt;"",BH24,""),"")))</f>
        <v/>
      </c>
      <c r="P24" s="56" t="str">
        <f t="shared" ref="P24:P27" si="181">IF(OR(BC24="SNS",BC24="OPR"),IF(BG24&lt;&gt;"",BG24,""),IF(BC24="RBT",BD24,IF(BC24="CUSTOM",IF(BG24&lt;&gt;"",BG24,""),"")))</f>
        <v/>
      </c>
      <c r="Q24" s="56" t="str">
        <f t="shared" ref="Q24:Q27" si="182">IF(BC24="OPR",IF(BV24&lt;&gt;"",BV24,"NONSIM"),IF(BC24="RBT",IF(BH24&lt;&gt;"",BH24,""),IF(BC24="SNS",IF(BH24&lt;&gt;"",BH24,L24),IF(OR(BC24="PLC",BC24="PSF"),IF(BG24&lt;&gt;"",BG24,""),""))))</f>
        <v/>
      </c>
      <c r="R24" s="56" t="str">
        <f t="shared" ref="R24:R27" si="183">IF(OR(BC24="PLC",BC24="PSF",BC24="OPR"),IF(BH24&lt;&gt;"",BH24,""),IF(BC24="RBT",IF(BI24&lt;&gt;"",BI24,""),IF(BC24="SNS",IF(BI24&lt;&gt;"",BI24,"PHOTOELECTRIC"),"")))</f>
        <v/>
      </c>
      <c r="S24" s="56" t="str">
        <f t="shared" ref="S24:S27" si="184">IF(OR(BC24="PLC",BC24="PSF",BC24="OPR",AND(BC24="CUSTOM",OR(BU24="PLC",BU24="PSF"))),IF(BI24&lt;&gt;"",BI24,""),IF(BC24="SNS",IF(BJ24&lt;&gt;"",BJ24,""),""))</f>
        <v/>
      </c>
      <c r="T24" s="56" t="str">
        <f t="shared" ref="T24:T27" si="185">IF(AND(Header_PLC_Type="CLX",BC24="PSF",BB24="EXIT"),CJ24&amp;CK24,IF(BC24="OPR",IF(BJ24&lt;&gt;"",BJ24,""),""))</f>
        <v/>
      </c>
      <c r="U24" s="56" t="str">
        <f t="shared" ref="U24:U27" si="186">IF(OR(BC24="SNS",BC24="OPR"),IF(BK24&lt;&gt;"",BK24,""),"")</f>
        <v/>
      </c>
      <c r="V24" s="56" t="str">
        <f t="shared" ref="V24:V27" si="187">IF(OR(BC24="SNS",BC24="OPR"),IF(BL24&lt;&gt;"",BL24,""),"")</f>
        <v/>
      </c>
      <c r="W24" s="56"/>
      <c r="X24" s="56"/>
      <c r="Y24" s="56"/>
      <c r="Z24" s="56" t="str">
        <f t="shared" ref="Z24:Z27" si="188">IF(BP24="","",BP24)</f>
        <v/>
      </c>
      <c r="AA24" s="56" t="str">
        <f t="shared" ref="AA24:AA29" si="189">IF($BQ24="","",$BQ24)</f>
        <v/>
      </c>
      <c r="AB24" s="56" t="str">
        <f t="shared" ref="AB24:AB29" si="190">IF(Header_COJT_Type_Definition="","ToolPrototype",Header_COJT_Type_Definition)</f>
        <v>ToolPrototype</v>
      </c>
      <c r="AC24" s="56" t="str">
        <f t="shared" ref="AC24:AC27" si="191">IF(ISBLANK(BT24),"","Optional")</f>
        <v/>
      </c>
      <c r="AD24" s="56" t="str">
        <f t="shared" ref="AD24:AD29" si="192">IF(Export_VC_Forms="","",Export_VC_Forms)</f>
        <v/>
      </c>
      <c r="AE24" s="56" t="str">
        <f t="shared" ref="AE24:AE29" si="193">IF(Export_Setup_Tracker="","",Export_Setup_Tracker)</f>
        <v/>
      </c>
      <c r="AF24" s="56" t="str">
        <f t="shared" ref="AF24:AF29" si="194">IF(Export_Validation_Tracker="","",Export_Validation_Tracker)</f>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4" s="56" t="str">
        <f t="shared" ref="AG24:AG29" si="195">IF(Export_Spare_04="","",Export_Spare_04)</f>
        <v/>
      </c>
      <c r="AH24" s="56" t="str">
        <f t="shared" ref="AH24:AH29" si="196">IF(Export_Spare_05="","",Export_Spare_05)</f>
        <v/>
      </c>
      <c r="AI24" s="56" t="str">
        <f t="shared" ref="AI24:AI29" si="197">IF(Export_Spare_06="","",Export_Spare_06)</f>
        <v/>
      </c>
      <c r="AJ24" s="56" t="str">
        <f t="shared" ref="AJ24:AJ29" si="198">IF(Export_Spare_07="","",Export_Spare_07)</f>
        <v/>
      </c>
      <c r="AK24" s="56" t="str">
        <f t="shared" ref="AK24:AK29" si="199">IF(Export_Spare_08="","",Export_Spare_08)</f>
        <v/>
      </c>
      <c r="AL24" s="56" t="str">
        <f t="shared" ref="AL24:AL29" si="200">IF(Export_Spare_09="","",Export_Spare_09)</f>
        <v/>
      </c>
      <c r="AM24" s="56" t="str">
        <f t="shared" ref="AM24:AM29" si="201">IF(Export_Spare_10="","",Export_Spare_10)</f>
        <v/>
      </c>
      <c r="AN24" s="56" t="str">
        <f t="shared" ref="AN24:AN27" si="202">IF(BR24&lt;&gt;"",BR24,"")</f>
        <v/>
      </c>
      <c r="AO24" s="56" t="str">
        <f t="shared" ref="AO24:AO27" si="203">IF(BS24&lt;&gt;"",BS24,"")</f>
        <v/>
      </c>
      <c r="AP24" s="56" t="str">
        <f t="shared" ref="AP24:AP27" si="204">IF(BC24&lt;&gt;"CUSTOM",BC24,BU24)</f>
        <v>PLC</v>
      </c>
      <c r="AQ24" s="56" t="str">
        <f t="shared" ref="AQ24:AQ27" si="205">BB24</f>
        <v>EXIT</v>
      </c>
      <c r="AR24" s="39" t="s">
        <v>129</v>
      </c>
      <c r="AT24" s="44" t="str">
        <f t="shared" ref="AT24:AT27" si="206">IF(Header_PLC_Type="CLX",IF(CP24&lt;&gt;"",CP24,"&lt;noType&gt;"),IF(LEFT(Header_PLC_Type,2)="S7",IF(CD24&lt;&gt;"",CD24,"&lt;noType&gt;"),"&lt;noPLC&gt;"))</f>
        <v>INT</v>
      </c>
      <c r="AU24" s="23">
        <f t="shared" ref="AU24:AU27" si="207">IF(OR(BC24="PLC",BC24="PSF"),CA24,"")</f>
        <v>0</v>
      </c>
      <c r="AV24" s="23" t="str">
        <f t="shared" ref="AV24:AV27" si="208">IF(OR(BC24="PLC",BC24="PSF"),IF(AT24="BOOL",F24,IF(AT24="BYTE",F24&amp;"B",IF(OR(AT24="WORD",AT24="INT"),F24&amp;"W",IF(OR(AT24="DWORD",AT24="DINT",AT24="REAL"),F24&amp;"D","&lt;invalid&gt;")))),"")</f>
        <v>IW</v>
      </c>
      <c r="AW24" s="23" t="str">
        <f t="shared" ref="AW24:AW27" si="209">IF(OR(BC24="PLC",BC24="PSF"),""&amp;AV24&amp;IF(AT24="BOOL",BY24&amp;"."&amp;BZ24,BY24)&amp; IF(CA24&lt;&gt;"",": &lt;"&amp;CA24&amp;"&gt; - ",": "),"")</f>
        <v xml:space="preserve">IW: </v>
      </c>
      <c r="AX24" s="23" t="str">
        <f t="shared" ref="AX24:AX27" si="210">IF(OR(BC24="PLC",BC24="PSF"),IF(AND(BB24="EXIT",BC24="PSF"),CH24&amp;SUBSTITUTE(CJ24,":","_")&amp;CK24,CJ24&amp;CK24),"")</f>
        <v>ENET_STAT_4thSYS_ID[126].EntryStatus</v>
      </c>
      <c r="AY24" s="36" t="str">
        <f t="shared" ref="AY24:AY27" si="211">IF(OR(BC24="PLC",BC24="PSF"),IF(CM24&lt;&gt;"",CM24 &amp; ": &lt;" &amp; CN24&amp;CO24 &amp; "&gt; - ","Controller: &lt;"&amp;CJ24&amp;CK24&amp;"&gt; - "),"")</f>
        <v xml:space="preserve">Controller: &lt;ENET_STAT_4thSYS_ID[126].EntryStatus&gt; - </v>
      </c>
      <c r="BB24" s="42" t="s">
        <v>18</v>
      </c>
      <c r="BC24" t="s">
        <v>17</v>
      </c>
      <c r="BD24" t="str">
        <f>Header_Config01</f>
        <v>AB_RACKx_SLOTa</v>
      </c>
      <c r="BV24" s="30" t="s">
        <v>266</v>
      </c>
      <c r="BY24" s="42"/>
      <c r="CB24" s="42"/>
      <c r="CE24" s="30"/>
      <c r="CH24" s="42"/>
      <c r="CJ24" t="str">
        <f>CN24</f>
        <v>ENET_STAT_4thSYS_ID[126].</v>
      </c>
      <c r="CK24" t="str">
        <f>CO24</f>
        <v>EntryStatus</v>
      </c>
      <c r="CM24" t="s">
        <v>74</v>
      </c>
      <c r="CN24" s="30" t="str">
        <f>IF(LEFT(Header_Config01,3)="OPC","_"&amp;Header_Config01&amp;"_","")&amp;"ENET_STAT_"&amp;LEFT(Header_Config02,FIND(":",Header_Config02)-1)&amp;"SYS_ID["&amp;MID(Header_Config02,FIND(":",Header_Config02)+1,3)&amp;"]."</f>
        <v>ENET_STAT_4thSYS_ID[126].</v>
      </c>
      <c r="CO24" t="s">
        <v>266</v>
      </c>
      <c r="CP24" t="s">
        <v>98</v>
      </c>
      <c r="CQ24" s="40"/>
      <c r="CR24" s="30" t="str">
        <f>SUBSTITUTE(Header_LB_Unique_ID,":","")&amp;" Module Entry Status"</f>
        <v>SxxFyyVMz Module Entry Status</v>
      </c>
    </row>
    <row r="25" spans="2:96" x14ac:dyDescent="0.35">
      <c r="B25" s="4" t="str">
        <f t="shared" si="169"/>
        <v>VALVE_MANIFOLD_SxxFyyVMz</v>
      </c>
      <c r="C25" s="4"/>
      <c r="D25" s="4" t="str">
        <f t="shared" si="170"/>
        <v>To_PLC_SwitchPort</v>
      </c>
      <c r="E25" s="4" t="str">
        <f t="shared" si="171"/>
        <v>SxxESWy:I.Data[6].0</v>
      </c>
      <c r="F25" s="4" t="str">
        <f t="shared" si="172"/>
        <v>I</v>
      </c>
      <c r="G25" s="4" t="str">
        <f t="shared" si="173"/>
        <v/>
      </c>
      <c r="H25" s="4" t="str">
        <f t="shared" si="174"/>
        <v>Controller: &lt;SxxESWy.I1.16&gt; - Ethernet Switch SxxESWy Port 17 (SxxFyyVMz)</v>
      </c>
      <c r="I25" s="4" t="str">
        <f t="shared" si="175"/>
        <v>AB_RACKx_SLOTa</v>
      </c>
      <c r="J25" s="4"/>
      <c r="K25" s="56" t="str">
        <f t="shared" si="176"/>
        <v>BOOL</v>
      </c>
      <c r="L25" s="56" t="str">
        <f t="shared" si="177"/>
        <v>TOOLING\SxxFyy</v>
      </c>
      <c r="M25" s="56" t="str">
        <f t="shared" si="178"/>
        <v>STELLANTIS\Common\ToolPrototype\Devices</v>
      </c>
      <c r="N25" s="56" t="str">
        <f t="shared" si="179"/>
        <v>STELLANTIS_EIP_VALVE_MANIFOLD_ENET_SxxFyyVMz.v00</v>
      </c>
      <c r="O25" s="56" t="str">
        <f t="shared" si="180"/>
        <v/>
      </c>
      <c r="P25" s="56" t="str">
        <f t="shared" si="181"/>
        <v/>
      </c>
      <c r="Q25" s="56" t="str">
        <f t="shared" si="182"/>
        <v/>
      </c>
      <c r="R25" s="56" t="str">
        <f t="shared" si="183"/>
        <v/>
      </c>
      <c r="S25" s="56" t="str">
        <f t="shared" si="184"/>
        <v/>
      </c>
      <c r="T25" s="56" t="str">
        <f t="shared" si="185"/>
        <v/>
      </c>
      <c r="U25" s="56" t="str">
        <f t="shared" si="186"/>
        <v/>
      </c>
      <c r="V25" s="56" t="str">
        <f t="shared" si="187"/>
        <v/>
      </c>
      <c r="W25" s="56"/>
      <c r="X25" s="56"/>
      <c r="Y25" s="56"/>
      <c r="Z25" s="56" t="str">
        <f t="shared" si="188"/>
        <v/>
      </c>
      <c r="AA25" s="56" t="str">
        <f t="shared" si="189"/>
        <v/>
      </c>
      <c r="AB25" s="56" t="str">
        <f t="shared" si="190"/>
        <v>ToolPrototype</v>
      </c>
      <c r="AC25" s="56" t="str">
        <f t="shared" si="191"/>
        <v>Optional</v>
      </c>
      <c r="AD25" s="56" t="str">
        <f t="shared" si="192"/>
        <v/>
      </c>
      <c r="AE25" s="56" t="str">
        <f t="shared" si="193"/>
        <v/>
      </c>
      <c r="AF25" s="56" t="str">
        <f t="shared" si="194"/>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5" s="56" t="str">
        <f t="shared" si="195"/>
        <v/>
      </c>
      <c r="AH25" s="56" t="str">
        <f t="shared" si="196"/>
        <v/>
      </c>
      <c r="AI25" s="56" t="str">
        <f t="shared" si="197"/>
        <v/>
      </c>
      <c r="AJ25" s="56" t="str">
        <f t="shared" si="198"/>
        <v/>
      </c>
      <c r="AK25" s="56" t="str">
        <f t="shared" si="199"/>
        <v/>
      </c>
      <c r="AL25" s="56" t="str">
        <f t="shared" si="200"/>
        <v/>
      </c>
      <c r="AM25" s="56" t="str">
        <f t="shared" si="201"/>
        <v/>
      </c>
      <c r="AN25" s="56" t="str">
        <f t="shared" si="202"/>
        <v/>
      </c>
      <c r="AO25" s="56" t="str">
        <f t="shared" si="203"/>
        <v/>
      </c>
      <c r="AP25" s="56" t="str">
        <f t="shared" si="204"/>
        <v>PLC</v>
      </c>
      <c r="AQ25" s="56" t="str">
        <f t="shared" si="205"/>
        <v>EXIT</v>
      </c>
      <c r="AR25" s="39" t="s">
        <v>129</v>
      </c>
      <c r="AT25" s="44" t="str">
        <f t="shared" si="206"/>
        <v>BOOL</v>
      </c>
      <c r="AU25" s="23">
        <f t="shared" si="207"/>
        <v>0</v>
      </c>
      <c r="AV25" s="23" t="str">
        <f t="shared" si="208"/>
        <v>I</v>
      </c>
      <c r="AW25" s="23" t="str">
        <f t="shared" si="209"/>
        <v xml:space="preserve">I.: </v>
      </c>
      <c r="AX25" s="23" t="str">
        <f t="shared" si="210"/>
        <v>SxxESWy:I.Data[6].0</v>
      </c>
      <c r="AY25" s="36" t="str">
        <f t="shared" si="211"/>
        <v xml:space="preserve">Controller: &lt;SxxESWy.I1.16&gt; - </v>
      </c>
      <c r="BB25" s="42" t="s">
        <v>18</v>
      </c>
      <c r="BC25" t="s">
        <v>17</v>
      </c>
      <c r="BD25" t="str">
        <f>Header_Config01</f>
        <v>AB_RACKx_SLOTa</v>
      </c>
      <c r="BT25" t="str">
        <f>IF(ISNUMBER(FIND(":",Header_Config03)),"","X")</f>
        <v/>
      </c>
      <c r="BV25" s="30" t="s">
        <v>267</v>
      </c>
      <c r="BY25" s="42"/>
      <c r="CB25" s="42"/>
      <c r="CE25" s="30"/>
      <c r="CH25" s="42"/>
      <c r="CJ25" t="str">
        <f>LEFT(Header_Config03,FIND(":",Header_Config03)-1)&amp;":I.Data["&amp;DEC2OCT(CO25/8)+4&amp;"]."</f>
        <v>SxxESWy:I.Data[6].</v>
      </c>
      <c r="CK25" t="str">
        <f>DEC2OCT(CO25-(DEC2OCT(CO25/8)*8))</f>
        <v>0</v>
      </c>
      <c r="CM25" t="s">
        <v>74</v>
      </c>
      <c r="CN25" s="30" t="str">
        <f>LEFT(Header_Config03,FIND(":",Header_Config03)-1)&amp;".I1."</f>
        <v>SxxESWy.I1.</v>
      </c>
      <c r="CO25">
        <f>IF(ISNUMBER(SEARCH(":P",Header_Config03)),MID(Header_Config03,SEARCH(":P",Header_Config03)+2,3)-1,MID(Header_Config03,FIND(":",Header_Config03)+1,3)-1)</f>
        <v>16</v>
      </c>
      <c r="CP25" t="s">
        <v>12</v>
      </c>
      <c r="CQ25" s="40"/>
      <c r="CR25" s="30" t="str">
        <f>"Ethernet Switch "&amp;LEFT(Header_Config03,FIND(":",Header_Config03)-1)&amp;" Port"&amp; " "&amp;CO25+1&amp;" (" &amp;SUBSTITUTE(Header_LB_Unique_ID,":","")&amp;")"</f>
        <v>Ethernet Switch SxxESWy Port 17 (SxxFyyVMz)</v>
      </c>
    </row>
    <row r="26" spans="2:96" x14ac:dyDescent="0.35">
      <c r="B26" s="4" t="str">
        <f t="shared" si="169"/>
        <v>VALVE_MANIFOLD_SxxFyyVMz</v>
      </c>
      <c r="C26" s="4"/>
      <c r="D26" s="4" t="str">
        <f t="shared" si="170"/>
        <v>To_SIM_CommOk</v>
      </c>
      <c r="E26" s="4" t="str">
        <f t="shared" si="171"/>
        <v>LBS_SxxFyyVMz_CommOk</v>
      </c>
      <c r="F26" s="4" t="str">
        <f t="shared" si="172"/>
        <v>I</v>
      </c>
      <c r="G26" s="4" t="str">
        <f t="shared" si="173"/>
        <v/>
      </c>
      <c r="H26" s="4" t="str">
        <f t="shared" si="174"/>
        <v/>
      </c>
      <c r="I26" s="4" t="str">
        <f t="shared" si="175"/>
        <v/>
      </c>
      <c r="J26" s="4"/>
      <c r="K26" s="56" t="str">
        <f t="shared" si="176"/>
        <v>BOOL</v>
      </c>
      <c r="L26" s="56" t="str">
        <f t="shared" si="177"/>
        <v>TOOLING\SxxFyy</v>
      </c>
      <c r="M26" s="56" t="str">
        <f t="shared" si="178"/>
        <v>STELLANTIS\Common\ToolPrototype\Devices</v>
      </c>
      <c r="N26" s="56" t="str">
        <f t="shared" si="179"/>
        <v>STELLANTIS_EIP_VALVE_MANIFOLD_ENET_SxxFyyVMz.v00</v>
      </c>
      <c r="O26" s="56" t="str">
        <f t="shared" si="180"/>
        <v/>
      </c>
      <c r="P26" s="56" t="str">
        <f t="shared" si="181"/>
        <v/>
      </c>
      <c r="Q26" s="56" t="str">
        <f t="shared" si="182"/>
        <v/>
      </c>
      <c r="R26" s="56" t="str">
        <f t="shared" si="183"/>
        <v/>
      </c>
      <c r="S26" s="56" t="str">
        <f t="shared" si="184"/>
        <v/>
      </c>
      <c r="T26" s="56" t="str">
        <f t="shared" si="185"/>
        <v/>
      </c>
      <c r="U26" s="56" t="str">
        <f t="shared" si="186"/>
        <v/>
      </c>
      <c r="V26" s="56" t="str">
        <f t="shared" si="187"/>
        <v/>
      </c>
      <c r="W26" s="56"/>
      <c r="X26" s="56"/>
      <c r="Y26" s="56"/>
      <c r="Z26" s="56" t="str">
        <f t="shared" si="188"/>
        <v/>
      </c>
      <c r="AA26" s="56" t="str">
        <f t="shared" si="189"/>
        <v/>
      </c>
      <c r="AB26" s="56" t="str">
        <f t="shared" si="190"/>
        <v>ToolPrototype</v>
      </c>
      <c r="AC26" s="56" t="str">
        <f t="shared" si="191"/>
        <v/>
      </c>
      <c r="AD26" s="56" t="str">
        <f t="shared" si="192"/>
        <v/>
      </c>
      <c r="AE26" s="56" t="str">
        <f t="shared" si="193"/>
        <v/>
      </c>
      <c r="AF26" s="56" t="str">
        <f t="shared" si="194"/>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6" s="56" t="str">
        <f t="shared" si="195"/>
        <v/>
      </c>
      <c r="AH26" s="56" t="str">
        <f t="shared" si="196"/>
        <v/>
      </c>
      <c r="AI26" s="56" t="str">
        <f t="shared" si="197"/>
        <v/>
      </c>
      <c r="AJ26" s="56" t="str">
        <f t="shared" si="198"/>
        <v/>
      </c>
      <c r="AK26" s="56" t="str">
        <f t="shared" si="199"/>
        <v/>
      </c>
      <c r="AL26" s="56" t="str">
        <f t="shared" si="200"/>
        <v/>
      </c>
      <c r="AM26" s="56" t="str">
        <f t="shared" si="201"/>
        <v/>
      </c>
      <c r="AN26" s="56" t="str">
        <f t="shared" si="202"/>
        <v/>
      </c>
      <c r="AO26" s="56" t="str">
        <f t="shared" si="203"/>
        <v/>
      </c>
      <c r="AP26" s="56" t="str">
        <f t="shared" si="204"/>
        <v>LBS</v>
      </c>
      <c r="AQ26" s="56" t="str">
        <f t="shared" si="205"/>
        <v>EXIT</v>
      </c>
      <c r="AR26" s="39" t="s">
        <v>129</v>
      </c>
      <c r="AT26" s="44" t="str">
        <f t="shared" si="206"/>
        <v>BOOL</v>
      </c>
      <c r="AU26" s="23" t="str">
        <f t="shared" si="207"/>
        <v/>
      </c>
      <c r="AV26" s="23" t="str">
        <f t="shared" si="208"/>
        <v/>
      </c>
      <c r="AW26" s="23" t="str">
        <f t="shared" si="209"/>
        <v/>
      </c>
      <c r="AX26" s="23" t="str">
        <f t="shared" si="210"/>
        <v/>
      </c>
      <c r="AY26" s="36" t="str">
        <f t="shared" si="211"/>
        <v/>
      </c>
      <c r="BB26" s="42" t="s">
        <v>18</v>
      </c>
      <c r="BC26" t="s">
        <v>63</v>
      </c>
      <c r="BD26" t="str">
        <f>"LBS_"&amp;SUBSTITUTE(Header_LB_Unique_ID,":","")&amp;"_CommOk"</f>
        <v>LBS_SxxFyyVMz_CommOk</v>
      </c>
      <c r="BE26" t="s">
        <v>64</v>
      </c>
      <c r="BU26" t="s">
        <v>101</v>
      </c>
      <c r="BV26" s="30" t="s">
        <v>257</v>
      </c>
      <c r="BY26" s="42"/>
      <c r="CB26" s="42"/>
      <c r="CE26" s="30"/>
      <c r="CH26" s="42"/>
      <c r="CN26" s="30"/>
      <c r="CP26" t="s">
        <v>12</v>
      </c>
      <c r="CQ26" s="40"/>
      <c r="CR26" s="30"/>
    </row>
    <row r="27" spans="2:96" x14ac:dyDescent="0.35">
      <c r="B27" s="4" t="str">
        <f t="shared" si="169"/>
        <v>VALVE_MANIFOLD_SxxFyyVMz</v>
      </c>
      <c r="C27" s="4"/>
      <c r="D27" s="4" t="str">
        <f t="shared" si="170"/>
        <v>To_SIM_OutputPwrOk</v>
      </c>
      <c r="E27" s="4" t="str">
        <f t="shared" si="171"/>
        <v>LBS_SxxFyyVMz_OutputPwrOk</v>
      </c>
      <c r="F27" s="4" t="str">
        <f t="shared" si="172"/>
        <v>I</v>
      </c>
      <c r="G27" s="4" t="str">
        <f t="shared" si="173"/>
        <v/>
      </c>
      <c r="H27" s="4" t="str">
        <f t="shared" si="174"/>
        <v/>
      </c>
      <c r="I27" s="4" t="str">
        <f t="shared" si="175"/>
        <v/>
      </c>
      <c r="J27" s="4"/>
      <c r="K27" s="56" t="str">
        <f t="shared" si="176"/>
        <v>BOOL</v>
      </c>
      <c r="L27" s="56" t="str">
        <f t="shared" si="177"/>
        <v>TOOLING\SxxFyy</v>
      </c>
      <c r="M27" s="56" t="str">
        <f t="shared" si="178"/>
        <v>STELLANTIS\Common\ToolPrototype\Devices</v>
      </c>
      <c r="N27" s="56" t="str">
        <f t="shared" si="179"/>
        <v>STELLANTIS_EIP_VALVE_MANIFOLD_ENET_SxxFyyVMz.v00</v>
      </c>
      <c r="O27" s="56" t="str">
        <f t="shared" si="180"/>
        <v/>
      </c>
      <c r="P27" s="56" t="str">
        <f t="shared" si="181"/>
        <v/>
      </c>
      <c r="Q27" s="56" t="str">
        <f t="shared" si="182"/>
        <v/>
      </c>
      <c r="R27" s="56" t="str">
        <f t="shared" si="183"/>
        <v/>
      </c>
      <c r="S27" s="56" t="str">
        <f t="shared" si="184"/>
        <v/>
      </c>
      <c r="T27" s="56" t="str">
        <f t="shared" si="185"/>
        <v/>
      </c>
      <c r="U27" s="56" t="str">
        <f t="shared" si="186"/>
        <v/>
      </c>
      <c r="V27" s="56" t="str">
        <f t="shared" si="187"/>
        <v/>
      </c>
      <c r="W27" s="56"/>
      <c r="X27" s="56"/>
      <c r="Y27" s="56"/>
      <c r="Z27" s="56" t="str">
        <f t="shared" si="188"/>
        <v/>
      </c>
      <c r="AA27" s="56" t="str">
        <f t="shared" si="189"/>
        <v/>
      </c>
      <c r="AB27" s="56" t="str">
        <f t="shared" si="190"/>
        <v>ToolPrototype</v>
      </c>
      <c r="AC27" s="56" t="str">
        <f t="shared" si="191"/>
        <v/>
      </c>
      <c r="AD27" s="56" t="str">
        <f t="shared" si="192"/>
        <v/>
      </c>
      <c r="AE27" s="56" t="str">
        <f t="shared" si="193"/>
        <v/>
      </c>
      <c r="AF27" s="56" t="str">
        <f t="shared" si="194"/>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7" s="56" t="str">
        <f t="shared" si="195"/>
        <v/>
      </c>
      <c r="AH27" s="56" t="str">
        <f t="shared" si="196"/>
        <v/>
      </c>
      <c r="AI27" s="56" t="str">
        <f t="shared" si="197"/>
        <v/>
      </c>
      <c r="AJ27" s="56" t="str">
        <f t="shared" si="198"/>
        <v/>
      </c>
      <c r="AK27" s="56" t="str">
        <f t="shared" si="199"/>
        <v/>
      </c>
      <c r="AL27" s="56" t="str">
        <f t="shared" si="200"/>
        <v/>
      </c>
      <c r="AM27" s="56" t="str">
        <f t="shared" si="201"/>
        <v/>
      </c>
      <c r="AN27" s="56" t="str">
        <f t="shared" si="202"/>
        <v/>
      </c>
      <c r="AO27" s="56" t="str">
        <f t="shared" si="203"/>
        <v/>
      </c>
      <c r="AP27" s="56" t="str">
        <f t="shared" si="204"/>
        <v>LBS</v>
      </c>
      <c r="AQ27" s="56" t="str">
        <f t="shared" si="205"/>
        <v>EXIT</v>
      </c>
      <c r="AR27" s="39" t="s">
        <v>129</v>
      </c>
      <c r="AT27" s="44" t="str">
        <f t="shared" si="206"/>
        <v>BOOL</v>
      </c>
      <c r="AU27" s="23" t="str">
        <f t="shared" si="207"/>
        <v/>
      </c>
      <c r="AV27" s="23" t="str">
        <f t="shared" si="208"/>
        <v/>
      </c>
      <c r="AW27" s="23" t="str">
        <f t="shared" si="209"/>
        <v/>
      </c>
      <c r="AX27" s="23" t="str">
        <f t="shared" si="210"/>
        <v/>
      </c>
      <c r="AY27" s="36" t="str">
        <f t="shared" si="211"/>
        <v/>
      </c>
      <c r="BB27" s="42" t="s">
        <v>18</v>
      </c>
      <c r="BC27" t="s">
        <v>63</v>
      </c>
      <c r="BD27" t="str">
        <f>"LBS_"&amp;SUBSTITUTE(Header_LB_Unique_ID,":","")&amp;"_OutputPwrOk"</f>
        <v>LBS_SxxFyyVMz_OutputPwrOk</v>
      </c>
      <c r="BE27" t="s">
        <v>64</v>
      </c>
      <c r="BU27" t="s">
        <v>101</v>
      </c>
      <c r="BV27" s="30" t="s">
        <v>256</v>
      </c>
      <c r="BY27" s="42"/>
      <c r="CB27" s="42"/>
      <c r="CE27" s="30"/>
      <c r="CH27" s="42"/>
      <c r="CN27" s="30"/>
      <c r="CP27" t="s">
        <v>12</v>
      </c>
      <c r="CQ27" s="40"/>
      <c r="CR27" s="30"/>
    </row>
    <row r="28" spans="2:96" x14ac:dyDescent="0.35">
      <c r="B28" s="4" t="str">
        <f t="shared" ref="B28:B29" si="212">IF(LEN(BT28)=0,Header_LB_Name,"&lt;BLANK&gt;")</f>
        <v>VALVE_MANIFOLD_SxxFyyVMz</v>
      </c>
      <c r="C28" s="4"/>
      <c r="D28" s="4" t="str">
        <f t="shared" ref="D28:D29" si="213">IF(BC28="CUSTOM",BV28,IF(BB28="ENTRY","From_",IF(BB28="EXIT","To_","&lt;invalid&gt;"))&amp;IF(OR(BC28="RBT",BC28="KEY",BC28="SNS"),IF(BE28="",BC28,BC28&amp;"_"&amp;BE28),IF(BC28="OPR",IF(BE28="",BC28&amp;"_"&amp;BD28,BC28&amp;"_"&amp;BE28),IF(BC28="LBS",IF(BE28="",BD28,BE28),BC28)))&amp;"_"&amp;IF(BC28="OPR",IF(BB28="ENTRY","end",IF(BB28="EXIT","start","&lt;invalid&gt;")),BV28))</f>
        <v>To_SIM_AirOn</v>
      </c>
      <c r="E28" s="4" t="str">
        <f t="shared" ref="E28:E29" si="214">IF(OR(BC28="PLC",BC28="PSF"),IF(Header_PLC_Type="CLX",AX28,IF(LEFT(Header_PLC_Type,2)="S7",AU28,"&lt;invalid PLC type&gt;")),IF(BB28="ENTRY",IF(BC28="LBS",IF(BD28&lt;&gt;"",IF(BF28="",BC28&amp;"_"&amp;BD28&amp;"_To_"&amp;B28&amp;"_"&amp;BV28,BC28&amp;"_"&amp;BD28&amp;"_To_"&amp;BF28&amp;"_"&amp;BV28),"&lt;missing other LB/group name&gt;"),IF(OR(BC28="SNS",BC28="KEY"),IF(BD28&lt;&gt;"",BC28&amp;"_"&amp;BD28&amp;"_"&amp;BV28,"&lt;missing unique identifier&gt;"),IF(OR(BC28="RBT",BC28="OPR"),IF(BD28&lt;&gt;"",BD28&amp;"_"&amp;IF(BC28="OPR","end",IF(BG28&lt;&gt;"",BG28,BV28)),"&lt;missing unique identifier&gt;"),IF(BC28="CUSTOM",BD28,"&lt;invalid connection&gt;")))),IF(BB28="EXIT",IF(BC28="LBS",IF(BD28&lt;&gt;"",BC28&amp;"_"&amp;B28&amp;"_To_"&amp;BD28&amp;"_"&amp;BV28,"&lt;missing other LB/group name&gt;"),IF(OR(BC28="RBT",BC28="OPR"),IF(BD28&lt;&gt;"",BD28&amp;"_"&amp;IF(BC28="OPR","start",IF(BG28&lt;&gt;"",BG28,BV28)),"&lt;missing unique identifier&gt;"),IF(BC28="CUSTOM",BD28,"&lt;invalid connection (sensor or key signal can't be exit)&gt;"))),"&lt;invalid entry/exit&gt;")))</f>
        <v>LBS_SxxFyyVMz_AirOn</v>
      </c>
      <c r="F28" s="4" t="str">
        <f t="shared" ref="F28:F29" si="215">IF(BC28="CUSTOM",BE28,IF(OR(AND(BB28="ENTRY",OR(BC28="PLC",BC28="PSF")),AND(BB28="EXIT",OR(BC28="RBT",BC28="OPR"))),"Q","I"))</f>
        <v>I</v>
      </c>
      <c r="G28" s="4" t="str">
        <f t="shared" ref="G28:G29" si="216">IF(Header_PLC_Type="S7-ADD",IF(OR(BC28="PSF",BC28="PLC"),IF(BY28&lt;&gt;"",IF(AT28="BOOL",BY28&amp;"."&amp;BZ28,BY28),"&lt;missing&gt;"),""),"")</f>
        <v/>
      </c>
      <c r="H28" s="4" t="str">
        <f t="shared" ref="H28:H29" si="217">IF(OR(BC28="PLC",BC28="PSF"),IF(Header_PLC_Type="CLX",AY28&amp;CR28,IF(LEFT(Header_PLC_Type,2)="S7",AW28&amp;CE28,"&lt;invalid PLC type&gt;")),IF(Header_PLC_Type="CLX",IF(CR28&lt;&gt;"",CR28,""),IF(LEFT(Header_PLC_Type,2)="S7",IF(CE28&lt;&gt;"",CE28,""),"&lt;invalid PLC type&gt;")))</f>
        <v/>
      </c>
      <c r="I28" s="4" t="str">
        <f t="shared" ref="I28:I29" si="218">IF(OR(BC28="PLC",BC28="PSF"),BD28,IF(AND(BC28="CUSTOM",BF28&lt;&gt;""),BF28,""))</f>
        <v/>
      </c>
      <c r="J28" s="4"/>
      <c r="K28" s="56" t="str">
        <f t="shared" ref="K28:K29" si="219">AT28</f>
        <v>BOOL</v>
      </c>
      <c r="L28" s="56" t="str">
        <f t="shared" si="177"/>
        <v>TOOLING\SxxFyy</v>
      </c>
      <c r="M28" s="56" t="str">
        <f t="shared" si="178"/>
        <v>STELLANTIS\Common\ToolPrototype\Devices</v>
      </c>
      <c r="N28" s="56" t="str">
        <f t="shared" si="179"/>
        <v>STELLANTIS_EIP_VALVE_MANIFOLD_ENET_SxxFyyVMz.v00</v>
      </c>
      <c r="O28" s="56" t="str">
        <f t="shared" ref="O28:O29" si="220">IF(AND(OR(BC28="SNS",BC28="OPR",BC28="RBT"),BF28&lt;&gt;""),BF28,IF(OR(BC28="PSF",BC28="PLC"),IF(BB28="ENTRY",IF(OR(ISLOGICAL(BF28),ISNUMBER(BF28)),LOWER(TEXT(BF28,"General")),IF((ISTEXT(BF28)),"CEE_To_VC_"&amp;BE28&amp;"_"&amp;BF28,"")),IF((ISTEXT(BF28)),"CEE_From_VC_"&amp;BE28&amp;"_"&amp;BF28,"")),IF(BC28="CUSTOM",IF(BH28&lt;&gt;"",BH28,""),"")))</f>
        <v/>
      </c>
      <c r="P28" s="56" t="str">
        <f t="shared" ref="P28:P29" si="221">IF(OR(BC28="SNS",BC28="OPR"),IF(BG28&lt;&gt;"",BG28,""),IF(BC28="RBT",BD28,IF(BC28="CUSTOM",IF(BG28&lt;&gt;"",BG28,""),"")))</f>
        <v/>
      </c>
      <c r="Q28" s="56" t="str">
        <f t="shared" ref="Q28:Q29" si="222">IF(BC28="OPR",IF(BV28&lt;&gt;"",BV28,"NONSIM"),IF(BC28="RBT",IF(BH28&lt;&gt;"",BH28,""),IF(BC28="SNS",IF(BH28&lt;&gt;"",BH28,L28),IF(OR(BC28="PLC",BC28="PSF"),IF(BG28&lt;&gt;"",BG28,""),""))))</f>
        <v/>
      </c>
      <c r="R28" s="56" t="str">
        <f t="shared" ref="R28:R29" si="223">IF(OR(BC28="PLC",BC28="PSF",BC28="OPR"),IF(BH28&lt;&gt;"",BH28,""),IF(BC28="RBT",IF(BI28&lt;&gt;"",BI28,""),IF(BC28="SNS",IF(BI28&lt;&gt;"",BI28,"PHOTOELECTRIC"),"")))</f>
        <v/>
      </c>
      <c r="S28" s="56" t="str">
        <f t="shared" ref="S28:S29" si="224">IF(OR(BC28="PLC",BC28="PSF",BC28="OPR",AND(BC28="CUSTOM",OR(BU28="PLC",BU28="PSF"))),IF(BI28&lt;&gt;"",BI28,""),IF(BC28="SNS",IF(BJ28&lt;&gt;"",BJ28,""),""))</f>
        <v/>
      </c>
      <c r="T28" s="56" t="str">
        <f t="shared" ref="T28:T29" si="225">IF(AND(Header_PLC_Type="CLX",BC28="PSF",BB28="EXIT"),CJ28&amp;CK28,IF(BC28="OPR",IF(BJ28&lt;&gt;"",BJ28,""),""))</f>
        <v/>
      </c>
      <c r="U28" s="56" t="str">
        <f t="shared" ref="U28:U29" si="226">IF(OR(BC28="SNS",BC28="OPR"),IF(BK28&lt;&gt;"",BK28,""),"")</f>
        <v/>
      </c>
      <c r="V28" s="56" t="str">
        <f t="shared" ref="V28:V29" si="227">IF(OR(BC28="SNS",BC28="OPR"),IF(BL28&lt;&gt;"",BL28,""),"")</f>
        <v/>
      </c>
      <c r="W28" s="56"/>
      <c r="X28" s="56"/>
      <c r="Y28" s="56"/>
      <c r="Z28" s="56" t="str">
        <f t="shared" ref="Z28:Z29" si="228">IF(BP28="","",BP28)</f>
        <v/>
      </c>
      <c r="AA28" s="56" t="str">
        <f t="shared" si="189"/>
        <v/>
      </c>
      <c r="AB28" s="56" t="str">
        <f t="shared" si="190"/>
        <v>ToolPrototype</v>
      </c>
      <c r="AC28" s="56" t="str">
        <f t="shared" ref="AC28:AC29" si="229">IF(ISBLANK(BT28),"","Optional")</f>
        <v/>
      </c>
      <c r="AD28" s="56" t="str">
        <f t="shared" si="192"/>
        <v/>
      </c>
      <c r="AE28" s="56" t="str">
        <f t="shared" si="193"/>
        <v/>
      </c>
      <c r="AF28" s="56" t="str">
        <f t="shared" si="194"/>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8" s="56" t="str">
        <f t="shared" si="195"/>
        <v/>
      </c>
      <c r="AH28" s="56" t="str">
        <f t="shared" si="196"/>
        <v/>
      </c>
      <c r="AI28" s="56" t="str">
        <f t="shared" si="197"/>
        <v/>
      </c>
      <c r="AJ28" s="56" t="str">
        <f t="shared" si="198"/>
        <v/>
      </c>
      <c r="AK28" s="56" t="str">
        <f t="shared" si="199"/>
        <v/>
      </c>
      <c r="AL28" s="56" t="str">
        <f t="shared" si="200"/>
        <v/>
      </c>
      <c r="AM28" s="56" t="str">
        <f t="shared" si="201"/>
        <v/>
      </c>
      <c r="AN28" s="56" t="str">
        <f t="shared" ref="AN28:AN29" si="230">IF(BR28&lt;&gt;"",BR28,"")</f>
        <v/>
      </c>
      <c r="AO28" s="56" t="str">
        <f t="shared" ref="AO28:AO29" si="231">IF(BS28&lt;&gt;"",BS28,"")</f>
        <v/>
      </c>
      <c r="AP28" s="56" t="str">
        <f t="shared" ref="AP28:AP29" si="232">IF(BC28&lt;&gt;"CUSTOM",BC28,BU28)</f>
        <v>LBS</v>
      </c>
      <c r="AQ28" s="56" t="str">
        <f t="shared" ref="AQ28:AQ29" si="233">BB28</f>
        <v>EXIT</v>
      </c>
      <c r="AR28" s="39" t="s">
        <v>129</v>
      </c>
      <c r="AT28" s="44" t="str">
        <f t="shared" ref="AT28:AT29" si="234">IF(Header_PLC_Type="CLX",IF(CP28&lt;&gt;"",CP28,"&lt;noType&gt;"),IF(LEFT(Header_PLC_Type,2)="S7",IF(CD28&lt;&gt;"",CD28,"&lt;noType&gt;"),"&lt;noPLC&gt;"))</f>
        <v>BOOL</v>
      </c>
      <c r="AU28" s="23" t="str">
        <f t="shared" ref="AU28:AU29" si="235">IF(OR(BC28="PLC",BC28="PSF"),CA28,"")</f>
        <v/>
      </c>
      <c r="AV28" s="23" t="str">
        <f t="shared" ref="AV28:AV29" si="236">IF(OR(BC28="PLC",BC28="PSF"),IF(AT28="BOOL",F28,IF(AT28="BYTE",F28&amp;"B",IF(OR(AT28="WORD",AT28="INT"),F28&amp;"W",IF(OR(AT28="DWORD",AT28="DINT",AT28="REAL"),F28&amp;"D","&lt;invalid&gt;")))),"")</f>
        <v/>
      </c>
      <c r="AW28" s="23" t="str">
        <f t="shared" ref="AW28:AW29" si="237">IF(OR(BC28="PLC",BC28="PSF"),""&amp;AV28&amp;IF(AT28="BOOL",BY28&amp;"."&amp;BZ28,BY28)&amp; IF(CA28&lt;&gt;"",": &lt;"&amp;CA28&amp;"&gt; - ",": "),"")</f>
        <v/>
      </c>
      <c r="AX28" s="23" t="str">
        <f t="shared" ref="AX28:AX29" si="238">IF(OR(BC28="PLC",BC28="PSF"),IF(AND(BB28="EXIT",BC28="PSF"),CH28&amp;SUBSTITUTE(CJ28,":","_")&amp;CK28,CJ28&amp;CK28),"")</f>
        <v/>
      </c>
      <c r="AY28" s="36" t="str">
        <f t="shared" ref="AY28:AY29" si="239">IF(OR(BC28="PLC",BC28="PSF"),IF(CM28&lt;&gt;"",CM28 &amp; ": &lt;" &amp; CN28&amp;CO28 &amp; "&gt; - ","Controller: &lt;"&amp;CJ28&amp;CK28&amp;"&gt; - "),"")</f>
        <v/>
      </c>
      <c r="BB28" s="42" t="s">
        <v>18</v>
      </c>
      <c r="BC28" t="s">
        <v>63</v>
      </c>
      <c r="BD28" t="str">
        <f>"LBS_"&amp;Header_LB_Unique_ID&amp;"_AirOn"</f>
        <v>LBS_SxxFyyVMz_AirOn</v>
      </c>
      <c r="BE28" t="s">
        <v>64</v>
      </c>
      <c r="BU28" t="s">
        <v>101</v>
      </c>
      <c r="BV28" s="30" t="s">
        <v>290</v>
      </c>
      <c r="BY28" s="42"/>
      <c r="CB28" s="42"/>
      <c r="CE28" s="30"/>
      <c r="CH28" s="42"/>
      <c r="CN28" s="30"/>
      <c r="CP28" t="s">
        <v>12</v>
      </c>
      <c r="CQ28" s="40"/>
      <c r="CR28" s="30"/>
    </row>
    <row r="29" spans="2:96" x14ac:dyDescent="0.35">
      <c r="B29" s="4" t="str">
        <f t="shared" si="212"/>
        <v>VALVE_MANIFOLD_SxxFyyVMz</v>
      </c>
      <c r="C29" s="4"/>
      <c r="D29" s="4" t="str">
        <f t="shared" si="213"/>
        <v>To_SIM_AirRangeOk</v>
      </c>
      <c r="E29" s="4" t="str">
        <f t="shared" si="214"/>
        <v>LBS_SxxFyyVMz_AirRangeOk</v>
      </c>
      <c r="F29" s="4" t="str">
        <f t="shared" si="215"/>
        <v>I</v>
      </c>
      <c r="G29" s="4" t="str">
        <f t="shared" si="216"/>
        <v/>
      </c>
      <c r="H29" s="4" t="str">
        <f t="shared" si="217"/>
        <v/>
      </c>
      <c r="I29" s="4" t="str">
        <f t="shared" si="218"/>
        <v/>
      </c>
      <c r="J29" s="4"/>
      <c r="K29" s="56" t="str">
        <f t="shared" si="219"/>
        <v>BOOL</v>
      </c>
      <c r="L29" s="56" t="str">
        <f t="shared" si="177"/>
        <v>TOOLING\SxxFyy</v>
      </c>
      <c r="M29" s="56" t="str">
        <f t="shared" si="178"/>
        <v>STELLANTIS\Common\ToolPrototype\Devices</v>
      </c>
      <c r="N29" s="56" t="str">
        <f t="shared" si="179"/>
        <v>STELLANTIS_EIP_VALVE_MANIFOLD_ENET_SxxFyyVMz.v00</v>
      </c>
      <c r="O29" s="56" t="str">
        <f t="shared" si="220"/>
        <v/>
      </c>
      <c r="P29" s="56" t="str">
        <f t="shared" si="221"/>
        <v/>
      </c>
      <c r="Q29" s="56" t="str">
        <f t="shared" si="222"/>
        <v/>
      </c>
      <c r="R29" s="56" t="str">
        <f t="shared" si="223"/>
        <v/>
      </c>
      <c r="S29" s="56" t="str">
        <f t="shared" si="224"/>
        <v/>
      </c>
      <c r="T29" s="56" t="str">
        <f t="shared" si="225"/>
        <v/>
      </c>
      <c r="U29" s="56" t="str">
        <f t="shared" si="226"/>
        <v/>
      </c>
      <c r="V29" s="56" t="str">
        <f t="shared" si="227"/>
        <v/>
      </c>
      <c r="W29" s="56"/>
      <c r="X29" s="56"/>
      <c r="Y29" s="56"/>
      <c r="Z29" s="56" t="str">
        <f t="shared" si="228"/>
        <v/>
      </c>
      <c r="AA29" s="56" t="str">
        <f t="shared" si="189"/>
        <v/>
      </c>
      <c r="AB29" s="56" t="str">
        <f t="shared" si="190"/>
        <v>ToolPrototype</v>
      </c>
      <c r="AC29" s="56" t="str">
        <f t="shared" si="229"/>
        <v/>
      </c>
      <c r="AD29" s="56" t="str">
        <f t="shared" si="192"/>
        <v/>
      </c>
      <c r="AE29" s="56" t="str">
        <f t="shared" si="193"/>
        <v/>
      </c>
      <c r="AF29" s="56" t="str">
        <f t="shared" si="194"/>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c r="AG29" s="56" t="str">
        <f t="shared" si="195"/>
        <v/>
      </c>
      <c r="AH29" s="56" t="str">
        <f t="shared" si="196"/>
        <v/>
      </c>
      <c r="AI29" s="56" t="str">
        <f t="shared" si="197"/>
        <v/>
      </c>
      <c r="AJ29" s="56" t="str">
        <f t="shared" si="198"/>
        <v/>
      </c>
      <c r="AK29" s="56" t="str">
        <f t="shared" si="199"/>
        <v/>
      </c>
      <c r="AL29" s="56" t="str">
        <f t="shared" si="200"/>
        <v/>
      </c>
      <c r="AM29" s="56" t="str">
        <f t="shared" si="201"/>
        <v/>
      </c>
      <c r="AN29" s="56" t="str">
        <f t="shared" si="230"/>
        <v/>
      </c>
      <c r="AO29" s="56" t="str">
        <f t="shared" si="231"/>
        <v/>
      </c>
      <c r="AP29" s="56" t="str">
        <f t="shared" si="232"/>
        <v>LBS</v>
      </c>
      <c r="AQ29" s="56" t="str">
        <f t="shared" si="233"/>
        <v>EXIT</v>
      </c>
      <c r="AR29" s="39" t="s">
        <v>129</v>
      </c>
      <c r="AT29" s="44" t="str">
        <f t="shared" si="234"/>
        <v>BOOL</v>
      </c>
      <c r="AU29" s="23" t="str">
        <f t="shared" si="235"/>
        <v/>
      </c>
      <c r="AV29" s="23" t="str">
        <f t="shared" si="236"/>
        <v/>
      </c>
      <c r="AW29" s="23" t="str">
        <f t="shared" si="237"/>
        <v/>
      </c>
      <c r="AX29" s="23" t="str">
        <f t="shared" si="238"/>
        <v/>
      </c>
      <c r="AY29" s="36" t="str">
        <f t="shared" si="239"/>
        <v/>
      </c>
      <c r="BB29" s="42" t="s">
        <v>18</v>
      </c>
      <c r="BC29" t="s">
        <v>63</v>
      </c>
      <c r="BD29" t="str">
        <f>"LBS_"&amp;Header_LB_Unique_ID&amp;"_AirRangeOk"</f>
        <v>LBS_SxxFyyVMz_AirRangeOk</v>
      </c>
      <c r="BE29" t="s">
        <v>64</v>
      </c>
      <c r="BU29" t="s">
        <v>101</v>
      </c>
      <c r="BV29" s="30" t="s">
        <v>293</v>
      </c>
      <c r="BY29" s="42"/>
      <c r="CB29" s="42"/>
      <c r="CE29" s="30"/>
      <c r="CH29" s="42"/>
      <c r="CN29" s="30"/>
      <c r="CP29" t="s">
        <v>12</v>
      </c>
      <c r="CQ29" s="40"/>
      <c r="CR29" s="30"/>
    </row>
    <row r="30" spans="2:96" x14ac:dyDescent="0.35">
      <c r="B30" s="4"/>
      <c r="C30" s="4"/>
      <c r="D30" s="4"/>
      <c r="E30" s="4"/>
      <c r="F30" s="4"/>
      <c r="G30" s="4"/>
      <c r="H30" s="4"/>
      <c r="I30" s="4"/>
      <c r="J30" s="4"/>
      <c r="K30" s="56"/>
      <c r="L30" s="56"/>
      <c r="M30" s="56"/>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39"/>
      <c r="AT30" s="44"/>
      <c r="AU30" s="23"/>
      <c r="AV30" s="23"/>
      <c r="AW30" s="23"/>
      <c r="AX30" s="23"/>
      <c r="AY30" s="36"/>
      <c r="BB30" s="42"/>
      <c r="BV30" s="30"/>
      <c r="BY30" s="42"/>
      <c r="CB30" s="42"/>
      <c r="CE30" s="30"/>
      <c r="CH30" s="42"/>
      <c r="CN30" s="30"/>
      <c r="CQ30" s="40"/>
      <c r="CR30" s="30"/>
    </row>
  </sheetData>
  <conditionalFormatting sqref="BF14:BF30">
    <cfRule type="expression" dxfId="25" priority="294">
      <formula>AND(OR(AND($BC14="LBS",$BB14="EXIT"),AND($BC14="CUSTOM",$BU14&lt;&gt;"PLC",$BU14&lt;&gt;"PSF")),$B14&lt;&gt;"")</formula>
    </cfRule>
  </conditionalFormatting>
  <conditionalFormatting sqref="CL14:CL30 CH14:CI30">
    <cfRule type="expression" dxfId="24" priority="316">
      <formula>AND(OR($BB14="ENTRY",$BC14&lt;&gt;"PSF"),$B14&lt;&gt;"")</formula>
    </cfRule>
  </conditionalFormatting>
  <conditionalFormatting sqref="CM14:CO30 BY14:BZ30 CJ14:CK30">
    <cfRule type="expression" dxfId="23" priority="319">
      <formula>AND($BC14&lt;&gt;"PLC",$BC14&lt;&gt;"PSF",$B14&lt;&gt;"")</formula>
    </cfRule>
  </conditionalFormatting>
  <conditionalFormatting sqref="BH14:BI30">
    <cfRule type="expression" dxfId="22" priority="296">
      <formula>AND($BC14&lt;&gt;"PLC",$BC14&lt;&gt;"PSF",$BC14&lt;&gt;"SNS",$BC14&lt;&gt;"OPR",$BC14&lt;&gt;"RBT",$BC14&lt;&gt;"CUSTOM",$B14&lt;&gt;"")</formula>
    </cfRule>
  </conditionalFormatting>
  <conditionalFormatting sqref="BU14:BU30">
    <cfRule type="expression" dxfId="21" priority="302">
      <formula>AND($BC14&lt;&gt;"CUSTOM",$B14&lt;&gt;"")</formula>
    </cfRule>
  </conditionalFormatting>
  <conditionalFormatting sqref="BG14:BG30">
    <cfRule type="expression" dxfId="20" priority="295">
      <formula>AND($BC14&lt;&gt;"PLC",$BC14&lt;&gt;"PSF",$BC14&lt;&gt;"RBT",$BC14&lt;&gt;"OPR",$BC14&lt;&gt;"SNS",$BC14&lt;&gt;"CUSTOM",$B14&lt;&gt;"")</formula>
    </cfRule>
  </conditionalFormatting>
  <conditionalFormatting sqref="BT14:BT30">
    <cfRule type="expression" dxfId="19" priority="6">
      <formula>NOT(ISBLANK($BT14))</formula>
    </cfRule>
  </conditionalFormatting>
  <conditionalFormatting sqref="BJ14:BL30">
    <cfRule type="expression" dxfId="18" priority="298">
      <formula>AND($BC14&lt;&gt;"SNS",$BC14&lt;&gt;"OPR",$B14&lt;&gt;"")</formula>
    </cfRule>
  </conditionalFormatting>
  <conditionalFormatting sqref="B14:J30">
    <cfRule type="expression" dxfId="17" priority="241">
      <formula>AND($BB14="ENTRY",$BC14="PLC")</formula>
    </cfRule>
    <cfRule type="expression" dxfId="16" priority="243">
      <formula>AND($BB14="EXIT",$BC14="PLC")</formula>
    </cfRule>
    <cfRule type="expression" dxfId="15" priority="245">
      <formula>AND($BB14="ENTRY",$BC14="PSF")</formula>
    </cfRule>
    <cfRule type="expression" dxfId="14" priority="247">
      <formula>AND($BB14="EXIT",$BC14="PSF")</formula>
    </cfRule>
    <cfRule type="expression" dxfId="13" priority="248">
      <formula>AND($BB14="ENTRY",$BC14="RBT")</formula>
    </cfRule>
    <cfRule type="expression" dxfId="12" priority="249">
      <formula>AND($BB14="EXIT",$BC14="RBT")</formula>
    </cfRule>
    <cfRule type="expression" dxfId="11" priority="250">
      <formula>AND($BB14="ENTRY",$BC14="OPR")</formula>
    </cfRule>
    <cfRule type="expression" dxfId="10" priority="251">
      <formula>AND($BB14="EXIT",$BC14="OPR")</formula>
    </cfRule>
    <cfRule type="expression" dxfId="9" priority="253">
      <formula>AND($BB14="ENTRY",$BC14="LBS")</formula>
    </cfRule>
    <cfRule type="expression" dxfId="8" priority="254">
      <formula>AND($BB14="EXIT",$BC14="LBS")</formula>
    </cfRule>
    <cfRule type="expression" dxfId="7" priority="255">
      <formula>AND($BB14="ENTRY",$BC14="SNS")</formula>
    </cfRule>
    <cfRule type="expression" dxfId="6" priority="256">
      <formula>AND($BB14="ENTRY",$BC14="KEY")</formula>
    </cfRule>
    <cfRule type="expression" dxfId="5" priority="291">
      <formula>AND($BB14="ENTRY",$BC14="CUSTOM")</formula>
    </cfRule>
    <cfRule type="expression" dxfId="4" priority="292">
      <formula>AND($BB14="EXIT",$BC14="CUSTOM")</formula>
    </cfRule>
  </conditionalFormatting>
  <conditionalFormatting sqref="B14:CR30">
    <cfRule type="expression" dxfId="3" priority="2">
      <formula>$B14=""</formula>
    </cfRule>
  </conditionalFormatting>
  <conditionalFormatting sqref="AT14:CR30">
    <cfRule type="expression" dxfId="2" priority="1">
      <formula>AND(OR($BB14&lt;&gt;$BB13,$BC14&lt;&gt;$BC13),AT$13&lt;&gt;"x")</formula>
    </cfRule>
  </conditionalFormatting>
  <conditionalFormatting sqref="BM14:BO30">
    <cfRule type="expression" dxfId="1" priority="5">
      <formula>AND(TRUE,$B14&lt;&gt;"")</formula>
    </cfRule>
  </conditionalFormatting>
  <conditionalFormatting sqref="AT30:CR30">
    <cfRule type="expression" dxfId="0" priority="321">
      <formula>AND(OR($BB30&lt;&gt;$BB27,$BC30&lt;&gt;$BC27),AT$13&lt;&gt;"x")</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64" r:id="rId4" name="cmdGenerateLBEntriesExits">
          <controlPr autoLine="0" r:id="rId5">
            <anchor moveWithCells="1">
              <from>
                <xdr:col>3</xdr:col>
                <xdr:colOff>69850</xdr:colOff>
                <xdr:row>0</xdr:row>
                <xdr:rowOff>50800</xdr:rowOff>
              </from>
              <to>
                <xdr:col>3</xdr:col>
                <xdr:colOff>1295400</xdr:colOff>
                <xdr:row>2</xdr:row>
                <xdr:rowOff>158750</xdr:rowOff>
              </to>
            </anchor>
          </controlPr>
        </control>
      </mc:Choice>
      <mc:Fallback>
        <control shapeId="2064" r:id="rId4" name="cmdGenerateLBEntriesExits"/>
      </mc:Fallback>
    </mc:AlternateContent>
    <mc:AlternateContent xmlns:mc="http://schemas.openxmlformats.org/markup-compatibility/2006">
      <mc:Choice Requires="x14">
        <control shapeId="2071" r:id="rId6" name="cmdBackupLB">
          <controlPr autoLine="0" r:id="rId7">
            <anchor moveWithCells="1">
              <from>
                <xdr:col>3</xdr:col>
                <xdr:colOff>1466850</xdr:colOff>
                <xdr:row>0</xdr:row>
                <xdr:rowOff>50800</xdr:rowOff>
              </from>
              <to>
                <xdr:col>3</xdr:col>
                <xdr:colOff>2692400</xdr:colOff>
                <xdr:row>2</xdr:row>
                <xdr:rowOff>158750</xdr:rowOff>
              </to>
            </anchor>
          </controlPr>
        </control>
      </mc:Choice>
      <mc:Fallback>
        <control shapeId="2071" r:id="rId6" name="cmdBackupLB"/>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0000000}">
          <x14:formula1>
            <xm:f>Lists!$B$3:$B$4</xm:f>
          </x14:formula1>
          <xm:sqref>BB14:BB29</xm:sqref>
        </x14:dataValidation>
        <x14:dataValidation type="list" allowBlank="1" showInputMessage="1" showErrorMessage="1" xr:uid="{00000000-0002-0000-0200-000001000000}">
          <x14:formula1>
            <xm:f>Lists!$C$3:$C$10</xm:f>
          </x14:formula1>
          <xm:sqref>BC14:BC29</xm:sqref>
        </x14:dataValidation>
        <x14:dataValidation type="list" allowBlank="1" showInputMessage="1" xr:uid="{00000000-0002-0000-0200-000002000000}">
          <x14:formula1>
            <xm:f>Lists!$E$3:$E$10</xm:f>
          </x14:formula1>
          <xm:sqref>BU14:BU29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election activeCell="C7" sqref="C7"/>
    </sheetView>
  </sheetViews>
  <sheetFormatPr defaultRowHeight="14.5" x14ac:dyDescent="0.35"/>
  <cols>
    <col min="1" max="1" width="2.81640625" customWidth="1"/>
    <col min="2" max="2" width="27" bestFit="1" customWidth="1"/>
    <col min="3" max="3" width="146.7265625" customWidth="1"/>
  </cols>
  <sheetData>
    <row r="2" spans="2:3" x14ac:dyDescent="0.35">
      <c r="C2" s="68" t="s">
        <v>210</v>
      </c>
    </row>
    <row r="4" spans="2:3" x14ac:dyDescent="0.35">
      <c r="B4" s="66" t="s">
        <v>188</v>
      </c>
      <c r="C4" s="65"/>
    </row>
    <row r="5" spans="2:3" x14ac:dyDescent="0.35">
      <c r="B5" s="66" t="s">
        <v>198</v>
      </c>
      <c r="C5" s="65"/>
    </row>
    <row r="6" spans="2:3" ht="145" x14ac:dyDescent="0.35">
      <c r="B6" s="66" t="s">
        <v>189</v>
      </c>
      <c r="C6" s="65" t="str">
        <f>"
&lt;trackeritem&gt;
"&amp;Prep!$D$21&amp;"
"&amp;Prep!$D$22&amp;"
"&amp;Prep!$D$23&amp;"
"&amp;Prep!$D$24&amp;"
"&amp;Prep!$D$25&amp;"
"&amp;Prep!$D$26&amp;"
"&amp;Prep!$D$27&amp;"
&lt;/trackeritem&gt;"</f>
        <v xml:space="preserve">
&lt;trackeritem&gt;
&lt;component&gt;STELLANTIS_EIP_VALVE_MANIFOLD_ENET_SxxFyyVMz&lt;/component&gt;
&lt;type&gt;Valve Manifold&lt;/type&gt;
&lt;name&gt;SxxFyyVMz&lt;/name&gt;
&lt;enet_node&gt;ENET_STAT_4thSYS_ID[126]&lt;/enet_node&gt;
&lt;enet_port&gt;SxxESWy:17&lt;/enet_port&gt;
&lt;output_pwr_source&gt;Sxx_SyyPSBz:AUX1&lt;/output_pwr_source&gt;
&lt;input_data_bytes&gt;10&lt;/input_data_bytes&gt;
&lt;/trackeritem&gt;</v>
      </c>
    </row>
    <row r="7" spans="2:3" x14ac:dyDescent="0.35">
      <c r="B7" s="66" t="s">
        <v>191</v>
      </c>
      <c r="C7" s="65"/>
    </row>
    <row r="8" spans="2:3" x14ac:dyDescent="0.35">
      <c r="B8" s="66" t="s">
        <v>192</v>
      </c>
      <c r="C8" s="65"/>
    </row>
    <row r="9" spans="2:3" x14ac:dyDescent="0.35">
      <c r="B9" s="66" t="s">
        <v>193</v>
      </c>
      <c r="C9" s="65"/>
    </row>
    <row r="10" spans="2:3" x14ac:dyDescent="0.35">
      <c r="B10" s="66" t="s">
        <v>194</v>
      </c>
      <c r="C10" s="65"/>
    </row>
    <row r="11" spans="2:3" x14ac:dyDescent="0.35">
      <c r="B11" s="66" t="s">
        <v>195</v>
      </c>
      <c r="C11" s="65"/>
    </row>
    <row r="12" spans="2:3" x14ac:dyDescent="0.35">
      <c r="B12" s="66" t="s">
        <v>196</v>
      </c>
      <c r="C12" s="65"/>
    </row>
    <row r="13" spans="2:3" x14ac:dyDescent="0.35">
      <c r="B13" s="66" t="s">
        <v>197</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14"/>
  <sheetViews>
    <sheetView zoomScale="85" zoomScaleNormal="85" workbookViewId="0">
      <pane xSplit="2" topLeftCell="C1" activePane="topRight" state="frozenSplit"/>
      <selection activeCell="A34" sqref="A34"/>
      <selection pane="topRight" activeCell="A44" sqref="A44"/>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59</v>
      </c>
      <c r="B1" s="14" t="s">
        <v>33</v>
      </c>
      <c r="C1" s="14" t="s">
        <v>11</v>
      </c>
      <c r="D1" s="14"/>
      <c r="E1" s="14"/>
      <c r="F1" s="14"/>
      <c r="G1" s="14"/>
      <c r="H1" s="14"/>
      <c r="I1" s="18"/>
      <c r="J1" s="18"/>
      <c r="K1" s="18"/>
      <c r="L1" s="18"/>
    </row>
    <row r="2" spans="1:12" s="15" customFormat="1" x14ac:dyDescent="0.35">
      <c r="A2" s="81" t="s">
        <v>258</v>
      </c>
      <c r="B2" s="17" t="s">
        <v>12</v>
      </c>
      <c r="C2" s="81" t="s">
        <v>129</v>
      </c>
      <c r="D2" s="16"/>
      <c r="E2" s="16"/>
      <c r="F2" s="16"/>
      <c r="G2" s="16"/>
      <c r="H2" s="16"/>
      <c r="I2" s="11"/>
      <c r="J2" s="11"/>
      <c r="K2" s="11"/>
      <c r="L2" s="11"/>
    </row>
    <row r="3" spans="1:12" s="15" customFormat="1" x14ac:dyDescent="0.35">
      <c r="A3" s="81" t="s">
        <v>268</v>
      </c>
      <c r="B3" s="17" t="s">
        <v>12</v>
      </c>
      <c r="C3" s="81"/>
      <c r="D3" s="16"/>
      <c r="E3" s="16"/>
      <c r="F3" s="16"/>
      <c r="G3" s="16"/>
      <c r="H3" s="16"/>
      <c r="I3" s="11"/>
      <c r="J3" s="11"/>
      <c r="K3" s="11"/>
      <c r="L3" s="11"/>
    </row>
    <row r="4" spans="1:12" s="15" customFormat="1" x14ac:dyDescent="0.35">
      <c r="A4" s="81" t="s">
        <v>254</v>
      </c>
      <c r="B4" s="17" t="s">
        <v>12</v>
      </c>
      <c r="C4" s="81" t="s">
        <v>129</v>
      </c>
      <c r="D4" s="16"/>
      <c r="E4" s="16"/>
      <c r="F4" s="16"/>
      <c r="G4" s="16"/>
      <c r="H4" s="16"/>
      <c r="I4" s="11"/>
      <c r="J4" s="11"/>
      <c r="K4" s="11"/>
      <c r="L4" s="11"/>
    </row>
    <row r="5" spans="1:12" s="15" customFormat="1" x14ac:dyDescent="0.35">
      <c r="A5" s="81" t="s">
        <v>255</v>
      </c>
      <c r="B5" s="17" t="s">
        <v>12</v>
      </c>
      <c r="C5" s="81" t="s">
        <v>129</v>
      </c>
      <c r="D5" s="16"/>
      <c r="E5" s="16"/>
      <c r="F5" s="16"/>
      <c r="G5" s="16"/>
      <c r="H5" s="16"/>
      <c r="I5" s="11"/>
      <c r="J5" s="11"/>
      <c r="K5" s="11"/>
      <c r="L5" s="11"/>
    </row>
    <row r="6" spans="1:12" s="15" customFormat="1" x14ac:dyDescent="0.35">
      <c r="A6" s="81" t="s">
        <v>265</v>
      </c>
      <c r="B6" s="17" t="s">
        <v>12</v>
      </c>
      <c r="C6" s="81"/>
      <c r="D6" s="16"/>
      <c r="E6" s="16"/>
      <c r="F6" s="16"/>
      <c r="G6" s="16"/>
      <c r="H6" s="16"/>
      <c r="I6" s="11"/>
      <c r="J6" s="11"/>
      <c r="K6" s="11"/>
      <c r="L6" s="11"/>
    </row>
    <row r="7" spans="1:12" s="15" customFormat="1" x14ac:dyDescent="0.35">
      <c r="A7" s="81" t="s">
        <v>289</v>
      </c>
      <c r="B7" s="17" t="s">
        <v>12</v>
      </c>
      <c r="C7" s="81"/>
      <c r="D7" s="16"/>
      <c r="E7" s="16"/>
      <c r="F7" s="16"/>
      <c r="G7" s="16"/>
      <c r="H7" s="16"/>
      <c r="I7" s="11"/>
      <c r="J7" s="11"/>
      <c r="K7" s="11"/>
      <c r="L7" s="11"/>
    </row>
    <row r="8" spans="1:12" s="15" customFormat="1" x14ac:dyDescent="0.35">
      <c r="A8" s="81" t="s">
        <v>292</v>
      </c>
      <c r="B8" s="17" t="s">
        <v>12</v>
      </c>
      <c r="C8" s="81"/>
      <c r="D8" s="16"/>
      <c r="E8" s="16"/>
      <c r="F8" s="16"/>
      <c r="G8" s="16"/>
      <c r="H8" s="16"/>
      <c r="I8" s="11"/>
      <c r="J8" s="11"/>
      <c r="K8" s="11"/>
      <c r="L8" s="11"/>
    </row>
    <row r="9" spans="1:12" s="15" customFormat="1" x14ac:dyDescent="0.35">
      <c r="A9" s="81"/>
      <c r="B9" s="17"/>
      <c r="C9" s="81"/>
      <c r="D9" s="16"/>
      <c r="E9" s="16"/>
      <c r="F9" s="16"/>
      <c r="G9" s="16"/>
      <c r="H9" s="16"/>
      <c r="I9" s="11"/>
      <c r="J9" s="11"/>
      <c r="K9" s="11"/>
      <c r="L9" s="11"/>
    </row>
    <row r="10" spans="1:12" s="15" customFormat="1" x14ac:dyDescent="0.35">
      <c r="A10" s="81"/>
      <c r="B10" s="17"/>
      <c r="C10" s="81"/>
      <c r="D10" s="16"/>
      <c r="E10" s="16"/>
      <c r="F10" s="16"/>
      <c r="G10" s="16"/>
      <c r="H10" s="16"/>
      <c r="I10" s="11"/>
      <c r="J10" s="11"/>
      <c r="K10" s="11"/>
      <c r="L10" s="11"/>
    </row>
    <row r="11" spans="1:12" s="15" customFormat="1" x14ac:dyDescent="0.35">
      <c r="A11" s="81"/>
      <c r="B11" s="17"/>
      <c r="C11" s="81"/>
      <c r="D11" s="16"/>
      <c r="E11" s="16"/>
      <c r="F11" s="16"/>
      <c r="G11" s="16"/>
      <c r="H11" s="16"/>
      <c r="I11" s="11"/>
      <c r="J11" s="11"/>
      <c r="K11" s="11"/>
      <c r="L11" s="11"/>
    </row>
    <row r="12" spans="1:12" s="15" customFormat="1" x14ac:dyDescent="0.35">
      <c r="A12" s="81"/>
      <c r="B12" s="17"/>
      <c r="C12" s="81"/>
      <c r="D12" s="16"/>
      <c r="E12" s="16"/>
      <c r="F12" s="16"/>
      <c r="G12" s="16"/>
      <c r="H12" s="16"/>
      <c r="I12" s="11"/>
      <c r="J12" s="11"/>
      <c r="K12" s="11"/>
      <c r="L12" s="11"/>
    </row>
    <row r="13" spans="1:12" s="15" customFormat="1" x14ac:dyDescent="0.35">
      <c r="A13" s="81"/>
      <c r="B13" s="17"/>
      <c r="C13" s="81"/>
      <c r="D13" s="16"/>
      <c r="E13" s="16"/>
      <c r="F13" s="16"/>
      <c r="G13" s="16"/>
      <c r="H13" s="16"/>
      <c r="I13" s="11"/>
      <c r="J13" s="11"/>
      <c r="K13" s="11"/>
      <c r="L13" s="11"/>
    </row>
    <row r="14" spans="1:12" x14ac:dyDescent="0.35">
      <c r="A14" s="14" t="s">
        <v>58</v>
      </c>
      <c r="B14" s="14" t="s">
        <v>33</v>
      </c>
      <c r="C14" s="14" t="s">
        <v>11</v>
      </c>
      <c r="D14" s="14" t="s">
        <v>31</v>
      </c>
      <c r="E14" s="14" t="s">
        <v>157</v>
      </c>
      <c r="F14" s="14"/>
      <c r="G14" s="14"/>
      <c r="H14" s="14"/>
      <c r="I14" s="14"/>
      <c r="J14" s="14"/>
      <c r="K14" s="14"/>
      <c r="L14" s="14"/>
    </row>
    <row r="15" spans="1:12" s="15" customFormat="1" x14ac:dyDescent="0.35">
      <c r="A15" s="81" t="s">
        <v>279</v>
      </c>
      <c r="B15" s="17" t="s">
        <v>12</v>
      </c>
      <c r="C15" s="81" t="s">
        <v>129</v>
      </c>
      <c r="D15" s="82" t="s">
        <v>259</v>
      </c>
      <c r="E15" s="81"/>
      <c r="F15" s="16"/>
      <c r="G15" s="16"/>
      <c r="H15" s="16"/>
      <c r="I15" s="16"/>
      <c r="J15" s="20"/>
      <c r="K15" s="16"/>
      <c r="L15" s="16"/>
    </row>
    <row r="16" spans="1:12" s="15" customFormat="1" x14ac:dyDescent="0.35">
      <c r="A16" s="81" t="s">
        <v>294</v>
      </c>
      <c r="B16" s="17" t="s">
        <v>12</v>
      </c>
      <c r="C16" s="81" t="s">
        <v>129</v>
      </c>
      <c r="D16" s="82" t="s">
        <v>250</v>
      </c>
      <c r="E16" s="81"/>
      <c r="F16" s="16"/>
      <c r="G16" s="16"/>
      <c r="H16" s="16"/>
      <c r="I16" s="16"/>
      <c r="J16" s="20"/>
      <c r="K16" s="16"/>
      <c r="L16" s="16"/>
    </row>
    <row r="17" spans="1:12" s="15" customFormat="1" x14ac:dyDescent="0.35">
      <c r="A17" s="81" t="s">
        <v>280</v>
      </c>
      <c r="B17" s="17" t="s">
        <v>12</v>
      </c>
      <c r="C17" s="81" t="s">
        <v>129</v>
      </c>
      <c r="D17" s="82" t="s">
        <v>250</v>
      </c>
      <c r="E17" s="81"/>
      <c r="F17" s="16"/>
      <c r="G17" s="16"/>
      <c r="H17" s="16"/>
      <c r="I17" s="16"/>
      <c r="J17" s="20"/>
      <c r="K17" s="16"/>
      <c r="L17" s="16"/>
    </row>
    <row r="18" spans="1:12" s="15" customFormat="1" x14ac:dyDescent="0.35">
      <c r="A18" s="81" t="s">
        <v>269</v>
      </c>
      <c r="B18" s="17" t="s">
        <v>98</v>
      </c>
      <c r="C18" s="81" t="s">
        <v>129</v>
      </c>
      <c r="D18" s="82" t="s">
        <v>249</v>
      </c>
      <c r="E18" s="81"/>
      <c r="F18" s="16"/>
      <c r="G18" s="16"/>
      <c r="H18" s="16"/>
      <c r="I18" s="16"/>
      <c r="J18" s="20"/>
      <c r="K18" s="16"/>
      <c r="L18" s="16"/>
    </row>
    <row r="19" spans="1:12" s="15" customFormat="1" x14ac:dyDescent="0.35">
      <c r="A19" s="81" t="s">
        <v>270</v>
      </c>
      <c r="B19" s="17" t="s">
        <v>12</v>
      </c>
      <c r="C19" s="81" t="s">
        <v>166</v>
      </c>
      <c r="D19" s="82" t="s">
        <v>250</v>
      </c>
      <c r="E19" s="81"/>
      <c r="F19" s="16"/>
      <c r="G19" s="16"/>
      <c r="H19" s="16"/>
      <c r="I19" s="16"/>
      <c r="J19" s="20"/>
      <c r="K19" s="16"/>
      <c r="L19" s="16"/>
    </row>
    <row r="20" spans="1:12" s="15" customFormat="1" x14ac:dyDescent="0.35">
      <c r="A20" s="81" t="s">
        <v>257</v>
      </c>
      <c r="B20" s="17" t="s">
        <v>12</v>
      </c>
      <c r="C20" s="81" t="s">
        <v>129</v>
      </c>
      <c r="D20" s="82" t="s">
        <v>250</v>
      </c>
      <c r="E20" s="81"/>
      <c r="F20" s="16"/>
      <c r="G20" s="16"/>
      <c r="H20" s="16"/>
      <c r="I20" s="16"/>
      <c r="J20" s="20"/>
      <c r="K20" s="16"/>
      <c r="L20" s="16"/>
    </row>
    <row r="21" spans="1:12" s="15" customFormat="1" x14ac:dyDescent="0.35">
      <c r="A21" s="81" t="s">
        <v>256</v>
      </c>
      <c r="B21" s="17" t="s">
        <v>12</v>
      </c>
      <c r="C21" s="81"/>
      <c r="D21" s="82" t="s">
        <v>259</v>
      </c>
      <c r="E21" s="81"/>
      <c r="F21" s="16"/>
      <c r="G21" s="16"/>
      <c r="H21" s="16"/>
      <c r="I21" s="16"/>
      <c r="J21" s="20"/>
      <c r="K21" s="16"/>
      <c r="L21" s="16"/>
    </row>
    <row r="22" spans="1:12" s="15" customFormat="1" x14ac:dyDescent="0.35">
      <c r="A22" s="81" t="s">
        <v>290</v>
      </c>
      <c r="B22" s="17" t="s">
        <v>12</v>
      </c>
      <c r="C22" s="81"/>
      <c r="D22" s="82" t="s">
        <v>289</v>
      </c>
      <c r="E22" s="81"/>
      <c r="F22" s="16"/>
      <c r="G22" s="16"/>
      <c r="H22" s="16"/>
      <c r="I22" s="16"/>
      <c r="J22" s="20"/>
      <c r="K22" s="16"/>
      <c r="L22" s="16"/>
    </row>
    <row r="23" spans="1:12" s="15" customFormat="1" x14ac:dyDescent="0.35">
      <c r="A23" s="81" t="s">
        <v>293</v>
      </c>
      <c r="B23" s="17" t="s">
        <v>12</v>
      </c>
      <c r="C23" s="81"/>
      <c r="D23" s="81" t="s">
        <v>292</v>
      </c>
      <c r="E23" s="81"/>
      <c r="F23" s="16"/>
      <c r="G23" s="16"/>
      <c r="H23" s="16"/>
      <c r="I23" s="16"/>
      <c r="J23" s="20"/>
      <c r="K23" s="16"/>
      <c r="L23" s="16"/>
    </row>
    <row r="24" spans="1:12" s="15" customFormat="1" x14ac:dyDescent="0.35">
      <c r="A24" s="81"/>
      <c r="B24" s="17"/>
      <c r="C24" s="81"/>
      <c r="D24" s="82"/>
      <c r="E24" s="81"/>
      <c r="F24" s="16"/>
      <c r="G24" s="16"/>
      <c r="H24" s="16"/>
      <c r="I24" s="16"/>
      <c r="J24" s="20"/>
      <c r="K24" s="16"/>
      <c r="L24" s="16"/>
    </row>
    <row r="25" spans="1:12" s="15" customFormat="1" x14ac:dyDescent="0.35">
      <c r="A25" s="81"/>
      <c r="B25" s="17"/>
      <c r="C25" s="81"/>
      <c r="D25" s="82"/>
      <c r="E25" s="81"/>
      <c r="F25" s="16"/>
      <c r="G25" s="16"/>
      <c r="H25" s="16"/>
      <c r="I25" s="16"/>
      <c r="J25" s="20"/>
      <c r="K25" s="16"/>
      <c r="L25" s="16"/>
    </row>
    <row r="26" spans="1:12" s="15" customFormat="1" x14ac:dyDescent="0.35">
      <c r="A26" s="81"/>
      <c r="B26" s="17"/>
      <c r="C26" s="81"/>
      <c r="D26" s="82"/>
      <c r="E26" s="81"/>
      <c r="F26" s="16"/>
      <c r="G26" s="16"/>
      <c r="H26" s="16"/>
      <c r="I26" s="16"/>
      <c r="J26" s="20"/>
      <c r="K26" s="16"/>
      <c r="L26" s="16"/>
    </row>
    <row r="27" spans="1:12" s="15" customFormat="1" x14ac:dyDescent="0.35">
      <c r="A27" s="81"/>
      <c r="B27" s="17"/>
      <c r="C27" s="81"/>
      <c r="D27" s="82"/>
      <c r="E27" s="81"/>
      <c r="F27" s="16"/>
      <c r="G27" s="16"/>
      <c r="H27" s="16"/>
      <c r="I27" s="16"/>
      <c r="J27" s="20"/>
      <c r="K27" s="16"/>
      <c r="L27" s="16"/>
    </row>
    <row r="28" spans="1:12" s="15" customFormat="1" x14ac:dyDescent="0.35">
      <c r="A28" s="81"/>
      <c r="B28" s="17"/>
      <c r="C28" s="81"/>
      <c r="D28" s="82"/>
      <c r="E28" s="81"/>
      <c r="F28" s="16"/>
      <c r="G28" s="16"/>
      <c r="H28" s="16"/>
      <c r="I28" s="16"/>
      <c r="J28" s="20"/>
      <c r="K28" s="16"/>
      <c r="L28" s="16"/>
    </row>
    <row r="29" spans="1:12" x14ac:dyDescent="0.35">
      <c r="A29" s="14" t="s">
        <v>57</v>
      </c>
      <c r="B29" s="14" t="s">
        <v>33</v>
      </c>
      <c r="C29" s="14" t="s">
        <v>32</v>
      </c>
      <c r="D29" s="14"/>
      <c r="E29" s="14"/>
      <c r="F29" s="14"/>
      <c r="G29" s="14"/>
      <c r="H29" s="14"/>
      <c r="I29" s="14"/>
      <c r="J29" s="14"/>
      <c r="K29" s="14"/>
      <c r="L29" s="14"/>
    </row>
    <row r="30" spans="1:12" s="15" customFormat="1" x14ac:dyDescent="0.35">
      <c r="A30" s="17"/>
      <c r="B30" s="17"/>
      <c r="C30" s="17"/>
      <c r="D30" s="16"/>
      <c r="E30" s="16"/>
      <c r="F30" s="16"/>
      <c r="G30" s="16"/>
      <c r="H30" s="16"/>
      <c r="I30" s="16"/>
      <c r="J30" s="20"/>
      <c r="K30" s="16"/>
      <c r="L30" s="16"/>
    </row>
    <row r="31" spans="1:12" s="15" customFormat="1" x14ac:dyDescent="0.35">
      <c r="A31" s="17"/>
      <c r="B31" s="17"/>
      <c r="C31" s="17"/>
      <c r="D31" s="16"/>
      <c r="E31" s="16"/>
      <c r="F31" s="16"/>
      <c r="G31" s="16"/>
      <c r="H31" s="16"/>
      <c r="I31" s="16"/>
      <c r="J31" s="20"/>
      <c r="K31" s="16"/>
      <c r="L31" s="16"/>
    </row>
    <row r="32" spans="1:12" s="15" customFormat="1" x14ac:dyDescent="0.35">
      <c r="A32" s="17"/>
      <c r="B32" s="17"/>
      <c r="C32" s="17"/>
      <c r="D32" s="16"/>
      <c r="E32" s="16"/>
      <c r="F32" s="16"/>
      <c r="G32" s="16"/>
      <c r="H32" s="16"/>
      <c r="I32" s="16"/>
      <c r="J32" s="20"/>
      <c r="K32" s="16"/>
      <c r="L32" s="16"/>
    </row>
    <row r="33" spans="1:12" s="15" customFormat="1" x14ac:dyDescent="0.35">
      <c r="A33" s="17"/>
      <c r="B33" s="17"/>
      <c r="C33" s="17"/>
      <c r="D33" s="16"/>
      <c r="E33" s="16"/>
      <c r="F33" s="16"/>
      <c r="G33" s="16"/>
      <c r="H33" s="16"/>
      <c r="I33" s="16"/>
      <c r="J33" s="20"/>
      <c r="K33" s="16"/>
      <c r="L33" s="16"/>
    </row>
    <row r="34" spans="1:12" s="15" customFormat="1" x14ac:dyDescent="0.35">
      <c r="A34" s="17"/>
      <c r="B34" s="17"/>
      <c r="C34" s="17"/>
      <c r="D34" s="16"/>
      <c r="E34" s="16"/>
      <c r="F34" s="16"/>
      <c r="G34" s="16"/>
      <c r="H34" s="16"/>
      <c r="I34" s="16"/>
      <c r="J34" s="20"/>
      <c r="K34" s="16"/>
      <c r="L34" s="16"/>
    </row>
    <row r="35" spans="1:12" x14ac:dyDescent="0.35">
      <c r="A35" s="14" t="s">
        <v>56</v>
      </c>
      <c r="B35" s="14" t="s">
        <v>33</v>
      </c>
      <c r="C35" s="14" t="s">
        <v>32</v>
      </c>
      <c r="D35" s="14" t="s">
        <v>47</v>
      </c>
      <c r="E35" s="14" t="s">
        <v>55</v>
      </c>
      <c r="F35" s="14" t="s">
        <v>54</v>
      </c>
      <c r="G35" s="14" t="s">
        <v>53</v>
      </c>
      <c r="H35" s="14"/>
      <c r="I35" s="14"/>
      <c r="J35" s="14"/>
      <c r="K35" s="14"/>
      <c r="L35" s="14"/>
    </row>
    <row r="36" spans="1:12" s="15" customFormat="1" x14ac:dyDescent="0.35">
      <c r="A36" s="17"/>
      <c r="B36" s="17"/>
      <c r="C36" s="17"/>
      <c r="D36" s="82"/>
      <c r="E36" s="82"/>
      <c r="F36" s="82"/>
      <c r="G36" s="82"/>
      <c r="H36" s="20"/>
      <c r="I36" s="11"/>
      <c r="J36" s="11"/>
      <c r="K36" s="11"/>
      <c r="L36" s="11"/>
    </row>
    <row r="37" spans="1:12" s="15" customFormat="1" x14ac:dyDescent="0.35">
      <c r="A37" s="17"/>
      <c r="B37" s="17"/>
      <c r="C37" s="17"/>
      <c r="D37" s="82"/>
      <c r="E37" s="82"/>
      <c r="F37" s="82"/>
      <c r="G37" s="82"/>
      <c r="H37" s="20"/>
      <c r="I37" s="11"/>
      <c r="J37" s="11"/>
      <c r="K37" s="11"/>
      <c r="L37" s="11"/>
    </row>
    <row r="38" spans="1:12" s="15" customFormat="1" x14ac:dyDescent="0.35">
      <c r="A38" s="17"/>
      <c r="B38" s="17"/>
      <c r="C38" s="17"/>
      <c r="D38" s="82"/>
      <c r="E38" s="82"/>
      <c r="F38" s="82"/>
      <c r="G38" s="82"/>
      <c r="H38" s="20"/>
      <c r="I38" s="11"/>
      <c r="J38" s="11"/>
      <c r="K38" s="11"/>
      <c r="L38" s="11"/>
    </row>
    <row r="39" spans="1:12" s="15" customFormat="1" x14ac:dyDescent="0.35">
      <c r="A39" s="17"/>
      <c r="B39" s="17"/>
      <c r="C39" s="17"/>
      <c r="D39" s="82"/>
      <c r="E39" s="82"/>
      <c r="F39" s="82"/>
      <c r="G39" s="82"/>
      <c r="H39" s="20"/>
      <c r="I39" s="11"/>
      <c r="J39" s="11"/>
      <c r="K39" s="11"/>
      <c r="L39" s="11"/>
    </row>
    <row r="40" spans="1:12" s="15" customFormat="1" x14ac:dyDescent="0.35">
      <c r="A40" s="17"/>
      <c r="B40" s="17"/>
      <c r="C40" s="17"/>
      <c r="D40" s="82"/>
      <c r="E40" s="82"/>
      <c r="F40" s="82"/>
      <c r="G40" s="82"/>
      <c r="H40" s="20"/>
      <c r="I40" s="11"/>
      <c r="J40" s="11"/>
      <c r="K40" s="11"/>
      <c r="L40" s="11"/>
    </row>
    <row r="41" spans="1:12" x14ac:dyDescent="0.35">
      <c r="A41" s="14" t="s">
        <v>52</v>
      </c>
      <c r="B41" s="14" t="s">
        <v>33</v>
      </c>
      <c r="C41" s="14"/>
      <c r="D41" s="14" t="s">
        <v>31</v>
      </c>
      <c r="E41" s="14"/>
      <c r="F41" s="14"/>
      <c r="G41" s="14"/>
      <c r="H41" s="14"/>
      <c r="I41" s="14"/>
      <c r="J41" s="14"/>
      <c r="K41" s="14"/>
      <c r="L41" s="14"/>
    </row>
    <row r="42" spans="1:12" s="15" customFormat="1" x14ac:dyDescent="0.35">
      <c r="A42" s="17" t="s">
        <v>259</v>
      </c>
      <c r="B42" s="17" t="s">
        <v>12</v>
      </c>
      <c r="C42" s="16"/>
      <c r="D42" s="82" t="s">
        <v>281</v>
      </c>
      <c r="E42" s="11"/>
      <c r="F42" s="11"/>
      <c r="G42" s="11"/>
      <c r="H42" s="11"/>
      <c r="I42" s="11"/>
      <c r="J42" s="11"/>
      <c r="K42" s="11"/>
      <c r="L42" s="11"/>
    </row>
    <row r="43" spans="1:12" s="15" customFormat="1" x14ac:dyDescent="0.35">
      <c r="A43" s="17" t="s">
        <v>250</v>
      </c>
      <c r="B43" s="17" t="s">
        <v>12</v>
      </c>
      <c r="C43" s="16"/>
      <c r="D43" s="82" t="s">
        <v>272</v>
      </c>
      <c r="E43" s="11"/>
      <c r="F43" s="11"/>
      <c r="G43" s="11"/>
      <c r="H43" s="11"/>
      <c r="I43" s="11"/>
      <c r="J43" s="11"/>
      <c r="K43" s="11"/>
      <c r="L43" s="11"/>
    </row>
    <row r="44" spans="1:12" s="15" customFormat="1" x14ac:dyDescent="0.35">
      <c r="A44" s="17"/>
      <c r="B44" s="17"/>
      <c r="C44" s="16"/>
      <c r="D44" s="82"/>
      <c r="E44" s="11"/>
      <c r="F44" s="11"/>
      <c r="G44" s="11"/>
      <c r="H44" s="11"/>
      <c r="I44" s="11"/>
      <c r="J44" s="11"/>
      <c r="K44" s="11"/>
      <c r="L44" s="11"/>
    </row>
    <row r="45" spans="1:12" s="15" customFormat="1" x14ac:dyDescent="0.35">
      <c r="A45" s="17"/>
      <c r="B45" s="17"/>
      <c r="C45" s="16"/>
      <c r="D45" s="82"/>
      <c r="E45" s="11"/>
      <c r="F45" s="11"/>
      <c r="G45" s="11"/>
      <c r="H45" s="11"/>
      <c r="I45" s="11"/>
      <c r="J45" s="11"/>
      <c r="K45" s="11"/>
      <c r="L45" s="11"/>
    </row>
    <row r="46" spans="1:12" s="15" customFormat="1" x14ac:dyDescent="0.35">
      <c r="A46" s="17"/>
      <c r="B46" s="17"/>
      <c r="C46" s="16"/>
      <c r="D46" s="82"/>
      <c r="E46" s="11"/>
      <c r="F46" s="11"/>
      <c r="G46" s="11"/>
      <c r="H46" s="11"/>
      <c r="I46" s="11"/>
      <c r="J46" s="11"/>
      <c r="K46" s="11"/>
      <c r="L46" s="11"/>
    </row>
    <row r="47" spans="1:12" s="15" customFormat="1" x14ac:dyDescent="0.35">
      <c r="A47" s="17"/>
      <c r="B47" s="17"/>
      <c r="C47" s="16"/>
      <c r="D47" s="82"/>
      <c r="E47" s="11"/>
      <c r="F47" s="11"/>
      <c r="G47" s="11"/>
      <c r="H47" s="11"/>
      <c r="I47" s="11"/>
      <c r="J47" s="11"/>
      <c r="K47" s="11"/>
      <c r="L47" s="11"/>
    </row>
    <row r="48" spans="1:12" s="15" customFormat="1" x14ac:dyDescent="0.35">
      <c r="A48" s="17"/>
      <c r="B48" s="17"/>
      <c r="C48" s="16"/>
      <c r="D48" s="82"/>
      <c r="E48" s="11"/>
      <c r="F48" s="11"/>
      <c r="G48" s="11"/>
      <c r="H48" s="11"/>
      <c r="I48" s="11"/>
      <c r="J48" s="11"/>
      <c r="K48" s="11"/>
      <c r="L48" s="11"/>
    </row>
    <row r="49" spans="1:12" x14ac:dyDescent="0.35">
      <c r="A49" s="19" t="s">
        <v>51</v>
      </c>
      <c r="B49" s="19" t="s">
        <v>33</v>
      </c>
      <c r="C49" s="19" t="s">
        <v>50</v>
      </c>
      <c r="D49" s="14"/>
      <c r="E49" s="14"/>
      <c r="F49" s="14"/>
      <c r="G49" s="14"/>
      <c r="H49" s="14"/>
      <c r="I49" s="14"/>
      <c r="J49" s="14"/>
      <c r="K49" s="14"/>
      <c r="L49" s="14"/>
    </row>
    <row r="50" spans="1:12" s="15" customFormat="1" x14ac:dyDescent="0.35">
      <c r="A50" s="17"/>
      <c r="B50" s="17"/>
      <c r="C50" s="17"/>
      <c r="D50" s="11"/>
      <c r="E50" s="11"/>
      <c r="F50" s="11"/>
      <c r="G50" s="11"/>
      <c r="H50" s="11"/>
      <c r="I50" s="11"/>
      <c r="J50" s="11"/>
      <c r="K50" s="11"/>
      <c r="L50" s="11"/>
    </row>
    <row r="51" spans="1:12" s="15" customFormat="1" x14ac:dyDescent="0.35">
      <c r="A51" s="17"/>
      <c r="B51" s="17"/>
      <c r="C51" s="17"/>
      <c r="D51" s="11"/>
      <c r="E51" s="11"/>
      <c r="F51" s="11"/>
      <c r="G51" s="11"/>
      <c r="H51" s="11"/>
      <c r="I51" s="11"/>
      <c r="J51" s="11"/>
      <c r="K51" s="11"/>
      <c r="L51" s="11"/>
    </row>
    <row r="52" spans="1:12" s="15" customFormat="1" x14ac:dyDescent="0.35">
      <c r="A52" s="17"/>
      <c r="B52" s="17"/>
      <c r="C52" s="17"/>
      <c r="D52" s="11"/>
      <c r="E52" s="11"/>
      <c r="F52" s="11"/>
      <c r="G52" s="11"/>
      <c r="H52" s="11"/>
      <c r="I52" s="11"/>
      <c r="J52" s="11"/>
      <c r="K52" s="11"/>
      <c r="L52" s="11"/>
    </row>
    <row r="53" spans="1:12" s="15" customFormat="1" x14ac:dyDescent="0.35">
      <c r="A53" s="17"/>
      <c r="B53" s="17"/>
      <c r="C53" s="17"/>
      <c r="D53" s="11"/>
      <c r="E53" s="11"/>
      <c r="F53" s="11"/>
      <c r="G53" s="11"/>
      <c r="H53" s="11"/>
      <c r="I53" s="11"/>
      <c r="J53" s="11"/>
      <c r="K53" s="11"/>
      <c r="L53" s="11"/>
    </row>
    <row r="54" spans="1:12" s="15" customFormat="1" x14ac:dyDescent="0.35">
      <c r="A54" s="17"/>
      <c r="B54" s="17"/>
      <c r="C54" s="17"/>
      <c r="D54" s="11"/>
      <c r="E54" s="11"/>
      <c r="F54" s="11"/>
      <c r="G54" s="11"/>
      <c r="H54" s="11"/>
      <c r="I54" s="11"/>
      <c r="J54" s="11"/>
      <c r="K54" s="11"/>
      <c r="L54" s="11"/>
    </row>
    <row r="55" spans="1:12" x14ac:dyDescent="0.35">
      <c r="A55" s="14" t="s">
        <v>49</v>
      </c>
      <c r="B55" s="14" t="s">
        <v>33</v>
      </c>
      <c r="C55" s="14"/>
      <c r="D55" s="14" t="s">
        <v>31</v>
      </c>
      <c r="E55" s="14"/>
      <c r="F55" s="14"/>
      <c r="G55" s="14"/>
      <c r="H55" s="14"/>
      <c r="I55" s="14"/>
      <c r="J55" s="14"/>
      <c r="K55" s="14"/>
      <c r="L55" s="14"/>
    </row>
    <row r="56" spans="1:12" s="15" customFormat="1" x14ac:dyDescent="0.35">
      <c r="A56" s="17"/>
      <c r="B56" s="17"/>
      <c r="C56" s="16"/>
      <c r="D56" s="17"/>
      <c r="E56" s="11"/>
      <c r="F56" s="11"/>
      <c r="G56" s="11"/>
      <c r="H56" s="11"/>
      <c r="I56" s="11"/>
      <c r="J56" s="11"/>
      <c r="K56" s="11"/>
      <c r="L56" s="11"/>
    </row>
    <row r="57" spans="1:12" s="15" customFormat="1" x14ac:dyDescent="0.35">
      <c r="A57" s="17"/>
      <c r="B57" s="17"/>
      <c r="C57" s="16"/>
      <c r="D57" s="17"/>
      <c r="E57" s="11"/>
      <c r="F57" s="11"/>
      <c r="G57" s="11"/>
      <c r="H57" s="11"/>
      <c r="I57" s="11"/>
      <c r="J57" s="11"/>
      <c r="K57" s="11"/>
      <c r="L57" s="11"/>
    </row>
    <row r="58" spans="1:12" s="15" customFormat="1" x14ac:dyDescent="0.35">
      <c r="A58" s="17"/>
      <c r="B58" s="17"/>
      <c r="C58" s="16"/>
      <c r="D58" s="17"/>
      <c r="E58" s="11"/>
      <c r="F58" s="11"/>
      <c r="G58" s="11"/>
      <c r="H58" s="11"/>
      <c r="I58" s="11"/>
      <c r="J58" s="11"/>
      <c r="K58" s="11"/>
      <c r="L58" s="11"/>
    </row>
    <row r="59" spans="1:12" s="15" customFormat="1" x14ac:dyDescent="0.35">
      <c r="A59" s="17"/>
      <c r="B59" s="17"/>
      <c r="C59" s="16"/>
      <c r="D59" s="17"/>
      <c r="E59" s="11"/>
      <c r="F59" s="11"/>
      <c r="G59" s="11"/>
      <c r="H59" s="11"/>
      <c r="I59" s="11"/>
      <c r="J59" s="11"/>
      <c r="K59" s="11"/>
      <c r="L59" s="11"/>
    </row>
    <row r="60" spans="1:12" s="15" customFormat="1" x14ac:dyDescent="0.35">
      <c r="A60" s="17"/>
      <c r="B60" s="17"/>
      <c r="C60" s="16"/>
      <c r="D60" s="17"/>
      <c r="E60" s="11"/>
      <c r="F60" s="11"/>
      <c r="G60" s="11"/>
      <c r="H60" s="11"/>
      <c r="I60" s="11"/>
      <c r="J60" s="11"/>
      <c r="K60" s="11"/>
      <c r="L60" s="11"/>
    </row>
    <row r="61" spans="1:12" x14ac:dyDescent="0.35">
      <c r="A61" s="14" t="s">
        <v>48</v>
      </c>
      <c r="B61" s="14" t="s">
        <v>33</v>
      </c>
      <c r="C61" s="14" t="s">
        <v>47</v>
      </c>
      <c r="D61" s="14" t="s">
        <v>31</v>
      </c>
      <c r="E61" s="14" t="s">
        <v>44</v>
      </c>
      <c r="F61" s="14" t="s">
        <v>46</v>
      </c>
      <c r="G61" s="14"/>
      <c r="H61" s="14"/>
      <c r="I61" s="14"/>
      <c r="J61" s="14"/>
      <c r="K61" s="14"/>
      <c r="L61" s="14"/>
    </row>
    <row r="62" spans="1:12" s="15" customFormat="1" x14ac:dyDescent="0.35">
      <c r="A62" s="17"/>
      <c r="B62" s="17"/>
      <c r="C62" s="17"/>
      <c r="D62" s="82"/>
      <c r="E62" s="82"/>
      <c r="F62" s="81"/>
      <c r="G62" s="16"/>
      <c r="H62" s="16"/>
      <c r="I62" s="11"/>
      <c r="J62" s="11"/>
      <c r="K62" s="11"/>
      <c r="L62" s="11"/>
    </row>
    <row r="63" spans="1:12" s="15" customFormat="1" x14ac:dyDescent="0.35">
      <c r="A63" s="17"/>
      <c r="B63" s="17"/>
      <c r="C63" s="17"/>
      <c r="D63" s="82"/>
      <c r="E63" s="82"/>
      <c r="F63" s="81"/>
      <c r="G63" s="16"/>
      <c r="H63" s="16"/>
      <c r="I63" s="11"/>
      <c r="J63" s="11"/>
      <c r="K63" s="11"/>
      <c r="L63" s="11"/>
    </row>
    <row r="64" spans="1:12" s="15" customFormat="1" x14ac:dyDescent="0.35">
      <c r="A64" s="17"/>
      <c r="B64" s="17"/>
      <c r="C64" s="17"/>
      <c r="D64" s="82"/>
      <c r="E64" s="82"/>
      <c r="F64" s="81"/>
      <c r="G64" s="16"/>
      <c r="H64" s="16"/>
      <c r="I64" s="11"/>
      <c r="J64" s="11"/>
      <c r="K64" s="11"/>
      <c r="L64" s="11"/>
    </row>
    <row r="65" spans="1:12" s="15" customFormat="1" x14ac:dyDescent="0.35">
      <c r="A65" s="17"/>
      <c r="B65" s="17"/>
      <c r="C65" s="17"/>
      <c r="D65" s="82"/>
      <c r="E65" s="82"/>
      <c r="F65" s="81"/>
      <c r="G65" s="16"/>
      <c r="H65" s="16"/>
      <c r="I65" s="11"/>
      <c r="J65" s="11"/>
      <c r="K65" s="11"/>
      <c r="L65" s="11"/>
    </row>
    <row r="66" spans="1:12" s="15" customFormat="1" x14ac:dyDescent="0.35">
      <c r="A66" s="17"/>
      <c r="B66" s="17"/>
      <c r="C66" s="17"/>
      <c r="D66" s="82"/>
      <c r="E66" s="82"/>
      <c r="F66" s="81"/>
      <c r="G66" s="16"/>
      <c r="H66" s="16"/>
      <c r="I66" s="11"/>
      <c r="J66" s="11"/>
      <c r="K66" s="11"/>
      <c r="L66" s="11"/>
    </row>
    <row r="67" spans="1:12" x14ac:dyDescent="0.35">
      <c r="A67" s="14" t="s">
        <v>45</v>
      </c>
      <c r="B67" s="14" t="s">
        <v>33</v>
      </c>
      <c r="C67" s="14" t="s">
        <v>32</v>
      </c>
      <c r="D67" s="14" t="s">
        <v>31</v>
      </c>
      <c r="E67" s="14" t="s">
        <v>44</v>
      </c>
      <c r="F67" s="14"/>
      <c r="G67" s="14"/>
      <c r="H67" s="14"/>
      <c r="I67" s="14"/>
      <c r="J67" s="14"/>
      <c r="K67" s="14"/>
      <c r="L67" s="14"/>
    </row>
    <row r="68" spans="1:12" x14ac:dyDescent="0.35">
      <c r="A68" s="18"/>
      <c r="B68" s="18"/>
      <c r="C68" s="18"/>
      <c r="D68" s="18"/>
      <c r="E68" s="18"/>
      <c r="F68" s="12"/>
      <c r="G68" s="12"/>
      <c r="H68" s="12"/>
      <c r="I68" s="12"/>
      <c r="J68" s="12"/>
      <c r="K68" s="12"/>
      <c r="L68" s="12"/>
    </row>
    <row r="69" spans="1:12" x14ac:dyDescent="0.35">
      <c r="A69" s="18"/>
      <c r="B69" s="18"/>
      <c r="C69" s="18"/>
      <c r="D69" s="18"/>
      <c r="E69" s="18"/>
      <c r="F69" s="12"/>
      <c r="G69" s="12"/>
      <c r="H69" s="12"/>
      <c r="I69" s="12"/>
      <c r="J69" s="12"/>
      <c r="K69" s="12"/>
      <c r="L69" s="12"/>
    </row>
    <row r="70" spans="1:12" x14ac:dyDescent="0.35">
      <c r="A70" s="18"/>
      <c r="B70" s="18"/>
      <c r="C70" s="18"/>
      <c r="D70" s="18"/>
      <c r="E70" s="18"/>
      <c r="F70" s="12"/>
      <c r="G70" s="12"/>
      <c r="H70" s="12"/>
      <c r="I70" s="12"/>
      <c r="J70" s="12"/>
      <c r="K70" s="12"/>
      <c r="L70" s="12"/>
    </row>
    <row r="71" spans="1:12" x14ac:dyDescent="0.35">
      <c r="A71" s="18"/>
      <c r="B71" s="18"/>
      <c r="C71" s="18"/>
      <c r="D71" s="18"/>
      <c r="E71" s="18"/>
      <c r="F71" s="12"/>
      <c r="G71" s="12"/>
      <c r="H71" s="12"/>
      <c r="I71" s="12"/>
      <c r="J71" s="12"/>
      <c r="K71" s="12"/>
      <c r="L71" s="12"/>
    </row>
    <row r="72" spans="1:12" x14ac:dyDescent="0.35">
      <c r="A72" s="18"/>
      <c r="B72" s="18"/>
      <c r="C72" s="18"/>
      <c r="D72" s="18"/>
      <c r="E72" s="18"/>
      <c r="F72" s="12"/>
      <c r="G72" s="12"/>
      <c r="H72" s="12"/>
      <c r="I72" s="12"/>
      <c r="J72" s="12"/>
      <c r="K72" s="12"/>
      <c r="L72" s="12"/>
    </row>
    <row r="73" spans="1:12" x14ac:dyDescent="0.35">
      <c r="A73" s="14" t="s">
        <v>43</v>
      </c>
      <c r="B73" s="14" t="s">
        <v>33</v>
      </c>
      <c r="C73" s="14" t="s">
        <v>32</v>
      </c>
      <c r="D73" s="14" t="s">
        <v>31</v>
      </c>
      <c r="E73" s="14" t="s">
        <v>42</v>
      </c>
      <c r="F73" s="14" t="s">
        <v>39</v>
      </c>
      <c r="G73" s="14" t="s">
        <v>38</v>
      </c>
      <c r="H73" s="14"/>
      <c r="I73" s="14"/>
      <c r="J73" s="14"/>
      <c r="K73" s="14"/>
      <c r="L73" s="14"/>
    </row>
    <row r="74" spans="1:12" s="15" customFormat="1" x14ac:dyDescent="0.35">
      <c r="A74" s="17"/>
      <c r="B74" s="17"/>
      <c r="C74" s="17"/>
      <c r="D74" s="82"/>
      <c r="E74" s="82"/>
      <c r="F74" s="82"/>
      <c r="G74" s="82"/>
      <c r="H74" s="11"/>
      <c r="I74" s="11"/>
      <c r="J74" s="11"/>
      <c r="K74" s="11"/>
      <c r="L74" s="11"/>
    </row>
    <row r="75" spans="1:12" s="15" customFormat="1" x14ac:dyDescent="0.35">
      <c r="A75" s="17"/>
      <c r="B75" s="17"/>
      <c r="C75" s="17"/>
      <c r="D75" s="82"/>
      <c r="E75" s="82"/>
      <c r="F75" s="82"/>
      <c r="G75" s="82"/>
      <c r="H75" s="11"/>
      <c r="I75" s="11"/>
      <c r="J75" s="11"/>
      <c r="K75" s="11"/>
      <c r="L75" s="11"/>
    </row>
    <row r="76" spans="1:12" s="15" customFormat="1" x14ac:dyDescent="0.35">
      <c r="A76" s="17"/>
      <c r="B76" s="17"/>
      <c r="C76" s="17"/>
      <c r="D76" s="82"/>
      <c r="E76" s="82"/>
      <c r="F76" s="82"/>
      <c r="G76" s="82"/>
      <c r="H76" s="11"/>
      <c r="I76" s="11"/>
      <c r="J76" s="11"/>
      <c r="K76" s="11"/>
      <c r="L76" s="11"/>
    </row>
    <row r="77" spans="1:12" s="15" customFormat="1" x14ac:dyDescent="0.35">
      <c r="A77" s="17"/>
      <c r="B77" s="17"/>
      <c r="C77" s="17"/>
      <c r="D77" s="82"/>
      <c r="E77" s="82"/>
      <c r="F77" s="82"/>
      <c r="G77" s="82"/>
      <c r="H77" s="11"/>
      <c r="I77" s="11"/>
      <c r="J77" s="11"/>
      <c r="K77" s="11"/>
      <c r="L77" s="11"/>
    </row>
    <row r="78" spans="1:12" s="15" customFormat="1" x14ac:dyDescent="0.35">
      <c r="A78" s="17"/>
      <c r="B78" s="17"/>
      <c r="C78" s="17"/>
      <c r="D78" s="82"/>
      <c r="E78" s="82"/>
      <c r="F78" s="82"/>
      <c r="G78" s="82"/>
      <c r="H78" s="11"/>
      <c r="I78" s="11"/>
      <c r="J78" s="11"/>
      <c r="K78" s="11"/>
      <c r="L78" s="11"/>
    </row>
    <row r="79" spans="1:12" customFormat="1" x14ac:dyDescent="0.35">
      <c r="A79" s="60" t="s">
        <v>159</v>
      </c>
      <c r="B79" s="60" t="s">
        <v>33</v>
      </c>
      <c r="C79" s="60" t="s">
        <v>32</v>
      </c>
      <c r="D79" s="60" t="s">
        <v>31</v>
      </c>
      <c r="E79" s="60" t="s">
        <v>30</v>
      </c>
      <c r="F79" s="60" t="s">
        <v>160</v>
      </c>
      <c r="G79" s="60" t="s">
        <v>39</v>
      </c>
      <c r="H79" s="60" t="s">
        <v>38</v>
      </c>
      <c r="I79" s="14"/>
      <c r="J79" s="14"/>
      <c r="K79" s="14"/>
      <c r="L79" s="14"/>
    </row>
    <row r="80" spans="1:12" customFormat="1" x14ac:dyDescent="0.35">
      <c r="A80" s="83"/>
      <c r="B80" s="83"/>
      <c r="C80" s="83"/>
      <c r="D80" s="83"/>
      <c r="E80" s="83"/>
      <c r="F80" s="83"/>
      <c r="G80" s="83"/>
      <c r="H80" s="83"/>
      <c r="I80" s="11"/>
      <c r="J80" s="11"/>
      <c r="K80" s="11"/>
      <c r="L80" s="11"/>
    </row>
    <row r="81" spans="1:12" customFormat="1" x14ac:dyDescent="0.35">
      <c r="A81" s="83"/>
      <c r="B81" s="83"/>
      <c r="C81" s="83"/>
      <c r="D81" s="83"/>
      <c r="E81" s="83"/>
      <c r="F81" s="83"/>
      <c r="G81" s="83"/>
      <c r="H81" s="83"/>
      <c r="I81" s="11"/>
      <c r="J81" s="11"/>
      <c r="K81" s="11"/>
      <c r="L81" s="11"/>
    </row>
    <row r="82" spans="1:12" customFormat="1" x14ac:dyDescent="0.35">
      <c r="A82" s="83"/>
      <c r="B82" s="83"/>
      <c r="C82" s="83"/>
      <c r="D82" s="83"/>
      <c r="E82" s="83"/>
      <c r="F82" s="83"/>
      <c r="G82" s="83"/>
      <c r="H82" s="83"/>
      <c r="I82" s="11"/>
      <c r="J82" s="11"/>
      <c r="K82" s="11"/>
      <c r="L82" s="11"/>
    </row>
    <row r="83" spans="1:12" customFormat="1" x14ac:dyDescent="0.35">
      <c r="A83" s="83"/>
      <c r="B83" s="83"/>
      <c r="C83" s="83"/>
      <c r="D83" s="83"/>
      <c r="E83" s="83"/>
      <c r="F83" s="83"/>
      <c r="G83" s="83"/>
      <c r="H83" s="83"/>
      <c r="I83" s="11"/>
      <c r="J83" s="11"/>
      <c r="K83" s="11"/>
      <c r="L83" s="11"/>
    </row>
    <row r="84" spans="1:12" customFormat="1" x14ac:dyDescent="0.35">
      <c r="A84" s="83"/>
      <c r="B84" s="83"/>
      <c r="C84" s="83"/>
      <c r="D84" s="83"/>
      <c r="E84" s="83"/>
      <c r="F84" s="83"/>
      <c r="G84" s="83"/>
      <c r="H84" s="83"/>
      <c r="I84" s="11"/>
      <c r="J84" s="11"/>
      <c r="K84" s="11"/>
      <c r="L84" s="11"/>
    </row>
    <row r="85" spans="1:12" x14ac:dyDescent="0.35">
      <c r="A85" s="14" t="s">
        <v>41</v>
      </c>
      <c r="B85" s="14" t="s">
        <v>33</v>
      </c>
      <c r="C85" s="14" t="s">
        <v>32</v>
      </c>
      <c r="D85" s="14" t="s">
        <v>31</v>
      </c>
      <c r="E85" s="14" t="s">
        <v>40</v>
      </c>
      <c r="F85" s="14" t="s">
        <v>39</v>
      </c>
      <c r="G85" s="14" t="s">
        <v>38</v>
      </c>
      <c r="H85" s="14"/>
      <c r="I85" s="14"/>
      <c r="J85" s="14"/>
      <c r="K85" s="14"/>
      <c r="L85" s="14"/>
    </row>
    <row r="86" spans="1:12" s="15" customFormat="1" x14ac:dyDescent="0.35">
      <c r="A86" s="17"/>
      <c r="B86" s="17"/>
      <c r="C86" s="17"/>
      <c r="D86" s="82"/>
      <c r="E86" s="82"/>
      <c r="F86" s="82"/>
      <c r="G86" s="82"/>
      <c r="H86" s="11"/>
      <c r="I86" s="11"/>
      <c r="J86" s="11"/>
      <c r="K86" s="11"/>
      <c r="L86" s="11"/>
    </row>
    <row r="87" spans="1:12" s="15" customFormat="1" x14ac:dyDescent="0.35">
      <c r="A87" s="17"/>
      <c r="B87" s="17"/>
      <c r="C87" s="17"/>
      <c r="D87" s="82"/>
      <c r="E87" s="82"/>
      <c r="F87" s="82"/>
      <c r="G87" s="82"/>
      <c r="H87" s="11"/>
      <c r="I87" s="11"/>
      <c r="J87" s="11"/>
      <c r="K87" s="11"/>
      <c r="L87" s="11"/>
    </row>
    <row r="88" spans="1:12" s="15" customFormat="1" x14ac:dyDescent="0.35">
      <c r="A88" s="17"/>
      <c r="B88" s="17"/>
      <c r="C88" s="17"/>
      <c r="D88" s="82"/>
      <c r="E88" s="82"/>
      <c r="F88" s="82"/>
      <c r="G88" s="82"/>
      <c r="H88" s="11"/>
      <c r="I88" s="11"/>
      <c r="J88" s="11"/>
      <c r="K88" s="11"/>
      <c r="L88" s="11"/>
    </row>
    <row r="89" spans="1:12" s="15" customFormat="1" x14ac:dyDescent="0.35">
      <c r="A89" s="17"/>
      <c r="B89" s="17"/>
      <c r="C89" s="17"/>
      <c r="D89" s="82"/>
      <c r="E89" s="82"/>
      <c r="F89" s="82"/>
      <c r="G89" s="82"/>
      <c r="H89" s="11"/>
      <c r="I89" s="11"/>
      <c r="J89" s="11"/>
      <c r="K89" s="11"/>
      <c r="L89" s="11"/>
    </row>
    <row r="90" spans="1:12" s="15" customFormat="1" x14ac:dyDescent="0.35">
      <c r="A90" s="17"/>
      <c r="B90" s="17"/>
      <c r="C90" s="17"/>
      <c r="D90" s="82"/>
      <c r="E90" s="82"/>
      <c r="F90" s="82"/>
      <c r="G90" s="82"/>
      <c r="H90" s="11"/>
      <c r="I90" s="11"/>
      <c r="J90" s="11"/>
      <c r="K90" s="11"/>
      <c r="L90" s="11"/>
    </row>
    <row r="91" spans="1:12" x14ac:dyDescent="0.35">
      <c r="A91" s="14" t="s">
        <v>37</v>
      </c>
      <c r="B91" s="14" t="s">
        <v>33</v>
      </c>
      <c r="C91" s="14" t="s">
        <v>35</v>
      </c>
      <c r="D91" s="14" t="s">
        <v>31</v>
      </c>
      <c r="E91" s="14"/>
      <c r="F91" s="14"/>
      <c r="G91" s="14"/>
      <c r="H91" s="14"/>
      <c r="I91" s="14"/>
      <c r="J91" s="14"/>
      <c r="K91" s="14"/>
      <c r="L91" s="14"/>
    </row>
    <row r="92" spans="1:12" s="15" customFormat="1" x14ac:dyDescent="0.35">
      <c r="A92" s="17"/>
      <c r="B92" s="17"/>
      <c r="C92" s="17"/>
      <c r="D92" s="82"/>
      <c r="E92" s="16"/>
      <c r="F92" s="16"/>
      <c r="G92" s="16"/>
      <c r="H92" s="16"/>
      <c r="I92" s="11"/>
      <c r="J92" s="11"/>
      <c r="K92" s="11"/>
      <c r="L92" s="11"/>
    </row>
    <row r="93" spans="1:12" s="15" customFormat="1" x14ac:dyDescent="0.35">
      <c r="A93" s="17"/>
      <c r="B93" s="17"/>
      <c r="C93" s="17"/>
      <c r="D93" s="82"/>
      <c r="E93" s="16"/>
      <c r="F93" s="16"/>
      <c r="G93" s="16"/>
      <c r="H93" s="16"/>
      <c r="I93" s="11"/>
      <c r="J93" s="11"/>
      <c r="K93" s="11"/>
      <c r="L93" s="11"/>
    </row>
    <row r="94" spans="1:12" s="15" customFormat="1" x14ac:dyDescent="0.35">
      <c r="A94" s="17"/>
      <c r="B94" s="17"/>
      <c r="C94" s="17"/>
      <c r="D94" s="82"/>
      <c r="E94" s="16"/>
      <c r="F94" s="16"/>
      <c r="G94" s="16"/>
      <c r="H94" s="16"/>
      <c r="I94" s="11"/>
      <c r="J94" s="11"/>
      <c r="K94" s="11"/>
      <c r="L94" s="11"/>
    </row>
    <row r="95" spans="1:12" s="15" customFormat="1" x14ac:dyDescent="0.35">
      <c r="A95" s="17"/>
      <c r="B95" s="17"/>
      <c r="C95" s="17"/>
      <c r="D95" s="82"/>
      <c r="E95" s="16"/>
      <c r="F95" s="16"/>
      <c r="G95" s="16"/>
      <c r="H95" s="16"/>
      <c r="I95" s="11"/>
      <c r="J95" s="11"/>
      <c r="K95" s="11"/>
      <c r="L95" s="11"/>
    </row>
    <row r="96" spans="1:12" s="15" customFormat="1" x14ac:dyDescent="0.35">
      <c r="A96" s="17"/>
      <c r="B96" s="17"/>
      <c r="C96" s="17"/>
      <c r="D96" s="82"/>
      <c r="E96" s="16"/>
      <c r="F96" s="16"/>
      <c r="G96" s="16"/>
      <c r="H96" s="16"/>
      <c r="I96" s="11"/>
      <c r="J96" s="11"/>
      <c r="K96" s="11"/>
      <c r="L96" s="11"/>
    </row>
    <row r="97" spans="1:12" x14ac:dyDescent="0.35">
      <c r="A97" s="14" t="s">
        <v>36</v>
      </c>
      <c r="B97" s="14" t="s">
        <v>33</v>
      </c>
      <c r="C97" s="14" t="s">
        <v>35</v>
      </c>
      <c r="D97" s="14" t="s">
        <v>31</v>
      </c>
      <c r="E97" s="14"/>
      <c r="F97" s="14"/>
      <c r="G97" s="14"/>
      <c r="H97" s="14"/>
      <c r="I97" s="14"/>
      <c r="J97" s="14"/>
      <c r="K97" s="14"/>
      <c r="L97" s="14"/>
    </row>
    <row r="98" spans="1:12" s="15" customFormat="1" x14ac:dyDescent="0.35">
      <c r="A98" s="17"/>
      <c r="B98" s="17"/>
      <c r="C98" s="17"/>
      <c r="D98" s="82"/>
      <c r="E98" s="16"/>
      <c r="F98" s="16"/>
      <c r="G98" s="16"/>
      <c r="H98" s="16"/>
      <c r="I98" s="11"/>
      <c r="J98" s="11"/>
      <c r="K98" s="11"/>
      <c r="L98" s="11"/>
    </row>
    <row r="99" spans="1:12" s="15" customFormat="1" x14ac:dyDescent="0.35">
      <c r="A99" s="17"/>
      <c r="B99" s="17"/>
      <c r="C99" s="17"/>
      <c r="D99" s="82"/>
      <c r="E99" s="16"/>
      <c r="F99" s="16"/>
      <c r="G99" s="16"/>
      <c r="H99" s="16"/>
      <c r="I99" s="11"/>
      <c r="J99" s="11"/>
      <c r="K99" s="11"/>
      <c r="L99" s="11"/>
    </row>
    <row r="100" spans="1:12" s="15" customFormat="1" x14ac:dyDescent="0.35">
      <c r="A100" s="17"/>
      <c r="B100" s="17"/>
      <c r="C100" s="17"/>
      <c r="D100" s="82"/>
      <c r="E100" s="16"/>
      <c r="F100" s="16"/>
      <c r="G100" s="16"/>
      <c r="H100" s="16"/>
      <c r="I100" s="11"/>
      <c r="J100" s="11"/>
      <c r="K100" s="11"/>
      <c r="L100" s="11"/>
    </row>
    <row r="101" spans="1:12" s="15" customFormat="1" x14ac:dyDescent="0.35">
      <c r="A101" s="17"/>
      <c r="B101" s="17"/>
      <c r="C101" s="17"/>
      <c r="D101" s="82"/>
      <c r="E101" s="16"/>
      <c r="F101" s="16"/>
      <c r="G101" s="16"/>
      <c r="H101" s="16"/>
      <c r="I101" s="11"/>
      <c r="J101" s="11"/>
      <c r="K101" s="11"/>
      <c r="L101" s="11"/>
    </row>
    <row r="102" spans="1:12" s="15" customFormat="1" x14ac:dyDescent="0.35">
      <c r="A102" s="17"/>
      <c r="B102" s="17"/>
      <c r="C102" s="17"/>
      <c r="D102" s="82"/>
      <c r="E102" s="16"/>
      <c r="F102" s="16"/>
      <c r="G102" s="16"/>
      <c r="H102" s="16"/>
      <c r="I102" s="11"/>
      <c r="J102" s="11"/>
      <c r="K102" s="11"/>
      <c r="L102" s="11"/>
    </row>
    <row r="103" spans="1:12" x14ac:dyDescent="0.35">
      <c r="A103" s="14" t="s">
        <v>34</v>
      </c>
      <c r="B103" s="14" t="s">
        <v>33</v>
      </c>
      <c r="C103" s="14" t="s">
        <v>32</v>
      </c>
      <c r="D103" s="14" t="s">
        <v>31</v>
      </c>
      <c r="E103" s="14" t="s">
        <v>30</v>
      </c>
      <c r="F103" s="14"/>
      <c r="G103" s="14"/>
      <c r="H103" s="14"/>
      <c r="I103" s="14"/>
      <c r="J103" s="14"/>
      <c r="K103" s="14"/>
      <c r="L103" s="14"/>
    </row>
    <row r="104" spans="1:12" s="15" customFormat="1" x14ac:dyDescent="0.35">
      <c r="A104" s="17"/>
      <c r="B104" s="17"/>
      <c r="C104" s="17"/>
      <c r="D104" s="82"/>
      <c r="E104" s="82"/>
      <c r="F104" s="16"/>
      <c r="G104" s="16"/>
      <c r="H104" s="16"/>
      <c r="I104" s="11"/>
      <c r="J104" s="11"/>
      <c r="K104" s="11"/>
      <c r="L104" s="11"/>
    </row>
    <row r="105" spans="1:12" s="15" customFormat="1" x14ac:dyDescent="0.35">
      <c r="A105" s="17"/>
      <c r="B105" s="17"/>
      <c r="C105" s="17"/>
      <c r="D105" s="82"/>
      <c r="E105" s="82"/>
      <c r="F105" s="16"/>
      <c r="G105" s="16"/>
      <c r="H105" s="16"/>
      <c r="I105" s="11"/>
      <c r="J105" s="11"/>
      <c r="K105" s="11"/>
      <c r="L105" s="11"/>
    </row>
    <row r="106" spans="1:12" s="15" customFormat="1" x14ac:dyDescent="0.35">
      <c r="A106" s="17"/>
      <c r="B106" s="17"/>
      <c r="C106" s="17"/>
      <c r="D106" s="82"/>
      <c r="E106" s="82"/>
      <c r="F106" s="16"/>
      <c r="G106" s="16"/>
      <c r="H106" s="16"/>
      <c r="I106" s="11"/>
      <c r="J106" s="11"/>
      <c r="K106" s="11"/>
      <c r="L106" s="11"/>
    </row>
    <row r="107" spans="1:12" s="15" customFormat="1" x14ac:dyDescent="0.35">
      <c r="A107" s="17"/>
      <c r="B107" s="17"/>
      <c r="C107" s="17"/>
      <c r="D107" s="82"/>
      <c r="E107" s="82"/>
      <c r="F107" s="16"/>
      <c r="G107" s="16"/>
      <c r="H107" s="16"/>
      <c r="I107" s="11"/>
      <c r="J107" s="11"/>
      <c r="K107" s="11"/>
      <c r="L107" s="11"/>
    </row>
    <row r="108" spans="1:12" s="15" customFormat="1" x14ac:dyDescent="0.35">
      <c r="A108" s="17"/>
      <c r="B108" s="17"/>
      <c r="C108" s="17"/>
      <c r="D108" s="82"/>
      <c r="E108" s="82"/>
      <c r="F108" s="16"/>
      <c r="G108" s="16"/>
      <c r="H108" s="16"/>
      <c r="I108" s="11"/>
      <c r="J108" s="11"/>
      <c r="K108" s="11"/>
      <c r="L108" s="11"/>
    </row>
    <row r="109" spans="1:12" x14ac:dyDescent="0.35">
      <c r="A109" s="14" t="s">
        <v>29</v>
      </c>
      <c r="B109" s="14" t="s">
        <v>28</v>
      </c>
      <c r="C109" s="14"/>
      <c r="D109" s="14"/>
      <c r="E109" s="14"/>
      <c r="F109" s="14"/>
      <c r="G109" s="14"/>
      <c r="H109" s="14"/>
      <c r="I109" s="14"/>
      <c r="J109" s="14"/>
      <c r="K109" s="14"/>
      <c r="L109" s="14"/>
    </row>
    <row r="110" spans="1:12" x14ac:dyDescent="0.35">
      <c r="A110" s="13" t="s">
        <v>27</v>
      </c>
      <c r="B110" s="13" t="s">
        <v>26</v>
      </c>
      <c r="C110" s="12"/>
      <c r="D110" s="11"/>
      <c r="E110" s="11"/>
      <c r="F110" s="11"/>
      <c r="G110" s="11"/>
      <c r="H110" s="11"/>
      <c r="I110" s="11"/>
      <c r="J110" s="11"/>
      <c r="K110" s="11"/>
      <c r="L110" s="11"/>
    </row>
    <row r="111" spans="1:12" x14ac:dyDescent="0.35">
      <c r="A111" s="14" t="s">
        <v>25</v>
      </c>
      <c r="B111" s="14"/>
      <c r="C111" s="14"/>
      <c r="D111" s="14"/>
      <c r="E111" s="14"/>
      <c r="F111" s="14"/>
      <c r="G111" s="14"/>
      <c r="H111" s="14"/>
      <c r="I111" s="14"/>
      <c r="J111" s="14"/>
      <c r="K111" s="14"/>
      <c r="L111" s="14"/>
    </row>
    <row r="112" spans="1:12" x14ac:dyDescent="0.35">
      <c r="A112" s="13" t="s">
        <v>23</v>
      </c>
      <c r="B112" s="12"/>
      <c r="C112" s="12"/>
      <c r="D112" s="11"/>
      <c r="E112" s="11"/>
      <c r="F112" s="11"/>
      <c r="G112" s="11"/>
      <c r="H112" s="11"/>
      <c r="I112" s="11"/>
      <c r="J112" s="11"/>
      <c r="K112" s="11"/>
      <c r="L112" s="11"/>
    </row>
    <row r="113" spans="1:12" x14ac:dyDescent="0.35">
      <c r="A113" s="14" t="s">
        <v>24</v>
      </c>
      <c r="B113" s="14"/>
      <c r="C113" s="14"/>
      <c r="D113" s="14"/>
      <c r="E113" s="14"/>
      <c r="F113" s="14"/>
      <c r="G113" s="14"/>
      <c r="H113" s="14"/>
      <c r="I113" s="14"/>
      <c r="J113" s="14"/>
      <c r="K113" s="14"/>
      <c r="L113" s="14"/>
    </row>
    <row r="114" spans="1:12" x14ac:dyDescent="0.35">
      <c r="A114" s="13" t="s">
        <v>23</v>
      </c>
      <c r="B114" s="12"/>
      <c r="C114" s="12"/>
      <c r="D114" s="11"/>
      <c r="E114" s="11"/>
      <c r="F114" s="11"/>
      <c r="G114" s="11"/>
      <c r="H114" s="11"/>
      <c r="I114" s="11"/>
      <c r="J114" s="11"/>
      <c r="K114" s="11"/>
      <c r="L114"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15</v>
      </c>
      <c r="C2" t="s">
        <v>14</v>
      </c>
      <c r="D2" t="s">
        <v>66</v>
      </c>
      <c r="E2" s="7" t="s">
        <v>215</v>
      </c>
    </row>
    <row r="3" spans="2:5" x14ac:dyDescent="0.35">
      <c r="B3" t="s">
        <v>16</v>
      </c>
      <c r="C3" t="s">
        <v>17</v>
      </c>
      <c r="D3" t="s">
        <v>67</v>
      </c>
      <c r="E3" t="s">
        <v>17</v>
      </c>
    </row>
    <row r="4" spans="2:5" x14ac:dyDescent="0.35">
      <c r="B4" t="s">
        <v>18</v>
      </c>
      <c r="C4" t="s">
        <v>22</v>
      </c>
      <c r="D4" t="s">
        <v>103</v>
      </c>
      <c r="E4" t="s">
        <v>22</v>
      </c>
    </row>
    <row r="5" spans="2:5" x14ac:dyDescent="0.35">
      <c r="C5" t="s">
        <v>100</v>
      </c>
      <c r="D5" t="s">
        <v>102</v>
      </c>
      <c r="E5" t="s">
        <v>100</v>
      </c>
    </row>
    <row r="6" spans="2:5" x14ac:dyDescent="0.35">
      <c r="C6" t="s">
        <v>101</v>
      </c>
      <c r="E6" t="s">
        <v>101</v>
      </c>
    </row>
    <row r="7" spans="2:5" x14ac:dyDescent="0.35">
      <c r="C7" t="s">
        <v>99</v>
      </c>
      <c r="E7" t="s">
        <v>99</v>
      </c>
    </row>
    <row r="8" spans="2:5" x14ac:dyDescent="0.35">
      <c r="C8" t="s">
        <v>62</v>
      </c>
      <c r="E8" t="s">
        <v>62</v>
      </c>
    </row>
    <row r="9" spans="2:5" x14ac:dyDescent="0.35">
      <c r="C9" t="s">
        <v>116</v>
      </c>
      <c r="E9" t="s">
        <v>116</v>
      </c>
    </row>
    <row r="10" spans="2:5" x14ac:dyDescent="0.35">
      <c r="C10" t="s">
        <v>63</v>
      </c>
      <c r="E10" t="s">
        <v>214</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110</v>
      </c>
      <c r="B1" s="50" t="s">
        <v>111</v>
      </c>
      <c r="C1" s="48" t="s">
        <v>112</v>
      </c>
      <c r="D1" s="48" t="s">
        <v>114</v>
      </c>
    </row>
    <row r="2" spans="1:4" x14ac:dyDescent="0.35">
      <c r="A2" t="s">
        <v>108</v>
      </c>
      <c r="B2" s="49">
        <v>42691</v>
      </c>
      <c r="C2" t="s">
        <v>113</v>
      </c>
      <c r="D2" t="s">
        <v>115</v>
      </c>
    </row>
    <row r="3" spans="1:4" ht="29" x14ac:dyDescent="0.35">
      <c r="A3" t="s">
        <v>109</v>
      </c>
      <c r="B3" s="49">
        <v>42692</v>
      </c>
      <c r="C3" t="s">
        <v>113</v>
      </c>
      <c r="D3" s="7" t="s">
        <v>117</v>
      </c>
    </row>
    <row r="4" spans="1:4" x14ac:dyDescent="0.35">
      <c r="A4" t="s">
        <v>118</v>
      </c>
      <c r="B4" s="49">
        <v>42711</v>
      </c>
      <c r="C4" t="s">
        <v>113</v>
      </c>
      <c r="D4" t="s">
        <v>119</v>
      </c>
    </row>
    <row r="5" spans="1:4" ht="58" x14ac:dyDescent="0.35">
      <c r="A5" t="s">
        <v>120</v>
      </c>
      <c r="B5" s="49">
        <v>42760</v>
      </c>
      <c r="C5" t="s">
        <v>113</v>
      </c>
      <c r="D5" s="7" t="s">
        <v>124</v>
      </c>
    </row>
    <row r="6" spans="1:4" ht="87" x14ac:dyDescent="0.35">
      <c r="A6" t="s">
        <v>126</v>
      </c>
      <c r="B6" s="49">
        <v>42927</v>
      </c>
      <c r="C6" t="s">
        <v>113</v>
      </c>
      <c r="D6" s="7" t="s">
        <v>131</v>
      </c>
    </row>
    <row r="7" spans="1:4" ht="101.5" x14ac:dyDescent="0.35">
      <c r="A7" t="s">
        <v>132</v>
      </c>
      <c r="B7" s="49">
        <v>42936</v>
      </c>
      <c r="C7" t="s">
        <v>113</v>
      </c>
      <c r="D7" s="7" t="s">
        <v>136</v>
      </c>
    </row>
    <row r="8" spans="1:4" x14ac:dyDescent="0.35">
      <c r="A8" t="s">
        <v>137</v>
      </c>
      <c r="B8" s="49">
        <v>43076</v>
      </c>
      <c r="C8" t="s">
        <v>113</v>
      </c>
      <c r="D8" t="s">
        <v>139</v>
      </c>
    </row>
    <row r="9" spans="1:4" ht="29" x14ac:dyDescent="0.35">
      <c r="A9" t="s">
        <v>141</v>
      </c>
      <c r="B9" s="49">
        <v>43117</v>
      </c>
      <c r="C9" t="s">
        <v>113</v>
      </c>
      <c r="D9" s="7" t="s">
        <v>142</v>
      </c>
    </row>
    <row r="10" spans="1:4" ht="58" x14ac:dyDescent="0.35">
      <c r="A10" t="s">
        <v>143</v>
      </c>
      <c r="B10" s="49">
        <v>43348</v>
      </c>
      <c r="C10" t="s">
        <v>113</v>
      </c>
      <c r="D10" s="7" t="s">
        <v>150</v>
      </c>
    </row>
    <row r="11" spans="1:4" ht="72.5" x14ac:dyDescent="0.35">
      <c r="A11" t="s">
        <v>151</v>
      </c>
      <c r="B11" s="49">
        <v>43409</v>
      </c>
      <c r="C11" t="s">
        <v>113</v>
      </c>
      <c r="D11" s="7" t="s">
        <v>161</v>
      </c>
    </row>
    <row r="12" spans="1:4" x14ac:dyDescent="0.35">
      <c r="A12" t="s">
        <v>162</v>
      </c>
      <c r="B12" s="49">
        <v>43669</v>
      </c>
      <c r="C12" t="s">
        <v>113</v>
      </c>
      <c r="D12" s="7" t="s">
        <v>164</v>
      </c>
    </row>
    <row r="13" spans="1:4" ht="72.5" x14ac:dyDescent="0.35">
      <c r="A13" t="s">
        <v>165</v>
      </c>
      <c r="B13" s="49">
        <v>43846</v>
      </c>
      <c r="C13" t="s">
        <v>113</v>
      </c>
      <c r="D13" s="7" t="s">
        <v>181</v>
      </c>
    </row>
    <row r="14" spans="1:4" ht="116" x14ac:dyDescent="0.35">
      <c r="A14" t="s">
        <v>207</v>
      </c>
      <c r="B14" s="49">
        <v>43991</v>
      </c>
      <c r="C14" t="s">
        <v>113</v>
      </c>
      <c r="D14" s="7" t="s">
        <v>212</v>
      </c>
    </row>
    <row r="15" spans="1:4" ht="174" x14ac:dyDescent="0.35">
      <c r="A15" t="s">
        <v>217</v>
      </c>
      <c r="B15" s="49">
        <v>45296</v>
      </c>
      <c r="C15" t="s">
        <v>113</v>
      </c>
      <c r="D15" s="7" t="s">
        <v>240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2024-10-15T12:33:16Z</dcterms:modified>
</cp:coreProperties>
</file>